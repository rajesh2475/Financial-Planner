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4BA50C77-514B-DD42-BC19-774BCE2FD312}" xr6:coauthVersionLast="47" xr6:coauthVersionMax="47" xr10:uidLastSave="{00000000-0000-0000-0000-000000000000}"/>
  <bookViews>
    <workbookView xWindow="80" yWindow="680" windowWidth="34380" windowHeight="20000" xr2:uid="{59FD12AB-B300-6A4B-BE0A-A77AFDF767F1}"/>
  </bookViews>
  <sheets>
    <sheet name="Home Loan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8" l="1"/>
  <c r="I11" i="28"/>
  <c r="I8" i="28"/>
  <c r="I16" i="28" s="1"/>
  <c r="I18" i="28" s="1"/>
  <c r="I19" i="28" l="1"/>
</calcChain>
</file>

<file path=xl/sharedStrings.xml><?xml version="1.0" encoding="utf-8"?>
<sst xmlns="http://schemas.openxmlformats.org/spreadsheetml/2006/main" count="34" uniqueCount="31">
  <si>
    <t>Name</t>
  </si>
  <si>
    <t>Processing Fees</t>
  </si>
  <si>
    <t>GST on Processing Fees</t>
  </si>
  <si>
    <t>Out Standing Loan</t>
  </si>
  <si>
    <t>Salaried (Max)</t>
  </si>
  <si>
    <t>Self Employed</t>
  </si>
  <si>
    <t>Total Processing Fees</t>
  </si>
  <si>
    <t>Mortagage Charges</t>
  </si>
  <si>
    <t>Franking Charges</t>
  </si>
  <si>
    <t>Total Charges for Transfer of Loan</t>
  </si>
  <si>
    <t>Tenure in years</t>
  </si>
  <si>
    <t>New Interest Rate Offered</t>
  </si>
  <si>
    <t xml:space="preserve">Aprox EMI </t>
  </si>
  <si>
    <t>Actual Loan Received</t>
  </si>
  <si>
    <t>Effective Rate Of Interest</t>
  </si>
  <si>
    <t>Salaried</t>
  </si>
  <si>
    <t>No name</t>
  </si>
  <si>
    <t>TRANSFER OF LOAN CALCULATOR</t>
  </si>
  <si>
    <t xml:space="preserve">Other Charges </t>
  </si>
  <si>
    <t>Total Charges</t>
  </si>
  <si>
    <t>Calculation of Effective Interest Rate</t>
  </si>
  <si>
    <t>TO SUPPORT OUR CHANNEL USE THE LINKS BELOW</t>
  </si>
  <si>
    <t>https://angel-one.onelink.me/Wjgr/8vxyj8iq</t>
  </si>
  <si>
    <t>LINK FOR ANGEL ONE</t>
  </si>
  <si>
    <t>https://tinyurl.com/y8sbw9w8</t>
  </si>
  <si>
    <t xml:space="preserve">LINK FOR UPSTOX </t>
  </si>
  <si>
    <t>https://zerodha.com/open-account?c=ZMPVNW</t>
  </si>
  <si>
    <t>LINK FOR ZERODHA</t>
  </si>
  <si>
    <t>Home Loan Transfer Calculator</t>
  </si>
  <si>
    <t>Profession*</t>
  </si>
  <si>
    <t xml:space="preserve">* Please enter "Salaried" or "Self Employed"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</si>
</sst>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7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0"/>
      <name val="Aptos Narrow"/>
      <scheme val="minor"/>
    </font>
    <font>
      <b/>
      <sz val="36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28"/>
      <color theme="10"/>
      <name val="Aptos Narrow"/>
      <family val="2"/>
      <scheme val="minor"/>
    </font>
    <font>
      <b/>
      <sz val="40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54E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5" fillId="0" borderId="3" xfId="1" applyFont="1" applyBorder="1" applyAlignment="1" applyProtection="1">
      <alignment horizontal="left"/>
      <protection hidden="1"/>
    </xf>
    <xf numFmtId="0" fontId="5" fillId="0" borderId="3" xfId="1" applyFont="1" applyBorder="1" applyAlignment="1" applyProtection="1">
      <protection hidden="1"/>
    </xf>
    <xf numFmtId="0" fontId="1" fillId="0" borderId="0" xfId="0" applyFont="1" applyProtection="1">
      <protection hidden="1"/>
    </xf>
    <xf numFmtId="0" fontId="1" fillId="0" borderId="5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1" fillId="0" borderId="9" xfId="0" applyFont="1" applyBorder="1" applyProtection="1">
      <protection hidden="1"/>
    </xf>
    <xf numFmtId="9" fontId="1" fillId="0" borderId="2" xfId="0" applyNumberFormat="1" applyFont="1" applyBorder="1" applyProtection="1">
      <protection hidden="1"/>
    </xf>
    <xf numFmtId="0" fontId="1" fillId="0" borderId="2" xfId="0" applyFont="1" applyBorder="1" applyProtection="1">
      <protection hidden="1"/>
    </xf>
    <xf numFmtId="164" fontId="1" fillId="0" borderId="2" xfId="0" applyNumberFormat="1" applyFont="1" applyBorder="1" applyProtection="1">
      <protection hidden="1"/>
    </xf>
    <xf numFmtId="8" fontId="1" fillId="0" borderId="2" xfId="0" applyNumberFormat="1" applyFont="1" applyBorder="1" applyProtection="1">
      <protection hidden="1"/>
    </xf>
    <xf numFmtId="10" fontId="1" fillId="0" borderId="2" xfId="0" applyNumberFormat="1" applyFont="1" applyBorder="1" applyProtection="1">
      <protection hidden="1"/>
    </xf>
    <xf numFmtId="164" fontId="1" fillId="0" borderId="0" xfId="0" applyNumberFormat="1" applyFont="1" applyProtection="1">
      <protection hidden="1"/>
    </xf>
    <xf numFmtId="0" fontId="1" fillId="0" borderId="0" xfId="0" quotePrefix="1" applyFont="1" applyProtection="1">
      <protection hidden="1"/>
    </xf>
    <xf numFmtId="10" fontId="3" fillId="4" borderId="2" xfId="0" applyNumberFormat="1" applyFont="1" applyFill="1" applyBorder="1" applyAlignment="1" applyProtection="1">
      <alignment horizontal="center"/>
      <protection hidden="1"/>
    </xf>
    <xf numFmtId="0" fontId="1" fillId="0" borderId="7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3" borderId="2" xfId="0" applyFont="1" applyFill="1" applyBorder="1" applyProtection="1">
      <protection locked="0" hidden="1"/>
    </xf>
    <xf numFmtId="164" fontId="1" fillId="3" borderId="2" xfId="0" applyNumberFormat="1" applyFont="1" applyFill="1" applyBorder="1" applyProtection="1">
      <protection locked="0" hidden="1"/>
    </xf>
    <xf numFmtId="9" fontId="1" fillId="3" borderId="2" xfId="0" applyNumberFormat="1" applyFont="1" applyFill="1" applyBorder="1" applyAlignment="1" applyProtection="1">
      <alignment horizontal="center"/>
      <protection locked="0" hidden="1"/>
    </xf>
    <xf numFmtId="10" fontId="1" fillId="3" borderId="2" xfId="0" applyNumberFormat="1" applyFont="1" applyFill="1" applyBorder="1" applyProtection="1">
      <protection locked="0" hidden="1"/>
    </xf>
    <xf numFmtId="0" fontId="6" fillId="2" borderId="1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8" fontId="2" fillId="2" borderId="1" xfId="0" applyNumberFormat="1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000"/>
      <color rgb="FF754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413827</xdr:colOff>
      <xdr:row>4</xdr:row>
      <xdr:rowOff>237067</xdr:rowOff>
    </xdr:from>
    <xdr:ext cx="3225339" cy="2387600"/>
    <xdr:pic>
      <xdr:nvPicPr>
        <xdr:cNvPr id="2" name="Picture 1">
          <a:extLst>
            <a:ext uri="{FF2B5EF4-FFF2-40B4-BE49-F238E27FC236}">
              <a16:creationId xmlns:a16="http://schemas.microsoft.com/office/drawing/2014/main" id="{8502F2ED-FE2D-4F43-B56E-5CAB3D579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62227" y="2065867"/>
          <a:ext cx="3225339" cy="2387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angel-one.onelink.me/Wjgr/8vxyj8iq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AE96-699F-6748-B506-87861C4A0E01}">
  <dimension ref="A1:J21"/>
  <sheetViews>
    <sheetView showGridLines="0" tabSelected="1" zoomScale="75" workbookViewId="0">
      <selection activeCell="M11" sqref="M11"/>
    </sheetView>
  </sheetViews>
  <sheetFormatPr baseColWidth="10" defaultRowHeight="47" x14ac:dyDescent="0.55000000000000004"/>
  <cols>
    <col min="1" max="1" width="32.83203125" style="3" customWidth="1"/>
    <col min="2" max="2" width="4.1640625" style="3" customWidth="1"/>
    <col min="3" max="3" width="93" style="3" customWidth="1"/>
    <col min="4" max="4" width="44.5" style="3" customWidth="1"/>
    <col min="5" max="5" width="33.33203125" style="3" customWidth="1"/>
    <col min="6" max="7" width="10.83203125" style="3"/>
    <col min="8" max="8" width="63.5" style="3" bestFit="1" customWidth="1"/>
    <col min="9" max="9" width="38.33203125" style="3" bestFit="1" customWidth="1"/>
    <col min="10" max="10" width="4.33203125" style="3" customWidth="1"/>
    <col min="11" max="16384" width="10.83203125" style="3"/>
  </cols>
  <sheetData>
    <row r="1" spans="1:10" ht="48" thickBot="1" x14ac:dyDescent="0.6"/>
    <row r="2" spans="1:10" ht="54" thickTop="1" thickBot="1" x14ac:dyDescent="0.6">
      <c r="B2" s="4"/>
      <c r="C2" s="23" t="s">
        <v>28</v>
      </c>
      <c r="D2" s="23"/>
      <c r="E2" s="23"/>
      <c r="F2" s="23"/>
      <c r="G2" s="23"/>
      <c r="H2" s="23"/>
      <c r="I2" s="23"/>
      <c r="J2" s="5"/>
    </row>
    <row r="3" spans="1:10" ht="49" thickTop="1" thickBot="1" x14ac:dyDescent="0.6">
      <c r="B3" s="6"/>
      <c r="J3" s="7"/>
    </row>
    <row r="4" spans="1:10" ht="49" thickTop="1" thickBot="1" x14ac:dyDescent="0.6">
      <c r="B4" s="6"/>
      <c r="C4" s="24" t="s">
        <v>17</v>
      </c>
      <c r="D4" s="24"/>
      <c r="H4" s="24" t="s">
        <v>1</v>
      </c>
      <c r="I4" s="24"/>
      <c r="J4" s="7"/>
    </row>
    <row r="5" spans="1:10" ht="49" thickTop="1" thickBot="1" x14ac:dyDescent="0.6">
      <c r="B5" s="6"/>
      <c r="C5" s="8" t="s">
        <v>0</v>
      </c>
      <c r="D5" s="19" t="s">
        <v>16</v>
      </c>
      <c r="H5" s="9" t="s">
        <v>4</v>
      </c>
      <c r="I5" s="10">
        <v>10000</v>
      </c>
      <c r="J5" s="7"/>
    </row>
    <row r="6" spans="1:10" ht="49" thickTop="1" thickBot="1" x14ac:dyDescent="0.6">
      <c r="B6" s="6"/>
      <c r="C6" s="9" t="s">
        <v>29</v>
      </c>
      <c r="D6" s="19" t="s">
        <v>15</v>
      </c>
      <c r="H6" s="11" t="s">
        <v>5</v>
      </c>
      <c r="I6" s="22">
        <v>5.0000000000000001E-3</v>
      </c>
      <c r="J6" s="7"/>
    </row>
    <row r="7" spans="1:10" ht="49" thickTop="1" thickBot="1" x14ac:dyDescent="0.6">
      <c r="B7" s="6"/>
      <c r="C7" s="9" t="s">
        <v>3</v>
      </c>
      <c r="D7" s="20">
        <v>3000000</v>
      </c>
      <c r="H7" s="11" t="s">
        <v>2</v>
      </c>
      <c r="I7" s="8">
        <v>0.18</v>
      </c>
      <c r="J7" s="7"/>
    </row>
    <row r="8" spans="1:10" ht="49" thickTop="1" thickBot="1" x14ac:dyDescent="0.6">
      <c r="B8" s="6"/>
      <c r="C8" s="9" t="s">
        <v>10</v>
      </c>
      <c r="D8" s="19">
        <v>25</v>
      </c>
      <c r="H8" s="9" t="s">
        <v>6</v>
      </c>
      <c r="I8" s="10">
        <f>IF(D6= "Self Employed",I6*D7,IF(D7*I6&lt;I5,D7*I6,I5))*(1+I7)</f>
        <v>11800</v>
      </c>
      <c r="J8" s="7"/>
    </row>
    <row r="9" spans="1:10" ht="49" thickTop="1" thickBot="1" x14ac:dyDescent="0.6">
      <c r="B9" s="6"/>
      <c r="C9" s="9" t="s">
        <v>11</v>
      </c>
      <c r="D9" s="21">
        <v>0.08</v>
      </c>
      <c r="H9" s="24" t="s">
        <v>7</v>
      </c>
      <c r="I9" s="24"/>
      <c r="J9" s="7"/>
    </row>
    <row r="10" spans="1:10" ht="49" thickTop="1" thickBot="1" x14ac:dyDescent="0.6">
      <c r="B10" s="6"/>
      <c r="C10" s="9" t="s">
        <v>12</v>
      </c>
      <c r="D10" s="11">
        <f>-PMT(D9/12,D8*12,D7,0,)</f>
        <v>23154.486581190093</v>
      </c>
      <c r="H10" s="9" t="s">
        <v>7</v>
      </c>
      <c r="I10" s="12">
        <v>5.0000000000000001E-3</v>
      </c>
      <c r="J10" s="7"/>
    </row>
    <row r="11" spans="1:10" ht="49" thickTop="1" thickBot="1" x14ac:dyDescent="0.6">
      <c r="A11" s="13"/>
      <c r="B11" s="6"/>
      <c r="H11" s="9" t="s">
        <v>7</v>
      </c>
      <c r="I11" s="10">
        <f>I10*D7</f>
        <v>15000</v>
      </c>
      <c r="J11" s="7"/>
    </row>
    <row r="12" spans="1:10" ht="49" thickTop="1" thickBot="1" x14ac:dyDescent="0.6">
      <c r="B12" s="6"/>
      <c r="H12" s="24" t="s">
        <v>18</v>
      </c>
      <c r="I12" s="24"/>
      <c r="J12" s="7"/>
    </row>
    <row r="13" spans="1:10" ht="49" thickTop="1" thickBot="1" x14ac:dyDescent="0.6">
      <c r="B13" s="6"/>
      <c r="C13" s="25" t="s">
        <v>21</v>
      </c>
      <c r="D13" s="25"/>
      <c r="E13" s="25"/>
      <c r="H13" s="9" t="s">
        <v>8</v>
      </c>
      <c r="I13" s="20">
        <v>2500</v>
      </c>
      <c r="J13" s="7"/>
    </row>
    <row r="14" spans="1:10" ht="49" thickTop="1" thickBot="1" x14ac:dyDescent="0.6">
      <c r="B14" s="6"/>
      <c r="C14" s="1" t="s">
        <v>22</v>
      </c>
      <c r="D14" s="26" t="s">
        <v>23</v>
      </c>
      <c r="E14" s="26"/>
      <c r="H14" s="9" t="s">
        <v>18</v>
      </c>
      <c r="I14" s="20">
        <v>0</v>
      </c>
      <c r="J14" s="7"/>
    </row>
    <row r="15" spans="1:10" ht="49" thickTop="1" thickBot="1" x14ac:dyDescent="0.6">
      <c r="B15" s="6"/>
      <c r="C15" s="2" t="s">
        <v>24</v>
      </c>
      <c r="D15" s="26" t="s">
        <v>25</v>
      </c>
      <c r="E15" s="26"/>
      <c r="H15" s="24" t="s">
        <v>9</v>
      </c>
      <c r="I15" s="24"/>
      <c r="J15" s="7"/>
    </row>
    <row r="16" spans="1:10" ht="49" thickTop="1" thickBot="1" x14ac:dyDescent="0.6">
      <c r="B16" s="6"/>
      <c r="C16" s="1" t="s">
        <v>26</v>
      </c>
      <c r="D16" s="26" t="s">
        <v>27</v>
      </c>
      <c r="E16" s="26"/>
      <c r="H16" s="9" t="s">
        <v>19</v>
      </c>
      <c r="I16" s="10">
        <f>I8+I13+I11</f>
        <v>29300</v>
      </c>
      <c r="J16" s="7"/>
    </row>
    <row r="17" spans="2:10" ht="49" thickTop="1" thickBot="1" x14ac:dyDescent="0.6">
      <c r="B17" s="6"/>
      <c r="H17" s="24" t="s">
        <v>20</v>
      </c>
      <c r="I17" s="24"/>
      <c r="J17" s="7"/>
    </row>
    <row r="18" spans="2:10" ht="49" thickTop="1" thickBot="1" x14ac:dyDescent="0.6">
      <c r="B18" s="6"/>
      <c r="H18" s="9" t="s">
        <v>13</v>
      </c>
      <c r="I18" s="10">
        <f>D7-I16</f>
        <v>2970700</v>
      </c>
      <c r="J18" s="7"/>
    </row>
    <row r="19" spans="2:10" ht="49" thickTop="1" thickBot="1" x14ac:dyDescent="0.6">
      <c r="B19" s="6"/>
      <c r="C19" s="14" t="s">
        <v>30</v>
      </c>
      <c r="H19" s="9" t="s">
        <v>14</v>
      </c>
      <c r="I19" s="15">
        <f>RATE(D8*12,-D10,I18,0)*12</f>
        <v>8.1146812931128742E-2</v>
      </c>
      <c r="J19" s="7"/>
    </row>
    <row r="20" spans="2:10" ht="28" customHeight="1" thickTop="1" thickBot="1" x14ac:dyDescent="0.6">
      <c r="B20" s="16"/>
      <c r="C20" s="17"/>
      <c r="D20" s="17"/>
      <c r="E20" s="17"/>
      <c r="F20" s="17"/>
      <c r="G20" s="17"/>
      <c r="H20" s="17"/>
      <c r="I20" s="17"/>
      <c r="J20" s="18"/>
    </row>
    <row r="21" spans="2:10" ht="48" thickTop="1" x14ac:dyDescent="0.55000000000000004"/>
  </sheetData>
  <sheetProtection algorithmName="SHA-512" hashValue="A+GxsiDISM32IaaBrqWs8cW17rJU1K0wfC2f19Yly1VKj7TdNgJ6ACfMEk2MXgWzOqxCPW3koWrlfskMcKwpzw==" saltValue="rG/dEyE6WISub5GWwfTkiw==" spinCount="100000" sheet="1" objects="1" scenarios="1"/>
  <mergeCells count="11">
    <mergeCell ref="C2:I2"/>
    <mergeCell ref="H15:I15"/>
    <mergeCell ref="H17:I17"/>
    <mergeCell ref="H4:I4"/>
    <mergeCell ref="C4:D4"/>
    <mergeCell ref="H9:I9"/>
    <mergeCell ref="H12:I12"/>
    <mergeCell ref="C13:E13"/>
    <mergeCell ref="D14:E14"/>
    <mergeCell ref="D15:E15"/>
    <mergeCell ref="D16:E16"/>
  </mergeCells>
  <dataValidations disablePrompts="1" count="1">
    <dataValidation allowBlank="1" showInputMessage="1" showErrorMessage="1" prompt="Self Employed, Salaried" sqref="D6" xr:uid="{6081D937-F153-BA40-A426-6A8809B36C3D}"/>
  </dataValidations>
  <hyperlinks>
    <hyperlink ref="C14" r:id="rId1" xr:uid="{180223A6-F03B-BE48-B31E-7D6A3F4D4962}"/>
    <hyperlink ref="C15" r:id="rId2" xr:uid="{B24D9FE9-3A44-3C49-87F1-24C4DCC69F88}"/>
    <hyperlink ref="C16" r:id="rId3" xr:uid="{60E3E0FD-04A8-CC47-8736-279490EA62E8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2025-06-05T12:12:45Z</dcterms:created>
  <dcterms:modified xsi:type="dcterms:W3CDTF">2025-12-20T13:47:31Z</dcterms:modified>
</cp:coreProperties>
</file>