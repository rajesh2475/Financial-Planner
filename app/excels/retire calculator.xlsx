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2CF8F32C-4FAA-D743-ACB2-CC5B9B138104}" xr6:coauthVersionLast="47" xr6:coauthVersionMax="47" xr10:uidLastSave="{00000000-0000-0000-0000-000000000000}"/>
  <bookViews>
    <workbookView xWindow="0" yWindow="760" windowWidth="34460" windowHeight="18740" xr2:uid="{0DC45128-2AAD-A24B-A110-2C48D30AE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6" i="1" s="1"/>
  <c r="C18" i="1" s="1"/>
  <c r="C20" i="1" s="1"/>
</calcChain>
</file>

<file path=xl/sharedStrings.xml><?xml version="1.0" encoding="utf-8"?>
<sst xmlns="http://schemas.openxmlformats.org/spreadsheetml/2006/main" count="19" uniqueCount="19">
  <si>
    <t>RETIRMENT CORPUS CALCULATION</t>
  </si>
  <si>
    <t>CURRENT AGE</t>
  </si>
  <si>
    <t>RETIREMNT PLANNED AGE</t>
  </si>
  <si>
    <t>YEARS LEFT TO RETIRE</t>
  </si>
  <si>
    <t>LIFE EXPECTANCY</t>
  </si>
  <si>
    <t>CURRENT MONTHLY EXPENSE</t>
  </si>
  <si>
    <t>INFLATION</t>
  </si>
  <si>
    <t>MONTHLY EXPENSE AT AGE 55</t>
  </si>
  <si>
    <t>EXPECTED RETURN ON CORPUS</t>
  </si>
  <si>
    <t>CORPUS REQUIRED</t>
  </si>
  <si>
    <t>EXPECTED RETURN ON INVESTMENT</t>
  </si>
  <si>
    <t>SIP TO BE INVESTED</t>
  </si>
  <si>
    <t>TO SUPPORT OUR CHANNEL USE THE LINKS BELOW</t>
  </si>
  <si>
    <t>https://angel-one.onelink.me/Wjgr/8vxyj8iq</t>
  </si>
  <si>
    <t>LINK FOR ANGEL ONE</t>
  </si>
  <si>
    <t>https://tinyurl.com/y8sbw9w8</t>
  </si>
  <si>
    <t xml:space="preserve">LINK FOR UPSTOX </t>
  </si>
  <si>
    <t>https://zerodha.com/open-account?c=ZMPVNW</t>
  </si>
  <si>
    <t>LINK FOR 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</si>
</sst>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  <font>
      <u/>
      <sz val="28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54E1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Protection="1">
      <protection hidden="1"/>
    </xf>
    <xf numFmtId="0" fontId="2" fillId="0" borderId="1" xfId="0" applyFont="1" applyBorder="1" applyProtection="1">
      <protection hidden="1"/>
    </xf>
    <xf numFmtId="0" fontId="2" fillId="3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9" fontId="2" fillId="0" borderId="1" xfId="0" applyNumberFormat="1" applyFont="1" applyBorder="1" applyProtection="1">
      <protection hidden="1"/>
    </xf>
    <xf numFmtId="8" fontId="2" fillId="0" borderId="1" xfId="0" applyNumberFormat="1" applyFont="1" applyBorder="1" applyProtection="1">
      <protection hidden="1"/>
    </xf>
    <xf numFmtId="9" fontId="2" fillId="3" borderId="1" xfId="0" applyNumberFormat="1" applyFont="1" applyFill="1" applyBorder="1" applyProtection="1">
      <protection locked="0"/>
    </xf>
    <xf numFmtId="0" fontId="4" fillId="0" borderId="2" xfId="1" applyFont="1" applyBorder="1" applyAlignment="1" applyProtection="1">
      <alignment horizontal="left"/>
      <protection hidden="1"/>
    </xf>
    <xf numFmtId="0" fontId="4" fillId="0" borderId="2" xfId="1" applyFont="1" applyBorder="1" applyAlignment="1" applyProtection="1">
      <protection hidden="1"/>
    </xf>
    <xf numFmtId="8" fontId="3" fillId="2" borderId="1" xfId="0" applyNumberFormat="1" applyFont="1" applyFill="1" applyBorder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3771900</xdr:colOff>
      <xdr:row>3</xdr:row>
      <xdr:rowOff>25401</xdr:rowOff>
    </xdr:from>
    <xdr:to>
      <xdr:col>1</xdr:col>
      <xdr:colOff>6170134</xdr:colOff>
      <xdr:row>7</xdr:row>
      <xdr:rowOff>596901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8FA53-AC58-7549-8193-C05B81ECF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99900" y="635001"/>
          <a:ext cx="2398234" cy="177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angel-one.onelink.me/Wjgr/8vxyj8iq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8AAD-DE12-3148-9EA1-DCD0AFF13C68}">
  <dimension ref="A7:D26"/>
  <sheetViews>
    <sheetView showGridLines="0" tabSelected="1" zoomScale="65" workbookViewId="0">
      <selection activeCell="K64" sqref="K64"/>
    </sheetView>
  </sheetViews>
  <sheetFormatPr baseColWidth="10" defaultColWidth="54.6640625" defaultRowHeight="16" x14ac:dyDescent="0.2"/>
  <cols>
    <col min="1" max="1" width="54.6640625" style="14"/>
    <col min="2" max="2" width="93.5" style="14" bestFit="1" customWidth="1"/>
    <col min="3" max="3" width="69.1640625" style="14" customWidth="1"/>
    <col min="4" max="16384" width="54.6640625" style="14"/>
  </cols>
  <sheetData>
    <row r="7" spans="1:4" ht="47" x14ac:dyDescent="0.55000000000000004">
      <c r="A7" s="1"/>
      <c r="B7" s="1"/>
      <c r="C7" s="1"/>
      <c r="D7" s="1"/>
    </row>
    <row r="8" spans="1:4" ht="48" thickBot="1" x14ac:dyDescent="0.6">
      <c r="A8" s="1"/>
      <c r="B8" s="1"/>
      <c r="C8" s="1"/>
      <c r="D8" s="1"/>
    </row>
    <row r="9" spans="1:4" ht="49" thickTop="1" thickBot="1" x14ac:dyDescent="0.6">
      <c r="A9" s="1"/>
      <c r="B9" s="11" t="s">
        <v>0</v>
      </c>
      <c r="C9" s="11"/>
      <c r="D9" s="1"/>
    </row>
    <row r="10" spans="1:4" ht="49" thickTop="1" thickBot="1" x14ac:dyDescent="0.6">
      <c r="A10" s="1"/>
      <c r="B10" s="2" t="s">
        <v>1</v>
      </c>
      <c r="C10" s="3">
        <v>30</v>
      </c>
      <c r="D10" s="1"/>
    </row>
    <row r="11" spans="1:4" ht="49" thickTop="1" thickBot="1" x14ac:dyDescent="0.6">
      <c r="A11" s="1"/>
      <c r="B11" s="2" t="s">
        <v>2</v>
      </c>
      <c r="C11" s="3">
        <v>60</v>
      </c>
      <c r="D11" s="1"/>
    </row>
    <row r="12" spans="1:4" ht="49" thickTop="1" thickBot="1" x14ac:dyDescent="0.6">
      <c r="A12" s="1"/>
      <c r="B12" s="2" t="s">
        <v>3</v>
      </c>
      <c r="C12" s="2">
        <f>C11-C10</f>
        <v>30</v>
      </c>
      <c r="D12" s="1"/>
    </row>
    <row r="13" spans="1:4" ht="49" thickTop="1" thickBot="1" x14ac:dyDescent="0.6">
      <c r="A13" s="1"/>
      <c r="B13" s="2" t="s">
        <v>4</v>
      </c>
      <c r="C13" s="3">
        <v>85</v>
      </c>
      <c r="D13" s="1"/>
    </row>
    <row r="14" spans="1:4" ht="49" thickTop="1" thickBot="1" x14ac:dyDescent="0.6">
      <c r="A14" s="1"/>
      <c r="B14" s="2" t="s">
        <v>5</v>
      </c>
      <c r="C14" s="4">
        <v>50000</v>
      </c>
      <c r="D14" s="1"/>
    </row>
    <row r="15" spans="1:4" ht="49" thickTop="1" thickBot="1" x14ac:dyDescent="0.6">
      <c r="A15" s="1"/>
      <c r="B15" s="2" t="s">
        <v>6</v>
      </c>
      <c r="C15" s="5">
        <v>0.06</v>
      </c>
      <c r="D15" s="1"/>
    </row>
    <row r="16" spans="1:4" ht="49" thickTop="1" thickBot="1" x14ac:dyDescent="0.6">
      <c r="A16" s="1"/>
      <c r="B16" s="2" t="s">
        <v>7</v>
      </c>
      <c r="C16" s="6">
        <f>FV(C15,C12,0,-C14)</f>
        <v>287174.55864566297</v>
      </c>
      <c r="D16" s="1"/>
    </row>
    <row r="17" spans="1:4" ht="49" thickTop="1" thickBot="1" x14ac:dyDescent="0.6">
      <c r="A17" s="1"/>
      <c r="B17" s="2" t="s">
        <v>8</v>
      </c>
      <c r="C17" s="7">
        <v>0.08</v>
      </c>
      <c r="D17" s="1"/>
    </row>
    <row r="18" spans="1:4" ht="49" thickTop="1" thickBot="1" x14ac:dyDescent="0.6">
      <c r="A18" s="1"/>
      <c r="B18" s="2" t="s">
        <v>9</v>
      </c>
      <c r="C18" s="6">
        <f>PV(NOMINAL((1+C17)/(1+C15)-1,12)/12,(C13-C11)*12,-C16,0)</f>
        <v>68770109.215046182</v>
      </c>
      <c r="D18" s="1"/>
    </row>
    <row r="19" spans="1:4" ht="49" thickTop="1" thickBot="1" x14ac:dyDescent="0.6">
      <c r="A19" s="1"/>
      <c r="B19" s="2" t="s">
        <v>10</v>
      </c>
      <c r="C19" s="5">
        <v>0.12</v>
      </c>
      <c r="D19" s="1"/>
    </row>
    <row r="20" spans="1:4" ht="49" thickTop="1" thickBot="1" x14ac:dyDescent="0.6">
      <c r="A20" s="1"/>
      <c r="B20" s="2" t="s">
        <v>11</v>
      </c>
      <c r="C20" s="6">
        <f>PMT(NOMINAL(C19,12)/12,(C11-C10)*12,0,-C18,1)</f>
        <v>22320.904639825181</v>
      </c>
      <c r="D20" s="1"/>
    </row>
    <row r="21" spans="1:4" ht="49" thickTop="1" thickBot="1" x14ac:dyDescent="0.6">
      <c r="A21" s="1"/>
      <c r="B21" s="1"/>
      <c r="C21" s="1"/>
      <c r="D21" s="1"/>
    </row>
    <row r="22" spans="1:4" ht="49" thickTop="1" thickBot="1" x14ac:dyDescent="0.6">
      <c r="A22" s="1"/>
      <c r="B22" s="12" t="s">
        <v>12</v>
      </c>
      <c r="C22" s="13"/>
      <c r="D22" s="1"/>
    </row>
    <row r="23" spans="1:4" ht="49" thickTop="1" thickBot="1" x14ac:dyDescent="0.6">
      <c r="A23" s="1"/>
      <c r="B23" s="8" t="s">
        <v>13</v>
      </c>
      <c r="C23" s="10" t="s">
        <v>14</v>
      </c>
      <c r="D23" s="1"/>
    </row>
    <row r="24" spans="1:4" ht="49" thickTop="1" thickBot="1" x14ac:dyDescent="0.6">
      <c r="A24" s="1"/>
      <c r="B24" s="9" t="s">
        <v>15</v>
      </c>
      <c r="C24" s="10" t="s">
        <v>16</v>
      </c>
      <c r="D24" s="1"/>
    </row>
    <row r="25" spans="1:4" ht="49" thickTop="1" thickBot="1" x14ac:dyDescent="0.6">
      <c r="A25" s="1"/>
      <c r="B25" s="8" t="s">
        <v>17</v>
      </c>
      <c r="C25" s="10" t="s">
        <v>18</v>
      </c>
      <c r="D25" s="1"/>
    </row>
    <row r="26" spans="1:4" ht="17" thickTop="1" x14ac:dyDescent="0.2"/>
  </sheetData>
  <sheetProtection algorithmName="SHA-512" hashValue="8G7zXaup6VTXgi2azjUdC2Z8tf9ta7GbXJXDqS7OD5rxJOm13pLtOPTNFy6JaL0bV9Yb5lkQlUmBJbyYTKIGmA==" saltValue="Sm3K9JIfAod/U41j+KfwKg==" spinCount="100000" sheet="1" objects="1" scenarios="1"/>
  <mergeCells count="2">
    <mergeCell ref="B9:C9"/>
    <mergeCell ref="B22:C22"/>
  </mergeCells>
  <hyperlinks>
    <hyperlink ref="B23" r:id="rId1" xr:uid="{A07D834F-EA74-8342-BABB-832CFCD45B5F}"/>
    <hyperlink ref="B24" r:id="rId2" xr:uid="{3E8BF129-0462-6A43-A58F-98FB92F9EC0C}"/>
    <hyperlink ref="B25" r:id="rId3" xr:uid="{64A8A381-533E-5B42-81F9-D5FF7C066C1C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2025-08-05T09:49:02Z</dcterms:created>
  <dcterms:modified xsi:type="dcterms:W3CDTF">2025-08-05T10:14:32Z</dcterms:modified>
</cp:coreProperties>
</file>