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8_{080BC460-C633-1341-9D93-B8C9D8335842}" xr6:coauthVersionLast="47" xr6:coauthVersionMax="47" xr10:uidLastSave="{00000000-0000-0000-0000-000000000000}"/>
  <bookViews>
    <workbookView xWindow="820" yWindow="660" windowWidth="32000" windowHeight="19860" xr2:uid="{0DF0E05E-BD29-B240-A240-590A5CA0A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4" i="1"/>
  <c r="G7" i="1"/>
  <c r="O7" i="1"/>
  <c r="O8" i="1" s="1"/>
  <c r="N9" i="1"/>
  <c r="N10" i="1" s="1"/>
  <c r="N12" i="1" l="1"/>
  <c r="O9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G10" i="1" l="1"/>
  <c r="M7" i="1" s="1"/>
  <c r="P7" i="1" s="1"/>
  <c r="M8" i="1" s="1"/>
  <c r="P8" i="1" s="1"/>
  <c r="M9" i="1" s="1"/>
  <c r="P9" i="1" s="1"/>
  <c r="M10" i="1" s="1"/>
  <c r="P10" i="1" s="1"/>
  <c r="M11" i="1" s="1"/>
  <c r="P11" i="1" s="1"/>
  <c r="M12" i="1" s="1"/>
  <c r="P12" i="1" s="1"/>
  <c r="M13" i="1" s="1"/>
  <c r="P13" i="1" s="1"/>
  <c r="M14" i="1" s="1"/>
  <c r="P14" i="1" s="1"/>
  <c r="M15" i="1" s="1"/>
  <c r="P15" i="1" s="1"/>
  <c r="M16" i="1" s="1"/>
  <c r="P16" i="1" s="1"/>
  <c r="M17" i="1" s="1"/>
  <c r="P17" i="1" s="1"/>
  <c r="M18" i="1" s="1"/>
  <c r="P18" i="1" s="1"/>
  <c r="M19" i="1" s="1"/>
  <c r="P19" i="1" s="1"/>
  <c r="M20" i="1" s="1"/>
  <c r="P20" i="1" s="1"/>
  <c r="M21" i="1" s="1"/>
  <c r="P21" i="1" s="1"/>
  <c r="M22" i="1" s="1"/>
  <c r="P22" i="1" s="1"/>
  <c r="M23" i="1" s="1"/>
  <c r="P23" i="1" s="1"/>
  <c r="M24" i="1" s="1"/>
  <c r="P24" i="1" s="1"/>
  <c r="M25" i="1" s="1"/>
  <c r="P25" i="1" s="1"/>
  <c r="M26" i="1" s="1"/>
  <c r="P26" i="1" s="1"/>
  <c r="M27" i="1" s="1"/>
  <c r="P27" i="1" s="1"/>
  <c r="M28" i="1" s="1"/>
  <c r="P28" i="1" s="1"/>
  <c r="M29" i="1" s="1"/>
  <c r="P29" i="1" s="1"/>
  <c r="M30" i="1" s="1"/>
  <c r="P30" i="1" s="1"/>
  <c r="M31" i="1" s="1"/>
  <c r="P31" i="1" s="1"/>
  <c r="M32" i="1" s="1"/>
  <c r="P32" i="1" s="1"/>
  <c r="M33" i="1" s="1"/>
  <c r="P33" i="1" s="1"/>
  <c r="M34" i="1" s="1"/>
  <c r="P34" i="1" s="1"/>
  <c r="M35" i="1" s="1"/>
  <c r="P35" i="1" s="1"/>
  <c r="M36" i="1" s="1"/>
  <c r="P36" i="1" s="1"/>
  <c r="M37" i="1" s="1"/>
  <c r="P37" i="1" s="1"/>
  <c r="M38" i="1" s="1"/>
  <c r="P38" i="1" s="1"/>
  <c r="M39" i="1" s="1"/>
  <c r="P39" i="1" s="1"/>
  <c r="M40" i="1" s="1"/>
  <c r="P40" i="1" s="1"/>
  <c r="M41" i="1" s="1"/>
  <c r="P41" i="1" s="1"/>
  <c r="M42" i="1" s="1"/>
  <c r="P42" i="1" s="1"/>
  <c r="M43" i="1" s="1"/>
  <c r="P43" i="1" s="1"/>
  <c r="M44" i="1" s="1"/>
  <c r="P44" i="1" s="1"/>
  <c r="M45" i="1" s="1"/>
  <c r="P45" i="1" s="1"/>
  <c r="M46" i="1" s="1"/>
  <c r="P46" i="1" s="1"/>
  <c r="M47" i="1" s="1"/>
  <c r="P47" i="1" s="1"/>
  <c r="M48" i="1" s="1"/>
  <c r="P48" i="1" s="1"/>
  <c r="M49" i="1" s="1"/>
  <c r="P49" i="1" s="1"/>
  <c r="M50" i="1" s="1"/>
  <c r="P50" i="1" s="1"/>
  <c r="M51" i="1" s="1"/>
  <c r="P51" i="1" s="1"/>
  <c r="M52" i="1" s="1"/>
  <c r="P52" i="1" s="1"/>
  <c r="M53" i="1" s="1"/>
  <c r="P53" i="1" s="1"/>
  <c r="M54" i="1" s="1"/>
  <c r="P54" i="1" s="1"/>
  <c r="M55" i="1" s="1"/>
  <c r="P55" i="1" s="1"/>
  <c r="M56" i="1" s="1"/>
  <c r="P56" i="1" s="1"/>
  <c r="M57" i="1" s="1"/>
  <c r="P57" i="1" s="1"/>
  <c r="M58" i="1" s="1"/>
  <c r="P58" i="1" s="1"/>
  <c r="M59" i="1" s="1"/>
  <c r="P59" i="1" s="1"/>
  <c r="M60" i="1" s="1"/>
  <c r="P60" i="1" s="1"/>
  <c r="M61" i="1" s="1"/>
  <c r="P61" i="1" s="1"/>
  <c r="M62" i="1" s="1"/>
  <c r="P62" i="1" s="1"/>
  <c r="M63" i="1" s="1"/>
  <c r="P63" i="1" s="1"/>
  <c r="M64" i="1" s="1"/>
  <c r="P64" i="1" s="1"/>
  <c r="M65" i="1" s="1"/>
  <c r="P65" i="1" s="1"/>
  <c r="M66" i="1" s="1"/>
  <c r="P66" i="1" s="1"/>
  <c r="M67" i="1" s="1"/>
  <c r="P67" i="1" s="1"/>
  <c r="M68" i="1" s="1"/>
  <c r="P68" i="1" s="1"/>
  <c r="M69" i="1" s="1"/>
  <c r="P69" i="1" s="1"/>
  <c r="M70" i="1" s="1"/>
  <c r="P70" i="1" s="1"/>
  <c r="M71" i="1" s="1"/>
  <c r="P71" i="1" s="1"/>
  <c r="M72" i="1" s="1"/>
  <c r="P72" i="1" s="1"/>
  <c r="M73" i="1" s="1"/>
  <c r="P73" i="1" s="1"/>
  <c r="M74" i="1" s="1"/>
  <c r="P74" i="1" s="1"/>
  <c r="M75" i="1" s="1"/>
  <c r="P75" i="1" s="1"/>
  <c r="M76" i="1" s="1"/>
  <c r="P76" i="1" s="1"/>
  <c r="M77" i="1" s="1"/>
  <c r="P77" i="1" s="1"/>
</calcChain>
</file>

<file path=xl/sharedStrings.xml><?xml version="1.0" encoding="utf-8"?>
<sst xmlns="http://schemas.openxmlformats.org/spreadsheetml/2006/main" count="17" uniqueCount="15">
  <si>
    <t>Sum Assured</t>
  </si>
  <si>
    <t>Age</t>
  </si>
  <si>
    <t>Begin Value</t>
  </si>
  <si>
    <t>End Value</t>
  </si>
  <si>
    <t xml:space="preserve">Return </t>
  </si>
  <si>
    <t>Premium Growth</t>
  </si>
  <si>
    <t>Investment for yrs</t>
  </si>
  <si>
    <t>Expected Return</t>
  </si>
  <si>
    <t>No of times of Investment</t>
  </si>
  <si>
    <t>Annual Premium</t>
  </si>
  <si>
    <t>Monthly Investment</t>
  </si>
  <si>
    <t>Details</t>
  </si>
  <si>
    <t>Current Premium</t>
  </si>
  <si>
    <t>Growth in Premium Rate</t>
  </si>
  <si>
    <t>Future Premium Withdrawal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</si>
</sst>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sz val="72"/>
      <color theme="1"/>
      <name val="Aptos Narrow"/>
      <family val="2"/>
      <scheme val="minor"/>
    </font>
    <font>
      <b/>
      <sz val="72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BACF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3" fillId="2" borderId="1" xfId="0" applyFont="1" applyFill="1" applyBorder="1" applyProtection="1"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0" fontId="3" fillId="2" borderId="2" xfId="0" applyFont="1" applyFill="1" applyBorder="1" applyProtection="1">
      <protection hidden="1"/>
    </xf>
    <xf numFmtId="9" fontId="2" fillId="0" borderId="2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hidden="1"/>
    </xf>
    <xf numFmtId="8" fontId="2" fillId="0" borderId="1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Protection="1">
      <protection hidden="1"/>
    </xf>
    <xf numFmtId="8" fontId="2" fillId="0" borderId="1" xfId="0" applyNumberFormat="1" applyFont="1" applyBorder="1" applyProtection="1">
      <protection hidden="1"/>
    </xf>
    <xf numFmtId="8" fontId="2" fillId="3" borderId="1" xfId="0" applyNumberFormat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9" fontId="2" fillId="3" borderId="1" xfId="1" applyFont="1" applyFill="1" applyBorder="1" applyProtection="1">
      <protection locked="0"/>
    </xf>
    <xf numFmtId="9" fontId="2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/>
      <protection hidden="1"/>
    </xf>
    <xf numFmtId="0" fontId="4" fillId="4" borderId="0" xfId="0" applyFont="1" applyFill="1" applyAlignment="1" applyProtection="1">
      <alignment horizontal="center"/>
      <protection hidden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8BACF"/>
      <color rgb="FFF9AC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9C4C-87A7-1C49-984A-1FD5CF9C2AAC}">
  <dimension ref="F1:AS78"/>
  <sheetViews>
    <sheetView showGridLines="0" tabSelected="1" zoomScale="35" zoomScaleNormal="35" workbookViewId="0">
      <selection activeCell="F36" sqref="F36"/>
    </sheetView>
  </sheetViews>
  <sheetFormatPr baseColWidth="10" defaultRowHeight="47" x14ac:dyDescent="0.55000000000000004"/>
  <cols>
    <col min="1" max="5" width="10.83203125" style="1"/>
    <col min="6" max="6" width="71.83203125" style="1" bestFit="1" customWidth="1"/>
    <col min="7" max="7" width="50.1640625" style="1" customWidth="1"/>
    <col min="8" max="11" width="10.83203125" style="1"/>
    <col min="12" max="12" width="15.1640625" style="1" customWidth="1"/>
    <col min="13" max="13" width="49.1640625" style="1" bestFit="1" customWidth="1"/>
    <col min="14" max="14" width="49.6640625" style="2" bestFit="1" customWidth="1"/>
    <col min="15" max="15" width="68.33203125" style="2" bestFit="1" customWidth="1"/>
    <col min="16" max="16" width="49.1640625" style="2" bestFit="1" customWidth="1"/>
    <col min="17" max="21" width="10.83203125" style="1"/>
    <col min="22" max="22" width="10.83203125" style="1" customWidth="1"/>
    <col min="23" max="32" width="0.1640625" style="1" customWidth="1"/>
    <col min="33" max="34" width="10.83203125" style="1"/>
    <col min="35" max="35" width="54.5" style="1" bestFit="1" customWidth="1"/>
    <col min="36" max="39" width="31.1640625" style="1" bestFit="1" customWidth="1"/>
    <col min="40" max="44" width="36.1640625" style="1" bestFit="1" customWidth="1"/>
    <col min="45" max="45" width="42.5" style="1" customWidth="1"/>
    <col min="46" max="16384" width="10.83203125" style="1"/>
  </cols>
  <sheetData>
    <row r="1" spans="6:45" ht="48" thickBot="1" x14ac:dyDescent="0.6"/>
    <row r="2" spans="6:45" ht="95" thickTop="1" thickBot="1" x14ac:dyDescent="1.1000000000000001">
      <c r="F2" s="19" t="s">
        <v>11</v>
      </c>
      <c r="G2" s="19"/>
      <c r="L2" s="20" t="s">
        <v>14</v>
      </c>
      <c r="M2" s="21"/>
      <c r="N2" s="21"/>
      <c r="O2" s="21"/>
      <c r="P2" s="21"/>
    </row>
    <row r="3" spans="6:45" ht="49" thickTop="1" thickBot="1" x14ac:dyDescent="0.6">
      <c r="F3" s="4" t="s">
        <v>1</v>
      </c>
      <c r="G3" s="15">
        <v>25</v>
      </c>
    </row>
    <row r="4" spans="6:45" ht="49" thickTop="1" thickBot="1" x14ac:dyDescent="0.6">
      <c r="F4" s="4" t="s">
        <v>9</v>
      </c>
      <c r="G4" s="16">
        <v>6981</v>
      </c>
      <c r="M4" s="5" t="s">
        <v>4</v>
      </c>
      <c r="N4" s="6">
        <f>G9</f>
        <v>0.12</v>
      </c>
      <c r="O4" s="7"/>
    </row>
    <row r="5" spans="6:45" ht="49" thickTop="1" thickBot="1" x14ac:dyDescent="0.6">
      <c r="F5" s="4" t="s">
        <v>0</v>
      </c>
      <c r="G5" s="16">
        <v>1000000</v>
      </c>
      <c r="M5" s="8" t="s">
        <v>5</v>
      </c>
      <c r="N5" s="9">
        <v>7.0000000000000007E-2</v>
      </c>
      <c r="O5" s="7"/>
    </row>
    <row r="6" spans="6:45" ht="49" thickTop="1" thickBot="1" x14ac:dyDescent="0.6">
      <c r="F6" s="4" t="s">
        <v>8</v>
      </c>
      <c r="G6" s="17">
        <v>0.3</v>
      </c>
      <c r="L6" s="5" t="s">
        <v>1</v>
      </c>
      <c r="M6" s="3" t="s">
        <v>2</v>
      </c>
      <c r="N6" s="3" t="s">
        <v>12</v>
      </c>
      <c r="O6" s="3" t="s">
        <v>13</v>
      </c>
      <c r="P6" s="3" t="s">
        <v>3</v>
      </c>
    </row>
    <row r="7" spans="6:45" ht="49" thickTop="1" thickBot="1" x14ac:dyDescent="0.6">
      <c r="F7" s="4" t="s">
        <v>10</v>
      </c>
      <c r="G7" s="10">
        <f>G4*G6</f>
        <v>2094.2999999999997</v>
      </c>
      <c r="L7" s="4">
        <v>30</v>
      </c>
      <c r="M7" s="11">
        <f>G10</f>
        <v>168258.72354184109</v>
      </c>
      <c r="N7" s="14">
        <v>7182</v>
      </c>
      <c r="O7" s="11">
        <f>N7</f>
        <v>7182</v>
      </c>
      <c r="P7" s="11">
        <f>(M7-O7)*(1+$N$4)</f>
        <v>180405.93036686204</v>
      </c>
    </row>
    <row r="8" spans="6:45" ht="49" thickTop="1" thickBot="1" x14ac:dyDescent="0.6">
      <c r="F8" s="4" t="s">
        <v>6</v>
      </c>
      <c r="G8" s="4">
        <v>5</v>
      </c>
      <c r="L8" s="4">
        <v>31</v>
      </c>
      <c r="M8" s="11">
        <f>P7</f>
        <v>180405.93036686204</v>
      </c>
      <c r="N8" s="14">
        <v>7708</v>
      </c>
      <c r="O8" s="11">
        <f>O7*(1+$N$5)</f>
        <v>7684.7400000000007</v>
      </c>
      <c r="P8" s="11">
        <f t="shared" ref="P8:P71" si="0">(M8-O8)*(1+$N$4)</f>
        <v>193447.73321088552</v>
      </c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spans="6:45" ht="49" thickTop="1" thickBot="1" x14ac:dyDescent="0.6">
      <c r="F9" s="4" t="s">
        <v>7</v>
      </c>
      <c r="G9" s="18">
        <v>0.12</v>
      </c>
      <c r="L9" s="4">
        <v>32</v>
      </c>
      <c r="M9" s="11">
        <f t="shared" ref="M9:M15" si="1">P8</f>
        <v>193447.73321088552</v>
      </c>
      <c r="N9" s="14">
        <f>N8</f>
        <v>7708</v>
      </c>
      <c r="O9" s="11">
        <f t="shared" ref="O9:O72" si="2">O8*(1+$N$5)</f>
        <v>8222.6718000000019</v>
      </c>
      <c r="P9" s="11">
        <f t="shared" si="0"/>
        <v>207452.0687801918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6:45" ht="49" thickTop="1" thickBot="1" x14ac:dyDescent="0.6">
      <c r="F10" s="4" t="s">
        <v>3</v>
      </c>
      <c r="G10" s="13">
        <f>FV(NOMINAL(G9,12)/12,G8*12,-G7,0)</f>
        <v>168258.72354184109</v>
      </c>
      <c r="L10" s="4">
        <v>33</v>
      </c>
      <c r="M10" s="11">
        <f t="shared" si="1"/>
        <v>207452.0687801918</v>
      </c>
      <c r="N10" s="14">
        <f t="shared" ref="N10:N11" si="3">N9</f>
        <v>7708</v>
      </c>
      <c r="O10" s="11">
        <f t="shared" si="2"/>
        <v>8798.258826000003</v>
      </c>
      <c r="P10" s="11">
        <f t="shared" si="0"/>
        <v>222492.26714869484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6:45" ht="49" thickTop="1" thickBot="1" x14ac:dyDescent="0.6">
      <c r="L11" s="4">
        <v>34</v>
      </c>
      <c r="M11" s="11">
        <f t="shared" si="1"/>
        <v>222492.26714869484</v>
      </c>
      <c r="N11" s="14">
        <f t="shared" si="3"/>
        <v>7708</v>
      </c>
      <c r="O11" s="11">
        <f t="shared" si="2"/>
        <v>9414.1369438200036</v>
      </c>
      <c r="P11" s="11">
        <f t="shared" si="0"/>
        <v>238647.50582945984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spans="6:45" ht="49" thickTop="1" thickBot="1" x14ac:dyDescent="0.6">
      <c r="L12" s="4">
        <v>35</v>
      </c>
      <c r="M12" s="11">
        <f t="shared" si="1"/>
        <v>238647.50582945984</v>
      </c>
      <c r="N12" s="14">
        <f>N11</f>
        <v>7708</v>
      </c>
      <c r="O12" s="11">
        <f t="shared" si="2"/>
        <v>10073.126529887404</v>
      </c>
      <c r="P12" s="11">
        <f t="shared" si="0"/>
        <v>256003.30481552114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6:45" ht="49" thickTop="1" thickBot="1" x14ac:dyDescent="0.6">
      <c r="L13" s="4">
        <v>36</v>
      </c>
      <c r="M13" s="11">
        <f t="shared" si="1"/>
        <v>256003.30481552114</v>
      </c>
      <c r="N13" s="14">
        <v>9537</v>
      </c>
      <c r="O13" s="11">
        <f t="shared" si="2"/>
        <v>10778.245386979523</v>
      </c>
      <c r="P13" s="11">
        <f t="shared" si="0"/>
        <v>274652.06655996665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6:45" ht="49" thickTop="1" thickBot="1" x14ac:dyDescent="0.6">
      <c r="L14" s="4">
        <v>37</v>
      </c>
      <c r="M14" s="11">
        <f t="shared" si="1"/>
        <v>274652.06655996665</v>
      </c>
      <c r="N14" s="14">
        <v>9537</v>
      </c>
      <c r="O14" s="11">
        <f t="shared" si="2"/>
        <v>11532.72256406809</v>
      </c>
      <c r="P14" s="11">
        <f t="shared" si="0"/>
        <v>294693.66527540638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spans="6:45" ht="49" thickTop="1" thickBot="1" x14ac:dyDescent="0.6">
      <c r="L15" s="4">
        <v>38</v>
      </c>
      <c r="M15" s="11">
        <f t="shared" si="1"/>
        <v>294693.66527540638</v>
      </c>
      <c r="N15" s="14">
        <v>9537</v>
      </c>
      <c r="O15" s="11">
        <f t="shared" si="2"/>
        <v>12340.013143552856</v>
      </c>
      <c r="P15" s="11">
        <f t="shared" si="0"/>
        <v>316236.09038767597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spans="6:45" ht="49" thickTop="1" thickBot="1" x14ac:dyDescent="0.6">
      <c r="L16" s="4">
        <v>39</v>
      </c>
      <c r="M16" s="11">
        <f>P15</f>
        <v>316236.09038767597</v>
      </c>
      <c r="N16" s="14">
        <v>9537</v>
      </c>
      <c r="O16" s="11">
        <f t="shared" si="2"/>
        <v>13203.814063601558</v>
      </c>
      <c r="P16" s="11">
        <f t="shared" si="0"/>
        <v>339396.14948296337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12:45" ht="49" thickTop="1" thickBot="1" x14ac:dyDescent="0.6">
      <c r="L17" s="4">
        <v>40</v>
      </c>
      <c r="M17" s="11">
        <f t="shared" ref="M17:M21" si="4">P16</f>
        <v>339396.14948296337</v>
      </c>
      <c r="N17" s="14">
        <v>9537</v>
      </c>
      <c r="O17" s="11">
        <f t="shared" si="2"/>
        <v>14128.081048053667</v>
      </c>
      <c r="P17" s="11">
        <f t="shared" si="0"/>
        <v>364300.23664709891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spans="12:45" ht="49" thickTop="1" thickBot="1" x14ac:dyDescent="0.6">
      <c r="L18" s="4">
        <v>41</v>
      </c>
      <c r="M18" s="11">
        <f t="shared" si="4"/>
        <v>364300.23664709891</v>
      </c>
      <c r="N18" s="14">
        <v>11851</v>
      </c>
      <c r="O18" s="11">
        <f t="shared" si="2"/>
        <v>15117.046721417426</v>
      </c>
      <c r="P18" s="11">
        <f t="shared" si="0"/>
        <v>391085.17271676334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2:45" ht="49" thickTop="1" thickBot="1" x14ac:dyDescent="0.6">
      <c r="L19" s="4">
        <v>42</v>
      </c>
      <c r="M19" s="11">
        <f t="shared" si="4"/>
        <v>391085.17271676334</v>
      </c>
      <c r="N19" s="14">
        <v>11851</v>
      </c>
      <c r="O19" s="11">
        <f t="shared" si="2"/>
        <v>16175.239991916647</v>
      </c>
      <c r="P19" s="11">
        <f t="shared" si="0"/>
        <v>419899.12465182837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2:45" ht="49" thickTop="1" thickBot="1" x14ac:dyDescent="0.6">
      <c r="L20" s="4">
        <v>43</v>
      </c>
      <c r="M20" s="11">
        <f t="shared" si="4"/>
        <v>419899.12465182837</v>
      </c>
      <c r="N20" s="14">
        <v>11851</v>
      </c>
      <c r="O20" s="11">
        <f t="shared" si="2"/>
        <v>17307.506791350814</v>
      </c>
      <c r="P20" s="11">
        <f t="shared" si="0"/>
        <v>450902.61200373486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2:45" ht="49" thickTop="1" thickBot="1" x14ac:dyDescent="0.6">
      <c r="L21" s="4">
        <v>44</v>
      </c>
      <c r="M21" s="11">
        <f t="shared" si="4"/>
        <v>450902.61200373486</v>
      </c>
      <c r="N21" s="14">
        <v>11851</v>
      </c>
      <c r="O21" s="11">
        <f t="shared" si="2"/>
        <v>18519.032266745373</v>
      </c>
      <c r="P21" s="11">
        <f t="shared" si="0"/>
        <v>484269.60930542822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2:45" ht="49" thickTop="1" thickBot="1" x14ac:dyDescent="0.6">
      <c r="L22" s="4">
        <v>45</v>
      </c>
      <c r="M22" s="11">
        <f>P21</f>
        <v>484269.60930542822</v>
      </c>
      <c r="N22" s="14">
        <v>11851</v>
      </c>
      <c r="O22" s="11">
        <f t="shared" si="2"/>
        <v>19815.36452541755</v>
      </c>
      <c r="P22" s="11">
        <f t="shared" si="0"/>
        <v>520188.75415361201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spans="12:45" ht="49" thickTop="1" thickBot="1" x14ac:dyDescent="0.6">
      <c r="L23" s="4">
        <v>46</v>
      </c>
      <c r="M23" s="11">
        <f t="shared" ref="M23:M43" si="5">P22</f>
        <v>520188.75415361201</v>
      </c>
      <c r="N23" s="14">
        <v>15101</v>
      </c>
      <c r="O23" s="11">
        <f t="shared" si="2"/>
        <v>21202.44004219678</v>
      </c>
      <c r="P23" s="11">
        <f t="shared" si="0"/>
        <v>558864.67180478515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12:45" ht="49" thickTop="1" thickBot="1" x14ac:dyDescent="0.6">
      <c r="L24" s="4">
        <v>47</v>
      </c>
      <c r="M24" s="11">
        <f t="shared" si="5"/>
        <v>558864.67180478515</v>
      </c>
      <c r="N24" s="14">
        <v>15101</v>
      </c>
      <c r="O24" s="11">
        <f t="shared" si="2"/>
        <v>22686.610845150557</v>
      </c>
      <c r="P24" s="11">
        <f t="shared" si="0"/>
        <v>600519.42827479076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spans="12:45" ht="49" thickTop="1" thickBot="1" x14ac:dyDescent="0.6">
      <c r="L25" s="4">
        <v>48</v>
      </c>
      <c r="M25" s="11">
        <f t="shared" si="5"/>
        <v>600519.42827479076</v>
      </c>
      <c r="N25" s="14">
        <v>15101</v>
      </c>
      <c r="O25" s="11">
        <f t="shared" si="2"/>
        <v>24274.673604311098</v>
      </c>
      <c r="P25" s="11">
        <f t="shared" si="0"/>
        <v>645394.12523093726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spans="12:45" ht="49" thickTop="1" thickBot="1" x14ac:dyDescent="0.6">
      <c r="L26" s="4">
        <v>49</v>
      </c>
      <c r="M26" s="11">
        <f t="shared" si="5"/>
        <v>645394.12523093726</v>
      </c>
      <c r="N26" s="14">
        <v>15101</v>
      </c>
      <c r="O26" s="11">
        <f t="shared" si="2"/>
        <v>25973.900756612875</v>
      </c>
      <c r="P26" s="11">
        <f t="shared" si="0"/>
        <v>693750.65141124337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spans="12:45" ht="49" thickTop="1" thickBot="1" x14ac:dyDescent="0.6">
      <c r="L27" s="4">
        <v>50</v>
      </c>
      <c r="M27" s="11">
        <f t="shared" si="5"/>
        <v>693750.65141124337</v>
      </c>
      <c r="N27" s="14">
        <v>15101</v>
      </c>
      <c r="O27" s="11">
        <f t="shared" si="2"/>
        <v>27792.073809575777</v>
      </c>
      <c r="P27" s="11">
        <f t="shared" si="0"/>
        <v>745873.60691386776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2:45" ht="49" thickTop="1" thickBot="1" x14ac:dyDescent="0.6">
      <c r="L28" s="4">
        <v>51</v>
      </c>
      <c r="M28" s="11">
        <f t="shared" si="5"/>
        <v>745873.60691386776</v>
      </c>
      <c r="N28" s="14">
        <v>20130</v>
      </c>
      <c r="O28" s="11">
        <f t="shared" si="2"/>
        <v>29737.518976246083</v>
      </c>
      <c r="P28" s="11">
        <f t="shared" si="0"/>
        <v>802072.41849013628</v>
      </c>
    </row>
    <row r="29" spans="12:45" ht="49" thickTop="1" thickBot="1" x14ac:dyDescent="0.6">
      <c r="L29" s="4">
        <v>52</v>
      </c>
      <c r="M29" s="11">
        <f t="shared" si="5"/>
        <v>802072.41849013628</v>
      </c>
      <c r="N29" s="14">
        <v>20130</v>
      </c>
      <c r="O29" s="11">
        <f t="shared" si="2"/>
        <v>31819.145304583311</v>
      </c>
      <c r="P29" s="11">
        <f t="shared" si="0"/>
        <v>862683.6659678194</v>
      </c>
    </row>
    <row r="30" spans="12:45" ht="49" thickTop="1" thickBot="1" x14ac:dyDescent="0.6">
      <c r="L30" s="4">
        <v>53</v>
      </c>
      <c r="M30" s="11">
        <f t="shared" si="5"/>
        <v>862683.6659678194</v>
      </c>
      <c r="N30" s="14">
        <v>20130</v>
      </c>
      <c r="O30" s="11">
        <f t="shared" si="2"/>
        <v>34046.485475904148</v>
      </c>
      <c r="P30" s="11">
        <f t="shared" si="0"/>
        <v>928073.64215094515</v>
      </c>
    </row>
    <row r="31" spans="12:45" ht="49" thickTop="1" thickBot="1" x14ac:dyDescent="0.6">
      <c r="L31" s="4">
        <v>54</v>
      </c>
      <c r="M31" s="11">
        <f t="shared" si="5"/>
        <v>928073.64215094515</v>
      </c>
      <c r="N31" s="14">
        <v>20130</v>
      </c>
      <c r="O31" s="11">
        <f t="shared" si="2"/>
        <v>36429.739459217439</v>
      </c>
      <c r="P31" s="11">
        <f t="shared" si="0"/>
        <v>998641.17101473513</v>
      </c>
    </row>
    <row r="32" spans="12:45" ht="49" thickTop="1" thickBot="1" x14ac:dyDescent="0.6">
      <c r="L32" s="4">
        <v>55</v>
      </c>
      <c r="M32" s="11">
        <f t="shared" si="5"/>
        <v>998641.17101473513</v>
      </c>
      <c r="N32" s="14">
        <v>20130</v>
      </c>
      <c r="O32" s="11">
        <f t="shared" si="2"/>
        <v>38979.821221362661</v>
      </c>
      <c r="P32" s="11">
        <f t="shared" si="0"/>
        <v>1074820.7117685773</v>
      </c>
    </row>
    <row r="33" spans="12:16" ht="49" thickTop="1" thickBot="1" x14ac:dyDescent="0.6">
      <c r="L33" s="4">
        <v>56</v>
      </c>
      <c r="M33" s="11">
        <f t="shared" si="5"/>
        <v>1074820.7117685773</v>
      </c>
      <c r="N33" s="14">
        <v>24893</v>
      </c>
      <c r="O33" s="11">
        <f t="shared" si="2"/>
        <v>41708.408706858048</v>
      </c>
      <c r="P33" s="11">
        <f t="shared" si="0"/>
        <v>1157085.7794291256</v>
      </c>
    </row>
    <row r="34" spans="12:16" ht="49" thickTop="1" thickBot="1" x14ac:dyDescent="0.6">
      <c r="L34" s="4">
        <v>57</v>
      </c>
      <c r="M34" s="11">
        <f t="shared" si="5"/>
        <v>1157085.7794291256</v>
      </c>
      <c r="N34" s="14">
        <v>24893</v>
      </c>
      <c r="O34" s="11">
        <f t="shared" si="2"/>
        <v>44627.997316338115</v>
      </c>
      <c r="P34" s="11">
        <f t="shared" si="0"/>
        <v>1245952.715966322</v>
      </c>
    </row>
    <row r="35" spans="12:16" ht="49" thickTop="1" thickBot="1" x14ac:dyDescent="0.6">
      <c r="L35" s="4">
        <v>58</v>
      </c>
      <c r="M35" s="11">
        <f t="shared" si="5"/>
        <v>1245952.715966322</v>
      </c>
      <c r="N35" s="14">
        <v>24893</v>
      </c>
      <c r="O35" s="11">
        <f t="shared" si="2"/>
        <v>47751.957128481787</v>
      </c>
      <c r="P35" s="11">
        <f t="shared" si="0"/>
        <v>1341984.8498983812</v>
      </c>
    </row>
    <row r="36" spans="12:16" ht="49" thickTop="1" thickBot="1" x14ac:dyDescent="0.6">
      <c r="L36" s="4">
        <v>59</v>
      </c>
      <c r="M36" s="11">
        <f t="shared" si="5"/>
        <v>1341984.8498983812</v>
      </c>
      <c r="N36" s="14">
        <v>24893</v>
      </c>
      <c r="O36" s="11">
        <f t="shared" si="2"/>
        <v>51094.594127475517</v>
      </c>
      <c r="P36" s="11">
        <f t="shared" si="0"/>
        <v>1445797.0864634144</v>
      </c>
    </row>
    <row r="37" spans="12:16" ht="49" thickTop="1" thickBot="1" x14ac:dyDescent="0.6">
      <c r="L37" s="4">
        <v>60</v>
      </c>
      <c r="M37" s="11">
        <f t="shared" si="5"/>
        <v>1445797.0864634144</v>
      </c>
      <c r="N37" s="14">
        <v>24893</v>
      </c>
      <c r="O37" s="11">
        <f t="shared" si="2"/>
        <v>54671.215716398809</v>
      </c>
      <c r="P37" s="11">
        <f t="shared" si="0"/>
        <v>1558060.9752366575</v>
      </c>
    </row>
    <row r="38" spans="12:16" ht="49" thickTop="1" thickBot="1" x14ac:dyDescent="0.6">
      <c r="L38" s="4">
        <v>61</v>
      </c>
      <c r="M38" s="11">
        <f t="shared" si="5"/>
        <v>1558060.9752366575</v>
      </c>
      <c r="N38" s="14">
        <v>35176</v>
      </c>
      <c r="O38" s="11">
        <f t="shared" si="2"/>
        <v>58498.200816546727</v>
      </c>
      <c r="P38" s="11">
        <f t="shared" si="0"/>
        <v>1679510.3073505242</v>
      </c>
    </row>
    <row r="39" spans="12:16" ht="49" thickTop="1" thickBot="1" x14ac:dyDescent="0.6">
      <c r="L39" s="4">
        <v>62</v>
      </c>
      <c r="M39" s="11">
        <f t="shared" si="5"/>
        <v>1679510.3073505242</v>
      </c>
      <c r="N39" s="14">
        <v>35176</v>
      </c>
      <c r="O39" s="11">
        <f t="shared" si="2"/>
        <v>62593.074873705002</v>
      </c>
      <c r="P39" s="11">
        <f t="shared" si="0"/>
        <v>1810947.3003740378</v>
      </c>
    </row>
    <row r="40" spans="12:16" ht="49" thickTop="1" thickBot="1" x14ac:dyDescent="0.6">
      <c r="L40" s="4">
        <v>63</v>
      </c>
      <c r="M40" s="11">
        <f t="shared" si="5"/>
        <v>1810947.3003740378</v>
      </c>
      <c r="N40" s="14">
        <v>35176</v>
      </c>
      <c r="O40" s="11">
        <f t="shared" si="2"/>
        <v>66974.590114864361</v>
      </c>
      <c r="P40" s="11">
        <f t="shared" si="0"/>
        <v>1953249.4354902746</v>
      </c>
    </row>
    <row r="41" spans="12:16" ht="49" thickTop="1" thickBot="1" x14ac:dyDescent="0.6">
      <c r="L41" s="4">
        <v>64</v>
      </c>
      <c r="M41" s="11">
        <f t="shared" si="5"/>
        <v>1953249.4354902746</v>
      </c>
      <c r="N41" s="14">
        <v>35176</v>
      </c>
      <c r="O41" s="11">
        <f t="shared" si="2"/>
        <v>71662.811422904866</v>
      </c>
      <c r="P41" s="11">
        <f t="shared" si="0"/>
        <v>2107377.0189554542</v>
      </c>
    </row>
    <row r="42" spans="12:16" ht="49" thickTop="1" thickBot="1" x14ac:dyDescent="0.6">
      <c r="L42" s="4">
        <v>65</v>
      </c>
      <c r="M42" s="11">
        <f t="shared" si="5"/>
        <v>2107377.0189554542</v>
      </c>
      <c r="N42" s="14">
        <v>35176</v>
      </c>
      <c r="O42" s="11">
        <f t="shared" si="2"/>
        <v>76679.208222508212</v>
      </c>
      <c r="P42" s="11">
        <f t="shared" si="0"/>
        <v>2274381.5480208998</v>
      </c>
    </row>
    <row r="43" spans="12:16" ht="49" thickTop="1" thickBot="1" x14ac:dyDescent="0.6">
      <c r="L43" s="4">
        <v>66</v>
      </c>
      <c r="M43" s="11">
        <f t="shared" si="5"/>
        <v>2274381.5480208998</v>
      </c>
      <c r="N43" s="14">
        <v>45401</v>
      </c>
      <c r="O43" s="11">
        <f t="shared" si="2"/>
        <v>82046.752798083791</v>
      </c>
      <c r="P43" s="11">
        <f t="shared" si="0"/>
        <v>2455414.9706495544</v>
      </c>
    </row>
    <row r="44" spans="12:16" ht="49" thickTop="1" thickBot="1" x14ac:dyDescent="0.6">
      <c r="L44" s="4">
        <v>67</v>
      </c>
      <c r="M44" s="11">
        <f t="shared" ref="M44:M58" si="6">P43</f>
        <v>2455414.9706495544</v>
      </c>
      <c r="N44" s="14">
        <v>45401</v>
      </c>
      <c r="O44" s="11">
        <f t="shared" si="2"/>
        <v>87790.025493949666</v>
      </c>
      <c r="P44" s="11">
        <f t="shared" si="0"/>
        <v>2651739.9385742778</v>
      </c>
    </row>
    <row r="45" spans="12:16" ht="49" thickTop="1" thickBot="1" x14ac:dyDescent="0.6">
      <c r="L45" s="4">
        <v>68</v>
      </c>
      <c r="M45" s="11">
        <f t="shared" si="6"/>
        <v>2651739.9385742778</v>
      </c>
      <c r="N45" s="14">
        <v>45401</v>
      </c>
      <c r="O45" s="11">
        <f t="shared" si="2"/>
        <v>93935.327278526151</v>
      </c>
      <c r="P45" s="11">
        <f t="shared" si="0"/>
        <v>2864741.1646512421</v>
      </c>
    </row>
    <row r="46" spans="12:16" ht="49" thickTop="1" thickBot="1" x14ac:dyDescent="0.6">
      <c r="L46" s="4">
        <v>69</v>
      </c>
      <c r="M46" s="11">
        <f t="shared" si="6"/>
        <v>2864741.1646512421</v>
      </c>
      <c r="N46" s="14">
        <v>45401</v>
      </c>
      <c r="O46" s="11">
        <f t="shared" si="2"/>
        <v>100510.80018802299</v>
      </c>
      <c r="P46" s="11">
        <f t="shared" si="0"/>
        <v>3095938.0081988056</v>
      </c>
    </row>
    <row r="47" spans="12:16" ht="49" thickTop="1" thickBot="1" x14ac:dyDescent="0.6">
      <c r="L47" s="4">
        <v>70</v>
      </c>
      <c r="M47" s="11">
        <f t="shared" si="6"/>
        <v>3095938.0081988056</v>
      </c>
      <c r="N47" s="14">
        <v>45401</v>
      </c>
      <c r="O47" s="11">
        <f t="shared" si="2"/>
        <v>107546.55620118461</v>
      </c>
      <c r="P47" s="11">
        <f t="shared" si="0"/>
        <v>3346998.4262373359</v>
      </c>
    </row>
    <row r="48" spans="12:16" ht="49" thickTop="1" thickBot="1" x14ac:dyDescent="0.6">
      <c r="L48" s="4">
        <v>71</v>
      </c>
      <c r="M48" s="11">
        <f t="shared" si="6"/>
        <v>3346998.4262373359</v>
      </c>
      <c r="N48" s="14">
        <v>57447</v>
      </c>
      <c r="O48" s="11">
        <f t="shared" si="2"/>
        <v>115074.81513526753</v>
      </c>
      <c r="P48" s="11">
        <f t="shared" si="0"/>
        <v>3619754.4444343168</v>
      </c>
    </row>
    <row r="49" spans="12:16" ht="49" thickTop="1" thickBot="1" x14ac:dyDescent="0.6">
      <c r="L49" s="4">
        <v>72</v>
      </c>
      <c r="M49" s="11">
        <f t="shared" si="6"/>
        <v>3619754.4444343168</v>
      </c>
      <c r="N49" s="14">
        <v>57447</v>
      </c>
      <c r="O49" s="11">
        <f t="shared" si="2"/>
        <v>123130.05219473627</v>
      </c>
      <c r="P49" s="11">
        <f t="shared" si="0"/>
        <v>3916219.3193083303</v>
      </c>
    </row>
    <row r="50" spans="12:16" ht="49" thickTop="1" thickBot="1" x14ac:dyDescent="0.6">
      <c r="L50" s="4">
        <v>73</v>
      </c>
      <c r="M50" s="11">
        <f t="shared" si="6"/>
        <v>3916219.3193083303</v>
      </c>
      <c r="N50" s="14">
        <v>57447</v>
      </c>
      <c r="O50" s="11">
        <f t="shared" si="2"/>
        <v>131749.15584836781</v>
      </c>
      <c r="P50" s="11">
        <f t="shared" si="0"/>
        <v>4238606.5830751583</v>
      </c>
    </row>
    <row r="51" spans="12:16" ht="49" thickTop="1" thickBot="1" x14ac:dyDescent="0.6">
      <c r="L51" s="4">
        <v>74</v>
      </c>
      <c r="M51" s="11">
        <f t="shared" si="6"/>
        <v>4238606.5830751583</v>
      </c>
      <c r="N51" s="14">
        <v>57447</v>
      </c>
      <c r="O51" s="11">
        <f t="shared" si="2"/>
        <v>140971.59675775358</v>
      </c>
      <c r="P51" s="11">
        <f t="shared" si="0"/>
        <v>4589351.1846754933</v>
      </c>
    </row>
    <row r="52" spans="12:16" ht="49" thickTop="1" thickBot="1" x14ac:dyDescent="0.6">
      <c r="L52" s="4">
        <v>75</v>
      </c>
      <c r="M52" s="11">
        <f t="shared" si="6"/>
        <v>4589351.1846754933</v>
      </c>
      <c r="N52" s="14">
        <v>57447</v>
      </c>
      <c r="O52" s="11">
        <f t="shared" si="2"/>
        <v>150839.60853079634</v>
      </c>
      <c r="P52" s="11">
        <f t="shared" si="0"/>
        <v>4971132.9652820611</v>
      </c>
    </row>
    <row r="53" spans="12:16" ht="49" thickTop="1" thickBot="1" x14ac:dyDescent="0.6">
      <c r="L53" s="4">
        <v>76</v>
      </c>
      <c r="M53" s="11">
        <f t="shared" si="6"/>
        <v>4971132.9652820611</v>
      </c>
      <c r="N53" s="14">
        <v>71031</v>
      </c>
      <c r="O53" s="11">
        <f t="shared" si="2"/>
        <v>161398.3811279521</v>
      </c>
      <c r="P53" s="11">
        <f t="shared" si="0"/>
        <v>5386902.7342526028</v>
      </c>
    </row>
    <row r="54" spans="12:16" ht="49" thickTop="1" thickBot="1" x14ac:dyDescent="0.6">
      <c r="L54" s="4">
        <v>77</v>
      </c>
      <c r="M54" s="11">
        <f t="shared" si="6"/>
        <v>5386902.7342526028</v>
      </c>
      <c r="N54" s="14">
        <v>71031</v>
      </c>
      <c r="O54" s="11">
        <f t="shared" si="2"/>
        <v>172696.26780690876</v>
      </c>
      <c r="P54" s="11">
        <f t="shared" si="0"/>
        <v>5839911.2424191777</v>
      </c>
    </row>
    <row r="55" spans="12:16" ht="49" thickTop="1" thickBot="1" x14ac:dyDescent="0.6">
      <c r="L55" s="4">
        <v>78</v>
      </c>
      <c r="M55" s="11">
        <f t="shared" si="6"/>
        <v>5839911.2424191777</v>
      </c>
      <c r="N55" s="14">
        <v>71031</v>
      </c>
      <c r="O55" s="11">
        <f t="shared" si="2"/>
        <v>184785.00655339239</v>
      </c>
      <c r="P55" s="11">
        <f t="shared" si="0"/>
        <v>6333741.3841696791</v>
      </c>
    </row>
    <row r="56" spans="12:16" ht="49" thickTop="1" thickBot="1" x14ac:dyDescent="0.6">
      <c r="L56" s="4">
        <v>79</v>
      </c>
      <c r="M56" s="11">
        <f t="shared" si="6"/>
        <v>6333741.3841696791</v>
      </c>
      <c r="N56" s="14">
        <v>71031</v>
      </c>
      <c r="O56" s="11">
        <f t="shared" si="2"/>
        <v>197719.95701212986</v>
      </c>
      <c r="P56" s="11">
        <f t="shared" si="0"/>
        <v>6872343.9984164555</v>
      </c>
    </row>
    <row r="57" spans="12:16" ht="49" thickTop="1" thickBot="1" x14ac:dyDescent="0.6">
      <c r="L57" s="4">
        <v>80</v>
      </c>
      <c r="M57" s="11">
        <f t="shared" si="6"/>
        <v>6872343.9984164555</v>
      </c>
      <c r="N57" s="14">
        <v>71031</v>
      </c>
      <c r="O57" s="11">
        <f t="shared" si="2"/>
        <v>211560.35400297897</v>
      </c>
      <c r="P57" s="11">
        <f t="shared" si="0"/>
        <v>7460077.6817430947</v>
      </c>
    </row>
    <row r="58" spans="12:16" ht="49" thickTop="1" thickBot="1" x14ac:dyDescent="0.6">
      <c r="L58" s="4">
        <v>81</v>
      </c>
      <c r="M58" s="11">
        <f t="shared" si="6"/>
        <v>7460077.6817430947</v>
      </c>
      <c r="N58" s="14">
        <v>80532</v>
      </c>
      <c r="O58" s="11">
        <f t="shared" si="2"/>
        <v>226369.57878318752</v>
      </c>
      <c r="P58" s="11">
        <f t="shared" si="0"/>
        <v>8101753.0753150973</v>
      </c>
    </row>
    <row r="59" spans="12:16" ht="49" thickTop="1" thickBot="1" x14ac:dyDescent="0.6">
      <c r="L59" s="4">
        <v>82</v>
      </c>
      <c r="M59" s="11">
        <f t="shared" ref="M59:M77" si="7">P58</f>
        <v>8101753.0753150973</v>
      </c>
      <c r="N59" s="14">
        <v>80532</v>
      </c>
      <c r="O59" s="11">
        <f t="shared" si="2"/>
        <v>242215.44929801067</v>
      </c>
      <c r="P59" s="11">
        <f t="shared" si="0"/>
        <v>8802682.1411391366</v>
      </c>
    </row>
    <row r="60" spans="12:16" ht="49" thickTop="1" thickBot="1" x14ac:dyDescent="0.6">
      <c r="L60" s="4">
        <v>83</v>
      </c>
      <c r="M60" s="11">
        <f t="shared" si="7"/>
        <v>8802682.1411391366</v>
      </c>
      <c r="N60" s="14">
        <v>80532</v>
      </c>
      <c r="O60" s="11">
        <f t="shared" si="2"/>
        <v>259170.53074887145</v>
      </c>
      <c r="P60" s="11">
        <f t="shared" si="0"/>
        <v>9568733.0036370978</v>
      </c>
    </row>
    <row r="61" spans="12:16" ht="49" thickTop="1" thickBot="1" x14ac:dyDescent="0.6">
      <c r="L61" s="4">
        <v>84</v>
      </c>
      <c r="M61" s="11">
        <f t="shared" si="7"/>
        <v>9568733.0036370978</v>
      </c>
      <c r="N61" s="14">
        <v>80532</v>
      </c>
      <c r="O61" s="11">
        <f t="shared" si="2"/>
        <v>277312.46790129249</v>
      </c>
      <c r="P61" s="11">
        <f t="shared" si="0"/>
        <v>10406391.000024103</v>
      </c>
    </row>
    <row r="62" spans="12:16" ht="49" thickTop="1" thickBot="1" x14ac:dyDescent="0.6">
      <c r="L62" s="4">
        <v>85</v>
      </c>
      <c r="M62" s="11">
        <f t="shared" si="7"/>
        <v>10406391.000024103</v>
      </c>
      <c r="N62" s="14">
        <v>80532</v>
      </c>
      <c r="O62" s="11">
        <f t="shared" si="2"/>
        <v>296724.34065438301</v>
      </c>
      <c r="P62" s="11">
        <f t="shared" si="0"/>
        <v>11322826.658494087</v>
      </c>
    </row>
    <row r="63" spans="12:16" ht="49" thickTop="1" thickBot="1" x14ac:dyDescent="0.6">
      <c r="L63" s="4">
        <v>86</v>
      </c>
      <c r="M63" s="11">
        <f t="shared" si="7"/>
        <v>11322826.658494087</v>
      </c>
      <c r="N63" s="14">
        <v>80532</v>
      </c>
      <c r="O63" s="11">
        <f t="shared" si="2"/>
        <v>317495.04450018983</v>
      </c>
      <c r="P63" s="11">
        <f t="shared" si="0"/>
        <v>12325971.407673167</v>
      </c>
    </row>
    <row r="64" spans="12:16" ht="49" thickTop="1" thickBot="1" x14ac:dyDescent="0.6">
      <c r="L64" s="4">
        <v>87</v>
      </c>
      <c r="M64" s="11">
        <f t="shared" si="7"/>
        <v>12325971.407673167</v>
      </c>
      <c r="N64" s="14">
        <v>80532</v>
      </c>
      <c r="O64" s="11">
        <f t="shared" si="2"/>
        <v>339719.69761520316</v>
      </c>
      <c r="P64" s="11">
        <f t="shared" si="0"/>
        <v>13424601.915264921</v>
      </c>
    </row>
    <row r="65" spans="12:16" ht="49" thickTop="1" thickBot="1" x14ac:dyDescent="0.6">
      <c r="L65" s="4">
        <v>88</v>
      </c>
      <c r="M65" s="11">
        <f t="shared" si="7"/>
        <v>13424601.915264921</v>
      </c>
      <c r="N65" s="14">
        <v>80532</v>
      </c>
      <c r="O65" s="11">
        <f t="shared" si="2"/>
        <v>363500.07644826738</v>
      </c>
      <c r="P65" s="11">
        <f t="shared" si="0"/>
        <v>14628434.059474654</v>
      </c>
    </row>
    <row r="66" spans="12:16" ht="49" thickTop="1" thickBot="1" x14ac:dyDescent="0.6">
      <c r="L66" s="4">
        <v>89</v>
      </c>
      <c r="M66" s="11">
        <f t="shared" si="7"/>
        <v>14628434.059474654</v>
      </c>
      <c r="N66" s="14">
        <v>80532</v>
      </c>
      <c r="O66" s="11">
        <f t="shared" si="2"/>
        <v>388945.08179964614</v>
      </c>
      <c r="P66" s="11">
        <f t="shared" si="0"/>
        <v>15948227.65499601</v>
      </c>
    </row>
    <row r="67" spans="12:16" ht="49" thickTop="1" thickBot="1" x14ac:dyDescent="0.6">
      <c r="L67" s="4">
        <v>90</v>
      </c>
      <c r="M67" s="11">
        <f t="shared" si="7"/>
        <v>15948227.65499601</v>
      </c>
      <c r="N67" s="14">
        <v>80532</v>
      </c>
      <c r="O67" s="11">
        <f t="shared" si="2"/>
        <v>416171.23752562137</v>
      </c>
      <c r="P67" s="11">
        <f t="shared" si="0"/>
        <v>17395903.187566835</v>
      </c>
    </row>
    <row r="68" spans="12:16" ht="49" thickTop="1" thickBot="1" x14ac:dyDescent="0.6">
      <c r="L68" s="4">
        <v>91</v>
      </c>
      <c r="M68" s="11">
        <f t="shared" si="7"/>
        <v>17395903.187566835</v>
      </c>
      <c r="N68" s="14">
        <v>80532</v>
      </c>
      <c r="O68" s="11">
        <f t="shared" si="2"/>
        <v>445303.22415241488</v>
      </c>
      <c r="P68" s="11">
        <f t="shared" si="0"/>
        <v>18984671.95902415</v>
      </c>
    </row>
    <row r="69" spans="12:16" ht="49" thickTop="1" thickBot="1" x14ac:dyDescent="0.6">
      <c r="L69" s="4">
        <v>92</v>
      </c>
      <c r="M69" s="11">
        <f t="shared" si="7"/>
        <v>18984671.95902415</v>
      </c>
      <c r="N69" s="14">
        <v>80532</v>
      </c>
      <c r="O69" s="11">
        <f t="shared" si="2"/>
        <v>476474.44984308397</v>
      </c>
      <c r="P69" s="11">
        <f t="shared" si="0"/>
        <v>20729181.210282799</v>
      </c>
    </row>
    <row r="70" spans="12:16" ht="49" thickTop="1" thickBot="1" x14ac:dyDescent="0.6">
      <c r="L70" s="4">
        <v>93</v>
      </c>
      <c r="M70" s="11">
        <f t="shared" si="7"/>
        <v>20729181.210282799</v>
      </c>
      <c r="N70" s="14">
        <v>80532</v>
      </c>
      <c r="O70" s="11">
        <f t="shared" si="2"/>
        <v>509827.66133209987</v>
      </c>
      <c r="P70" s="11">
        <f t="shared" si="0"/>
        <v>22645675.974824782</v>
      </c>
    </row>
    <row r="71" spans="12:16" ht="49" thickTop="1" thickBot="1" x14ac:dyDescent="0.6">
      <c r="L71" s="4">
        <v>94</v>
      </c>
      <c r="M71" s="11">
        <f t="shared" si="7"/>
        <v>22645675.974824782</v>
      </c>
      <c r="N71" s="14">
        <v>80532</v>
      </c>
      <c r="O71" s="11">
        <f t="shared" si="2"/>
        <v>545515.59762534685</v>
      </c>
      <c r="P71" s="11">
        <f t="shared" si="0"/>
        <v>24752179.622463368</v>
      </c>
    </row>
    <row r="72" spans="12:16" ht="49" thickTop="1" thickBot="1" x14ac:dyDescent="0.6">
      <c r="L72" s="4">
        <v>95</v>
      </c>
      <c r="M72" s="11">
        <f t="shared" si="7"/>
        <v>24752179.622463368</v>
      </c>
      <c r="N72" s="14">
        <v>80532</v>
      </c>
      <c r="O72" s="11">
        <f t="shared" si="2"/>
        <v>583701.6894591212</v>
      </c>
      <c r="P72" s="11">
        <f t="shared" ref="P72:P77" si="8">(M72-O72)*(1+$N$4)</f>
        <v>27068695.284964759</v>
      </c>
    </row>
    <row r="73" spans="12:16" ht="49" thickTop="1" thickBot="1" x14ac:dyDescent="0.6">
      <c r="L73" s="4">
        <v>96</v>
      </c>
      <c r="M73" s="11">
        <f t="shared" si="7"/>
        <v>27068695.284964759</v>
      </c>
      <c r="N73" s="14">
        <v>80532</v>
      </c>
      <c r="O73" s="11">
        <f t="shared" ref="O73:O77" si="9">O72*(1+$N$5)</f>
        <v>624560.80772125977</v>
      </c>
      <c r="P73" s="11">
        <f t="shared" si="8"/>
        <v>29617430.614512719</v>
      </c>
    </row>
    <row r="74" spans="12:16" ht="49" thickTop="1" thickBot="1" x14ac:dyDescent="0.6">
      <c r="L74" s="4">
        <v>97</v>
      </c>
      <c r="M74" s="11">
        <f t="shared" si="7"/>
        <v>29617430.614512719</v>
      </c>
      <c r="N74" s="14">
        <v>80532</v>
      </c>
      <c r="O74" s="11">
        <f t="shared" si="9"/>
        <v>668280.06426174799</v>
      </c>
      <c r="P74" s="11">
        <f t="shared" si="8"/>
        <v>32423048.616281088</v>
      </c>
    </row>
    <row r="75" spans="12:16" ht="49" thickTop="1" thickBot="1" x14ac:dyDescent="0.6">
      <c r="L75" s="4">
        <v>98</v>
      </c>
      <c r="M75" s="11">
        <f t="shared" si="7"/>
        <v>32423048.616281088</v>
      </c>
      <c r="N75" s="14">
        <v>80532</v>
      </c>
      <c r="O75" s="11">
        <f t="shared" si="9"/>
        <v>715059.66876007034</v>
      </c>
      <c r="P75" s="11">
        <f t="shared" si="8"/>
        <v>35512947.621223547</v>
      </c>
    </row>
    <row r="76" spans="12:16" ht="49" thickTop="1" thickBot="1" x14ac:dyDescent="0.6">
      <c r="L76" s="4">
        <v>99</v>
      </c>
      <c r="M76" s="11">
        <f t="shared" si="7"/>
        <v>35512947.621223547</v>
      </c>
      <c r="N76" s="14">
        <v>80532</v>
      </c>
      <c r="O76" s="11">
        <f t="shared" si="9"/>
        <v>765113.84557327535</v>
      </c>
      <c r="P76" s="11">
        <f t="shared" si="8"/>
        <v>38917573.828728303</v>
      </c>
    </row>
    <row r="77" spans="12:16" ht="49" thickTop="1" thickBot="1" x14ac:dyDescent="0.6">
      <c r="L77" s="4">
        <v>100</v>
      </c>
      <c r="M77" s="11">
        <f t="shared" si="7"/>
        <v>38917573.828728303</v>
      </c>
      <c r="N77" s="14">
        <v>80532</v>
      </c>
      <c r="O77" s="11">
        <f t="shared" si="9"/>
        <v>818671.81476340466</v>
      </c>
      <c r="P77" s="11">
        <f t="shared" si="8"/>
        <v>42670770.255640693</v>
      </c>
    </row>
    <row r="78" spans="12:16" ht="48" thickTop="1" x14ac:dyDescent="0.55000000000000004"/>
  </sheetData>
  <sheetProtection algorithmName="SHA-512" hashValue="ExWLN8Yg8Iib0FVTpXSQzHXHotuNH9taNxKLDZ/asC65rKYe93C13DBQAgVDDsPorD5xEP1ToP/Dvi9UL+CJIA==" saltValue="G2pT4I2w38czoFAzwfJJiQ==" spinCount="100000" sheet="1" objects="1" scenarios="1"/>
  <mergeCells count="2">
    <mergeCell ref="F2:G2"/>
    <mergeCell ref="L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2026-02-18T06:46:10Z</dcterms:created>
  <dcterms:modified xsi:type="dcterms:W3CDTF">2026-02-21T05:32:02Z</dcterms:modified>
</cp:coreProperties>
</file>