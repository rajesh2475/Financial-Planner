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isebashanaik/Downloads/"/>
    </mc:Choice>
  </mc:AlternateContent>
  <xr:revisionPtr revIDLastSave="0" documentId="13_ncr:1_{44F88773-77DD-2249-8066-B7A4C0014B57}" xr6:coauthVersionLast="47" xr6:coauthVersionMax="47" xr10:uidLastSave="{00000000-0000-0000-0000-000000000000}"/>
  <bookViews>
    <workbookView xWindow="0" yWindow="500" windowWidth="28800" windowHeight="15800" xr2:uid="{9DF195E8-0A28-CF45-8977-AF02197309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3" i="1" l="1"/>
  <c r="H155" i="1"/>
  <c r="H142" i="1"/>
  <c r="H129" i="1"/>
  <c r="H116" i="1"/>
  <c r="AC6" i="1"/>
  <c r="AD8" i="1"/>
  <c r="AD7" i="1"/>
  <c r="E34" i="1"/>
  <c r="E47" i="1" s="1"/>
  <c r="H12" i="1"/>
  <c r="H31" i="1" s="1"/>
  <c r="H44" i="1" s="1"/>
  <c r="E155" i="1"/>
  <c r="E142" i="1"/>
  <c r="E129" i="1"/>
  <c r="E116" i="1"/>
  <c r="E103" i="1"/>
  <c r="E149" i="1"/>
  <c r="E148" i="1"/>
  <c r="E136" i="1"/>
  <c r="E135" i="1"/>
  <c r="E123" i="1"/>
  <c r="E122" i="1"/>
  <c r="E110" i="1"/>
  <c r="E109" i="1"/>
  <c r="E97" i="1"/>
  <c r="E96" i="1"/>
  <c r="E84" i="1"/>
  <c r="E83" i="1"/>
  <c r="E71" i="1"/>
  <c r="E70" i="1"/>
  <c r="E58" i="1"/>
  <c r="E57" i="1"/>
  <c r="E45" i="1"/>
  <c r="E44" i="1"/>
  <c r="E38" i="1"/>
  <c r="E51" i="1" s="1"/>
  <c r="E64" i="1" s="1"/>
  <c r="E77" i="1" s="1"/>
  <c r="E90" i="1" s="1"/>
  <c r="E33" i="1"/>
  <c r="E46" i="1" s="1"/>
  <c r="E59" i="1" s="1"/>
  <c r="E72" i="1" s="1"/>
  <c r="E85" i="1" s="1"/>
  <c r="E98" i="1" s="1"/>
  <c r="E111" i="1" s="1"/>
  <c r="E124" i="1" s="1"/>
  <c r="E137" i="1" s="1"/>
  <c r="E150" i="1" s="1"/>
  <c r="E32" i="1"/>
  <c r="E31" i="1"/>
  <c r="AC9" i="1" l="1"/>
  <c r="AC10" i="1" s="1"/>
  <c r="E48" i="1"/>
  <c r="E50" i="1" s="1"/>
  <c r="E52" i="1" s="1"/>
  <c r="S8" i="1" s="1"/>
  <c r="E60" i="1"/>
  <c r="E73" i="1" s="1"/>
  <c r="E86" i="1" s="1"/>
  <c r="E99" i="1" s="1"/>
  <c r="E112" i="1" s="1"/>
  <c r="E125" i="1" s="1"/>
  <c r="E126" i="1" s="1"/>
  <c r="E128" i="1" s="1"/>
  <c r="E130" i="1" s="1"/>
  <c r="S14" i="1" s="1"/>
  <c r="H35" i="1"/>
  <c r="H37" i="1" s="1"/>
  <c r="H48" i="1"/>
  <c r="H50" i="1" s="1"/>
  <c r="H57" i="1"/>
  <c r="E35" i="1"/>
  <c r="E37" i="1" s="1"/>
  <c r="E39" i="1" s="1"/>
  <c r="S7" i="1" s="1"/>
  <c r="H38" i="1" l="1"/>
  <c r="H39" i="1" s="1"/>
  <c r="T7" i="1" s="1"/>
  <c r="H90" i="1"/>
  <c r="H51" i="1"/>
  <c r="H52" i="1" s="1"/>
  <c r="T8" i="1" s="1"/>
  <c r="H77" i="1"/>
  <c r="H64" i="1"/>
  <c r="AC11" i="1"/>
  <c r="E100" i="1"/>
  <c r="E102" i="1" s="1"/>
  <c r="E104" i="1" s="1"/>
  <c r="S12" i="1" s="1"/>
  <c r="E113" i="1"/>
  <c r="E115" i="1" s="1"/>
  <c r="E117" i="1" s="1"/>
  <c r="S13" i="1" s="1"/>
  <c r="E87" i="1"/>
  <c r="E89" i="1" s="1"/>
  <c r="E91" i="1" s="1"/>
  <c r="S11" i="1" s="1"/>
  <c r="E61" i="1"/>
  <c r="E63" i="1" s="1"/>
  <c r="E65" i="1" s="1"/>
  <c r="S9" i="1" s="1"/>
  <c r="E74" i="1"/>
  <c r="E76" i="1" s="1"/>
  <c r="E78" i="1" s="1"/>
  <c r="S10" i="1" s="1"/>
  <c r="E138" i="1"/>
  <c r="E151" i="1" s="1"/>
  <c r="E152" i="1" s="1"/>
  <c r="E154" i="1" s="1"/>
  <c r="E156" i="1" s="1"/>
  <c r="S16" i="1" s="1"/>
  <c r="H61" i="1"/>
  <c r="H63" i="1" s="1"/>
  <c r="H70" i="1"/>
  <c r="H65" i="1" l="1"/>
  <c r="T9" i="1" s="1"/>
  <c r="E139" i="1"/>
  <c r="E141" i="1" s="1"/>
  <c r="E143" i="1" s="1"/>
  <c r="H74" i="1"/>
  <c r="H76" i="1" s="1"/>
  <c r="H83" i="1"/>
  <c r="S15" i="1" l="1"/>
  <c r="S17" i="1" s="1"/>
  <c r="H78" i="1"/>
  <c r="T10" i="1" s="1"/>
  <c r="H87" i="1"/>
  <c r="H89" i="1" s="1"/>
  <c r="H96" i="1"/>
  <c r="H91" i="1" l="1"/>
  <c r="T11" i="1" s="1"/>
  <c r="H100" i="1"/>
  <c r="H102" i="1" s="1"/>
  <c r="H109" i="1"/>
  <c r="H104" i="1" l="1"/>
  <c r="T12" i="1" s="1"/>
  <c r="H113" i="1"/>
  <c r="H115" i="1" s="1"/>
  <c r="H122" i="1"/>
  <c r="H117" i="1" l="1"/>
  <c r="T13" i="1" s="1"/>
  <c r="H126" i="1"/>
  <c r="H128" i="1" s="1"/>
  <c r="H135" i="1"/>
  <c r="H130" i="1" l="1"/>
  <c r="T14" i="1" s="1"/>
  <c r="H139" i="1"/>
  <c r="H141" i="1" s="1"/>
  <c r="H148" i="1"/>
  <c r="H152" i="1" s="1"/>
  <c r="H154" i="1" s="1"/>
  <c r="H156" i="1" l="1"/>
  <c r="T16" i="1" s="1"/>
  <c r="H143" i="1"/>
  <c r="T15" i="1" s="1"/>
  <c r="T17" i="1" l="1"/>
</calcChain>
</file>

<file path=xl/sharedStrings.xml><?xml version="1.0" encoding="utf-8"?>
<sst xmlns="http://schemas.openxmlformats.org/spreadsheetml/2006/main" count="208" uniqueCount="58">
  <si>
    <t>OWN CAR</t>
  </si>
  <si>
    <t>RIDE-HAILING APPS</t>
  </si>
  <si>
    <t>ON ROAD PRICE OF THE CAR YOU DRIVE</t>
  </si>
  <si>
    <t>INSURANCE</t>
  </si>
  <si>
    <t>ANNUAL MAINTAINANCE</t>
  </si>
  <si>
    <t>DRIVER COST</t>
  </si>
  <si>
    <t>DIESEL/PETROL COST PER LITRE</t>
  </si>
  <si>
    <t>FUEL INFLATION</t>
  </si>
  <si>
    <t>DRIVER INFLATION</t>
  </si>
  <si>
    <t>FUEL EFFICIENCY</t>
  </si>
  <si>
    <t>NO OF KM PER DAY TRAVEL</t>
  </si>
  <si>
    <t>MONTHLY MAINATAINANCE</t>
  </si>
  <si>
    <t>MONTHLY COMMUTATION EXPENSES</t>
  </si>
  <si>
    <t>DRIVER SALARY</t>
  </si>
  <si>
    <t>TOTAL EXPENSES FOR THE MONTH</t>
  </si>
  <si>
    <t>BASE FARE</t>
  </si>
  <si>
    <t>PEAK &amp; OFF PAEK AVG FARE</t>
  </si>
  <si>
    <t>RIDE TIME FARE/MIN</t>
  </si>
  <si>
    <t>GST</t>
  </si>
  <si>
    <t>COST FOR PER DAY TRAVEL</t>
  </si>
  <si>
    <t>COST OF TRAVELLING PER DAY</t>
  </si>
  <si>
    <t>TOTAL EXPENSE PER MONTH</t>
  </si>
  <si>
    <t>COST OF ANNUAL COMMUTATION</t>
  </si>
  <si>
    <t>DEPRECIATION</t>
  </si>
  <si>
    <t>YEAR</t>
  </si>
  <si>
    <t>%</t>
  </si>
  <si>
    <t>DEPRICIATED VALUE OF THE CAR</t>
  </si>
  <si>
    <t>TOTAL COST FOR THE YEAR</t>
  </si>
  <si>
    <t>MAINTAINANCE COST PER MONTH FOR YEAR</t>
  </si>
  <si>
    <t>INFLATION</t>
  </si>
  <si>
    <t>TIME TAKEN TO TRAVEL</t>
  </si>
  <si>
    <t>EARNINGS ON INVESTMENT</t>
  </si>
  <si>
    <t>RETURN ON INVESTMENT</t>
  </si>
  <si>
    <t>TOTAL VALUE</t>
  </si>
  <si>
    <t>RIDE-HAILING APPs</t>
  </si>
  <si>
    <t>TOTAL</t>
  </si>
  <si>
    <t>ON INVESTMENT OF CAR PURCHASE PRICE</t>
  </si>
  <si>
    <t>Loan Taken</t>
  </si>
  <si>
    <t>Tenure</t>
  </si>
  <si>
    <t>Interest</t>
  </si>
  <si>
    <t>EMI</t>
  </si>
  <si>
    <t>Total Payment</t>
  </si>
  <si>
    <t>Interest Cost</t>
  </si>
  <si>
    <t>Cash Payment</t>
  </si>
  <si>
    <t>Car Loan</t>
  </si>
  <si>
    <t>CAR LOAN CALCULATION</t>
  </si>
  <si>
    <t>To support Your Money Purse Channel you can open the demat Account with the links below</t>
  </si>
  <si>
    <t>ZERODHA</t>
  </si>
  <si>
    <t>https://zerodha.com/open-account?c=ZM...</t>
  </si>
  <si>
    <t>UPSTOX</t>
  </si>
  <si>
    <t>https://tinyurl.com/y8sbw9w8</t>
  </si>
  <si>
    <t>ANGEL BROKING</t>
  </si>
  <si>
    <t xml:space="preserve">http://tinyurl.com/y3r42a2x </t>
  </si>
  <si>
    <t>Click In the Link below to Compare Your Term &amp; Health Insurance Plans</t>
  </si>
  <si>
    <t>Term Plan</t>
  </si>
  <si>
    <t>https://tinyurl.com/44tp7uor</t>
  </si>
  <si>
    <t>Health Insurance</t>
  </si>
  <si>
    <t>https://tinyurl.com/pgc9dcxc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</si>
</sst>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#,##0.00"/>
  </numFmts>
  <fonts count="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6"/>
      <color theme="0"/>
      <name val="Calibri"/>
      <family val="2"/>
      <scheme val="minor"/>
    </font>
    <font>
      <sz val="36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36"/>
      <color theme="10"/>
      <name val="Calibri"/>
      <family val="2"/>
      <scheme val="minor"/>
    </font>
    <font>
      <sz val="36"/>
      <color rgb="FF0D0D0D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rgb="FF002060"/>
      </left>
      <right/>
      <top style="thick">
        <color rgb="FF002060"/>
      </top>
      <bottom/>
      <diagonal/>
    </border>
    <border>
      <left/>
      <right/>
      <top style="thick">
        <color rgb="FF002060"/>
      </top>
      <bottom/>
      <diagonal/>
    </border>
    <border>
      <left/>
      <right style="thick">
        <color rgb="FF002060"/>
      </right>
      <top style="thick">
        <color rgb="FF002060"/>
      </top>
      <bottom/>
      <diagonal/>
    </border>
    <border>
      <left style="medium">
        <color rgb="FF002060"/>
      </left>
      <right style="medium">
        <color rgb="FF002060"/>
      </right>
      <top style="thick">
        <color theme="0"/>
      </top>
      <bottom style="thick">
        <color theme="0"/>
      </bottom>
      <diagonal/>
    </border>
    <border>
      <left style="medium">
        <color rgb="FF002060"/>
      </left>
      <right style="thick">
        <color rgb="FF002060"/>
      </right>
      <top style="thick">
        <color theme="0"/>
      </top>
      <bottom style="thick">
        <color rgb="FF002060"/>
      </bottom>
      <diagonal/>
    </border>
    <border>
      <left style="thick">
        <color rgb="FF002060"/>
      </left>
      <right style="thick">
        <color rgb="FF002060"/>
      </right>
      <top style="thick">
        <color theme="0"/>
      </top>
      <bottom style="thick">
        <color rgb="FF002060"/>
      </bottom>
      <diagonal/>
    </border>
    <border>
      <left/>
      <right style="thick">
        <color rgb="FF002060"/>
      </right>
      <top style="thick">
        <color rgb="FF002060"/>
      </top>
      <bottom style="thick">
        <color rgb="FF002060"/>
      </bottom>
      <diagonal/>
    </border>
    <border>
      <left style="thick">
        <color rgb="FF002060"/>
      </left>
      <right style="thick">
        <color rgb="FF002060"/>
      </right>
      <top style="thick">
        <color rgb="FF002060"/>
      </top>
      <bottom style="thick">
        <color rgb="FF002060"/>
      </bottom>
      <diagonal/>
    </border>
    <border>
      <left style="medium">
        <color rgb="FF002060"/>
      </left>
      <right style="medium">
        <color rgb="FF002060"/>
      </right>
      <top style="thick">
        <color theme="0"/>
      </top>
      <bottom style="medium">
        <color rgb="FF002060"/>
      </bottom>
      <diagonal/>
    </border>
    <border>
      <left style="medium">
        <color rgb="FF002060"/>
      </left>
      <right/>
      <top style="thick">
        <color rgb="FF002060"/>
      </top>
      <bottom style="thick">
        <color rgb="FF002060"/>
      </bottom>
      <diagonal/>
    </border>
    <border>
      <left/>
      <right/>
      <top style="thick">
        <color rgb="FF002060"/>
      </top>
      <bottom style="thick">
        <color rgb="FF002060"/>
      </bottom>
      <diagonal/>
    </border>
    <border>
      <left style="medium">
        <color rgb="FF002060"/>
      </left>
      <right/>
      <top/>
      <bottom style="thick">
        <color rgb="FF002060"/>
      </bottom>
      <diagonal/>
    </border>
    <border>
      <left/>
      <right/>
      <top/>
      <bottom style="thick">
        <color rgb="FF002060"/>
      </bottom>
      <diagonal/>
    </border>
    <border>
      <left/>
      <right style="thick">
        <color rgb="FF002060"/>
      </right>
      <top/>
      <bottom style="thick">
        <color rgb="FF002060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50">
    <xf numFmtId="0" fontId="0" fillId="0" borderId="0" xfId="0"/>
    <xf numFmtId="0" fontId="3" fillId="3" borderId="9" xfId="0" applyFont="1" applyFill="1" applyBorder="1" applyAlignment="1" applyProtection="1">
      <alignment horizontal="center" vertical="center"/>
      <protection hidden="1"/>
    </xf>
    <xf numFmtId="0" fontId="3" fillId="3" borderId="10" xfId="0" applyFont="1" applyFill="1" applyBorder="1" applyAlignment="1" applyProtection="1">
      <alignment horizontal="center" vertical="center"/>
      <protection hidden="1"/>
    </xf>
    <xf numFmtId="0" fontId="3" fillId="3" borderId="11" xfId="0" applyFont="1" applyFill="1" applyBorder="1" applyAlignment="1" applyProtection="1">
      <alignment horizontal="center" vertical="center"/>
      <protection hidden="1"/>
    </xf>
    <xf numFmtId="0" fontId="3" fillId="3" borderId="12" xfId="0" applyFont="1" applyFill="1" applyBorder="1" applyProtection="1">
      <protection hidden="1"/>
    </xf>
    <xf numFmtId="0" fontId="6" fillId="0" borderId="13" xfId="2" applyFont="1" applyBorder="1" applyAlignment="1" applyProtection="1">
      <alignment horizontal="center"/>
      <protection hidden="1"/>
    </xf>
    <xf numFmtId="0" fontId="6" fillId="0" borderId="14" xfId="2" applyFont="1" applyBorder="1" applyAlignment="1" applyProtection="1">
      <alignment horizontal="center"/>
      <protection hidden="1"/>
    </xf>
    <xf numFmtId="0" fontId="6" fillId="0" borderId="15" xfId="2" applyFont="1" applyBorder="1" applyAlignment="1" applyProtection="1">
      <alignment horizontal="center"/>
      <protection hidden="1"/>
    </xf>
    <xf numFmtId="0" fontId="6" fillId="0" borderId="16" xfId="2" applyFont="1" applyBorder="1" applyAlignment="1" applyProtection="1">
      <alignment horizontal="center"/>
      <protection hidden="1"/>
    </xf>
    <xf numFmtId="0" fontId="3" fillId="3" borderId="17" xfId="0" applyFont="1" applyFill="1" applyBorder="1" applyProtection="1">
      <protection hidden="1"/>
    </xf>
    <xf numFmtId="0" fontId="6" fillId="0" borderId="18" xfId="2" applyFont="1" applyBorder="1" applyAlignment="1" applyProtection="1">
      <alignment horizontal="center"/>
      <protection hidden="1"/>
    </xf>
    <xf numFmtId="0" fontId="6" fillId="0" borderId="19" xfId="2" applyFont="1" applyBorder="1" applyAlignment="1" applyProtection="1">
      <alignment horizontal="center"/>
      <protection hidden="1"/>
    </xf>
    <xf numFmtId="0" fontId="4" fillId="0" borderId="0" xfId="0" applyFont="1" applyProtection="1">
      <protection hidden="1"/>
    </xf>
    <xf numFmtId="0" fontId="6" fillId="0" borderId="20" xfId="2" applyFont="1" applyBorder="1" applyAlignment="1" applyProtection="1">
      <alignment horizontal="center"/>
      <protection hidden="1"/>
    </xf>
    <xf numFmtId="0" fontId="7" fillId="0" borderId="21" xfId="0" applyFont="1" applyBorder="1" applyAlignment="1" applyProtection="1">
      <alignment horizontal="center"/>
      <protection hidden="1"/>
    </xf>
    <xf numFmtId="0" fontId="7" fillId="0" borderId="22" xfId="0" applyFont="1" applyBorder="1" applyAlignment="1" applyProtection="1">
      <alignment horizontal="center"/>
      <protection hidden="1"/>
    </xf>
    <xf numFmtId="0" fontId="7" fillId="0" borderId="19" xfId="0" applyFont="1" applyBorder="1" applyAlignment="1" applyProtection="1">
      <alignment horizontal="center"/>
      <protection hidden="1"/>
    </xf>
    <xf numFmtId="0" fontId="7" fillId="0" borderId="15" xfId="0" applyFont="1" applyBorder="1" applyAlignment="1" applyProtection="1">
      <alignment horizontal="center"/>
      <protection hidden="1"/>
    </xf>
    <xf numFmtId="0" fontId="2" fillId="0" borderId="0" xfId="0" applyFont="1" applyProtection="1">
      <protection hidden="1"/>
    </xf>
    <xf numFmtId="0" fontId="3" fillId="3" borderId="1" xfId="0" applyFont="1" applyFill="1" applyBorder="1" applyAlignment="1" applyProtection="1">
      <alignment horizontal="center"/>
      <protection hidden="1"/>
    </xf>
    <xf numFmtId="0" fontId="3" fillId="3" borderId="7" xfId="0" applyFont="1" applyFill="1" applyBorder="1" applyAlignment="1" applyProtection="1">
      <alignment horizontal="center"/>
      <protection hidden="1"/>
    </xf>
    <xf numFmtId="0" fontId="3" fillId="3" borderId="8" xfId="0" applyFont="1" applyFill="1" applyBorder="1" applyAlignment="1" applyProtection="1">
      <alignment horizontal="center"/>
      <protection hidden="1"/>
    </xf>
    <xf numFmtId="0" fontId="2" fillId="0" borderId="5" xfId="0" applyFont="1" applyBorder="1" applyAlignment="1" applyProtection="1">
      <alignment horizontal="center"/>
      <protection hidden="1"/>
    </xf>
    <xf numFmtId="0" fontId="2" fillId="0" borderId="6" xfId="0" applyFont="1" applyBorder="1" applyAlignment="1" applyProtection="1">
      <alignment horizontal="center"/>
      <protection hidden="1"/>
    </xf>
    <xf numFmtId="0" fontId="3" fillId="3" borderId="1" xfId="0" applyFont="1" applyFill="1" applyBorder="1" applyAlignment="1" applyProtection="1">
      <alignment horizontal="center"/>
      <protection hidden="1"/>
    </xf>
    <xf numFmtId="0" fontId="3" fillId="3" borderId="2" xfId="0" applyFont="1" applyFill="1" applyBorder="1" applyProtection="1">
      <protection hidden="1"/>
    </xf>
    <xf numFmtId="0" fontId="3" fillId="3" borderId="1" xfId="0" applyFont="1" applyFill="1" applyBorder="1" applyProtection="1">
      <protection hidden="1"/>
    </xf>
    <xf numFmtId="164" fontId="2" fillId="4" borderId="1" xfId="1" applyNumberFormat="1" applyFont="1" applyFill="1" applyBorder="1" applyProtection="1">
      <protection hidden="1"/>
    </xf>
    <xf numFmtId="0" fontId="2" fillId="0" borderId="1" xfId="0" applyFont="1" applyBorder="1" applyAlignment="1" applyProtection="1">
      <alignment horizontal="center"/>
      <protection hidden="1"/>
    </xf>
    <xf numFmtId="164" fontId="3" fillId="0" borderId="1" xfId="0" applyNumberFormat="1" applyFont="1" applyBorder="1" applyAlignment="1" applyProtection="1">
      <alignment horizontal="center"/>
      <protection hidden="1"/>
    </xf>
    <xf numFmtId="0" fontId="3" fillId="0" borderId="0" xfId="0" applyFont="1" applyProtection="1">
      <protection hidden="1"/>
    </xf>
    <xf numFmtId="164" fontId="2" fillId="4" borderId="1" xfId="0" applyNumberFormat="1" applyFont="1" applyFill="1" applyBorder="1" applyProtection="1">
      <protection hidden="1"/>
    </xf>
    <xf numFmtId="9" fontId="2" fillId="4" borderId="1" xfId="0" applyNumberFormat="1" applyFont="1" applyFill="1" applyBorder="1" applyProtection="1">
      <protection hidden="1"/>
    </xf>
    <xf numFmtId="164" fontId="2" fillId="0" borderId="1" xfId="0" applyNumberFormat="1" applyFont="1" applyBorder="1" applyProtection="1">
      <protection hidden="1"/>
    </xf>
    <xf numFmtId="164" fontId="2" fillId="0" borderId="0" xfId="0" applyNumberFormat="1" applyFont="1" applyProtection="1">
      <protection hidden="1"/>
    </xf>
    <xf numFmtId="0" fontId="3" fillId="3" borderId="1" xfId="0" applyFont="1" applyFill="1" applyBorder="1" applyAlignment="1" applyProtection="1">
      <alignment horizontal="right"/>
      <protection hidden="1"/>
    </xf>
    <xf numFmtId="0" fontId="2" fillId="0" borderId="3" xfId="0" applyFont="1" applyBorder="1" applyProtection="1">
      <protection hidden="1"/>
    </xf>
    <xf numFmtId="0" fontId="2" fillId="0" borderId="4" xfId="0" applyFont="1" applyBorder="1" applyProtection="1">
      <protection hidden="1"/>
    </xf>
    <xf numFmtId="0" fontId="2" fillId="0" borderId="2" xfId="0" applyFont="1" applyBorder="1" applyProtection="1">
      <protection hidden="1"/>
    </xf>
    <xf numFmtId="0" fontId="2" fillId="0" borderId="1" xfId="0" applyFont="1" applyBorder="1" applyProtection="1">
      <protection hidden="1"/>
    </xf>
    <xf numFmtId="0" fontId="3" fillId="3" borderId="2" xfId="0" applyFont="1" applyFill="1" applyBorder="1" applyAlignment="1" applyProtection="1">
      <alignment horizontal="center"/>
      <protection hidden="1"/>
    </xf>
    <xf numFmtId="164" fontId="2" fillId="2" borderId="1" xfId="0" applyNumberFormat="1" applyFont="1" applyFill="1" applyBorder="1" applyProtection="1">
      <protection locked="0"/>
    </xf>
    <xf numFmtId="9" fontId="2" fillId="2" borderId="1" xfId="0" applyNumberFormat="1" applyFont="1" applyFill="1" applyBorder="1" applyProtection="1">
      <protection locked="0"/>
    </xf>
    <xf numFmtId="0" fontId="2" fillId="2" borderId="1" xfId="0" applyFont="1" applyFill="1" applyBorder="1" applyProtection="1">
      <protection locked="0"/>
    </xf>
    <xf numFmtId="1" fontId="2" fillId="2" borderId="1" xfId="0" applyNumberFormat="1" applyFont="1" applyFill="1" applyBorder="1" applyProtection="1">
      <protection locked="0"/>
    </xf>
    <xf numFmtId="164" fontId="2" fillId="2" borderId="1" xfId="1" applyNumberFormat="1" applyFont="1" applyFill="1" applyBorder="1" applyProtection="1">
      <protection locked="0"/>
    </xf>
    <xf numFmtId="1" fontId="2" fillId="2" borderId="1" xfId="1" applyNumberFormat="1" applyFont="1" applyFill="1" applyBorder="1" applyProtection="1">
      <protection locked="0"/>
    </xf>
    <xf numFmtId="9" fontId="2" fillId="2" borderId="1" xfId="0" applyNumberFormat="1" applyFont="1" applyFill="1" applyBorder="1" applyAlignment="1" applyProtection="1">
      <alignment horizontal="center"/>
      <protection locked="0"/>
    </xf>
    <xf numFmtId="164" fontId="2" fillId="2" borderId="2" xfId="0" applyNumberFormat="1" applyFont="1" applyFill="1" applyBorder="1" applyProtection="1">
      <protection locked="0"/>
    </xf>
    <xf numFmtId="9" fontId="2" fillId="2" borderId="1" xfId="1" applyFont="1" applyFill="1" applyBorder="1" applyProtection="1">
      <protection locked="0"/>
    </xf>
  </cellXfs>
  <cellStyles count="3">
    <cellStyle name="Hyperlink" xfId="2" builtinId="8"/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2108200</xdr:colOff>
      <xdr:row>14</xdr:row>
      <xdr:rowOff>381000</xdr:rowOff>
    </xdr:from>
    <xdr:to>
      <xdr:col>7</xdr:col>
      <xdr:colOff>129192</xdr:colOff>
      <xdr:row>19</xdr:row>
      <xdr:rowOff>36372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506E4D-6AE0-CB49-87C0-C01D011F78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02000" y="9169400"/>
          <a:ext cx="4980592" cy="28303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youtube.com/redirect?event=video_description&amp;redir_token=QUFFLUhqblNOd0VaX0ZGSjl6LVVkWEg0T3l6Q0NNYVJmUXxBQ3Jtc0treUlkekQwbkR5Y0hUY1d4WEpoaVRJeU9vNFFzRlp5YTRjQ3lVaVl6aG80bm0wdkRiV2tBQU5lMXVjN0Qycm01ckRSdm02RmNHYjVxazdMaDZwbllIcVBPOF9HUV9paUpMaDliTkthUGpEU0gtNS1Wbw%3D%3D&amp;q=https%3A%2F%2Ftinyurl.com%2Fy8sbw9w8&amp;v=Hd--myyer3A" TargetMode="External"/><Relationship Id="rId2" Type="http://schemas.openxmlformats.org/officeDocument/2006/relationships/hyperlink" Target="https://www.youtube.com/redirect?event=video_description&amp;redir_token=QUFFLUhqbGZhaGV4OGQ2UUdDODY1RU5YOTBwd0xfNTR1QXxBQ3Jtc0trSjVxSVlCNlVNMkhwUGE5OTRLVG1SZzl3TWpiZ3FaVXFSUlMwbXp3LW9vZ0V4N3FCay02T0UwV3dKTW1ZZlRhcmZwMDNURmlMYVFTa2tZd003cW5vQXNvT1Nzdkd6UTdTZWsxRVFhaDNJdDBaMFBYSQ%3D%3D&amp;q=https%3A%2F%2Fzerodha.com%2Fopen-account%3Fc%3DZMPIBU&amp;v=Hd--myyer3A" TargetMode="External"/><Relationship Id="rId1" Type="http://schemas.openxmlformats.org/officeDocument/2006/relationships/hyperlink" Target="https://www.youtube.com/redirect?event=video_description&amp;redir_token=QUFFLUhqa21tNUkzbUozdVA5M0F0SU93WGNoOTVIdlFuZ3xBQ3Jtc0trZnYwVzR6WUpkSk81RDR4bGtKbVJIVDBwdkxRbEY4bFRsdWJaeXRWZnB0RzRBNHphYkR4cHg4QlZvd09CVHRzRThvOTNhQWNtbENJeExPUGNRX1h6MGptUW91RnRZMXVQMzlnNjhGam5nTUw1azZrdw%3D%3D&amp;q=http%3A%2F%2Ftinyurl.com%2Fy3r42a2x&amp;v=Hd--myyer3A" TargetMode="External"/><Relationship Id="rId6" Type="http://schemas.openxmlformats.org/officeDocument/2006/relationships/drawing" Target="../drawings/drawing1.xml"/><Relationship Id="rId5" Type="http://schemas.openxmlformats.org/officeDocument/2006/relationships/hyperlink" Target="https://tinyurl.com/pgc9dcxc" TargetMode="External"/><Relationship Id="rId4" Type="http://schemas.openxmlformats.org/officeDocument/2006/relationships/hyperlink" Target="https://tinyurl.com/44tp7uo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C48B6-1BDE-9F43-A11C-57C5717F4DFC}">
  <dimension ref="D3:AD157"/>
  <sheetViews>
    <sheetView showGridLines="0" tabSelected="1" zoomScale="50" zoomScaleNormal="37" workbookViewId="0">
      <selection activeCell="O34" sqref="O34"/>
    </sheetView>
  </sheetViews>
  <sheetFormatPr baseColWidth="10" defaultRowHeight="47" x14ac:dyDescent="0.55000000000000004"/>
  <cols>
    <col min="1" max="3" width="10.83203125" style="18"/>
    <col min="4" max="4" width="104.83203125" style="18" bestFit="1" customWidth="1"/>
    <col min="5" max="5" width="41.83203125" style="18" customWidth="1"/>
    <col min="6" max="6" width="2.33203125" style="18" customWidth="1"/>
    <col min="7" max="7" width="91.1640625" style="18" bestFit="1" customWidth="1"/>
    <col min="8" max="8" width="44.33203125" style="18" customWidth="1"/>
    <col min="9" max="10" width="10.83203125" style="18"/>
    <col min="11" max="11" width="10.33203125" style="18" customWidth="1"/>
    <col min="12" max="12" width="10.83203125" style="18"/>
    <col min="13" max="13" width="20.33203125" style="18" customWidth="1"/>
    <col min="14" max="14" width="25" style="18" customWidth="1"/>
    <col min="15" max="17" width="10.83203125" style="18"/>
    <col min="18" max="18" width="44.33203125" style="18" customWidth="1"/>
    <col min="19" max="19" width="55.33203125" style="18" customWidth="1"/>
    <col min="20" max="20" width="60.5" style="18" customWidth="1"/>
    <col min="21" max="27" width="10.83203125" style="18"/>
    <col min="28" max="28" width="59.6640625" style="18" customWidth="1"/>
    <col min="29" max="29" width="81.6640625" style="18" customWidth="1"/>
    <col min="30" max="16384" width="10.83203125" style="18"/>
  </cols>
  <sheetData>
    <row r="3" spans="4:30" x14ac:dyDescent="0.55000000000000004">
      <c r="G3" s="12"/>
    </row>
    <row r="4" spans="4:30" ht="48" thickBot="1" x14ac:dyDescent="0.6"/>
    <row r="5" spans="4:30" ht="49" thickTop="1" thickBot="1" x14ac:dyDescent="0.6">
      <c r="R5" s="19" t="s">
        <v>36</v>
      </c>
      <c r="S5" s="19"/>
      <c r="T5" s="19"/>
      <c r="AB5" s="20" t="s">
        <v>45</v>
      </c>
      <c r="AC5" s="21"/>
    </row>
    <row r="6" spans="4:30" ht="49" thickTop="1" thickBot="1" x14ac:dyDescent="0.6">
      <c r="D6" s="19" t="s">
        <v>0</v>
      </c>
      <c r="E6" s="19"/>
      <c r="G6" s="19" t="s">
        <v>1</v>
      </c>
      <c r="H6" s="19"/>
      <c r="M6" s="22" t="s">
        <v>23</v>
      </c>
      <c r="N6" s="23"/>
      <c r="R6" s="24" t="s">
        <v>24</v>
      </c>
      <c r="S6" s="24" t="s">
        <v>0</v>
      </c>
      <c r="T6" s="24" t="s">
        <v>34</v>
      </c>
      <c r="AB6" s="25" t="s">
        <v>37</v>
      </c>
      <c r="AC6" s="48">
        <f>E9</f>
        <v>800000</v>
      </c>
    </row>
    <row r="7" spans="4:30" ht="49" thickTop="1" thickBot="1" x14ac:dyDescent="0.6">
      <c r="D7" s="26" t="s">
        <v>2</v>
      </c>
      <c r="E7" s="41">
        <v>1000000</v>
      </c>
      <c r="G7" s="26" t="s">
        <v>15</v>
      </c>
      <c r="H7" s="27">
        <v>50</v>
      </c>
      <c r="M7" s="28" t="s">
        <v>24</v>
      </c>
      <c r="N7" s="28" t="s">
        <v>25</v>
      </c>
      <c r="R7" s="28">
        <v>1</v>
      </c>
      <c r="S7" s="29">
        <f>E39</f>
        <v>480000</v>
      </c>
      <c r="T7" s="29">
        <f>H39</f>
        <v>261163.60323924845</v>
      </c>
      <c r="AB7" s="26" t="s">
        <v>38</v>
      </c>
      <c r="AC7" s="44">
        <v>5</v>
      </c>
      <c r="AD7" s="30">
        <f>AC7*12</f>
        <v>60</v>
      </c>
    </row>
    <row r="8" spans="4:30" ht="49" thickTop="1" thickBot="1" x14ac:dyDescent="0.6">
      <c r="D8" s="26" t="s">
        <v>43</v>
      </c>
      <c r="E8" s="41">
        <v>200000</v>
      </c>
      <c r="G8" s="26" t="s">
        <v>16</v>
      </c>
      <c r="H8" s="45">
        <v>12</v>
      </c>
      <c r="M8" s="28">
        <v>1</v>
      </c>
      <c r="N8" s="47">
        <v>0.15</v>
      </c>
      <c r="R8" s="28">
        <v>2</v>
      </c>
      <c r="S8" s="29">
        <f>E52</f>
        <v>386000</v>
      </c>
      <c r="T8" s="29">
        <f>H52</f>
        <v>300778.00323924847</v>
      </c>
      <c r="AB8" s="26" t="s">
        <v>39</v>
      </c>
      <c r="AC8" s="49">
        <v>0.09</v>
      </c>
      <c r="AD8" s="30">
        <f>AC8/12</f>
        <v>7.4999999999999997E-3</v>
      </c>
    </row>
    <row r="9" spans="4:30" ht="49" thickTop="1" thickBot="1" x14ac:dyDescent="0.6">
      <c r="D9" s="26" t="s">
        <v>44</v>
      </c>
      <c r="E9" s="41">
        <v>800000</v>
      </c>
      <c r="G9" s="26" t="s">
        <v>17</v>
      </c>
      <c r="H9" s="27">
        <v>1</v>
      </c>
      <c r="M9" s="28">
        <v>2</v>
      </c>
      <c r="N9" s="47">
        <v>0.2</v>
      </c>
      <c r="R9" s="28">
        <v>3</v>
      </c>
      <c r="S9" s="29">
        <f>E65</f>
        <v>442120</v>
      </c>
      <c r="T9" s="29">
        <f>H65</f>
        <v>343561.5552392485</v>
      </c>
      <c r="AB9" s="26" t="s">
        <v>40</v>
      </c>
      <c r="AC9" s="31">
        <f>-PMT(AD8,AD7,AC6,0,0)</f>
        <v>16606.684181083208</v>
      </c>
    </row>
    <row r="10" spans="4:30" ht="49" thickTop="1" thickBot="1" x14ac:dyDescent="0.6">
      <c r="D10" s="26" t="s">
        <v>3</v>
      </c>
      <c r="E10" s="41">
        <v>15000</v>
      </c>
      <c r="G10" s="26" t="s">
        <v>18</v>
      </c>
      <c r="H10" s="32">
        <v>0.05</v>
      </c>
      <c r="M10" s="28">
        <v>3</v>
      </c>
      <c r="N10" s="47">
        <v>0.3</v>
      </c>
      <c r="R10" s="28">
        <v>4</v>
      </c>
      <c r="S10" s="29">
        <f>E78</f>
        <v>448362.4</v>
      </c>
      <c r="T10" s="29">
        <f>H78</f>
        <v>389767.79139924858</v>
      </c>
      <c r="AB10" s="26" t="s">
        <v>41</v>
      </c>
      <c r="AC10" s="41">
        <f>AC9*AD7</f>
        <v>996401.05086499255</v>
      </c>
    </row>
    <row r="11" spans="4:30" ht="49" thickTop="1" thickBot="1" x14ac:dyDescent="0.6">
      <c r="D11" s="26" t="s">
        <v>4</v>
      </c>
      <c r="E11" s="41">
        <v>15000</v>
      </c>
      <c r="G11" s="26" t="s">
        <v>30</v>
      </c>
      <c r="H11" s="46">
        <v>60</v>
      </c>
      <c r="M11" s="28">
        <v>4</v>
      </c>
      <c r="N11" s="47">
        <v>0.4</v>
      </c>
      <c r="R11" s="28">
        <v>5</v>
      </c>
      <c r="S11" s="29">
        <f>E91</f>
        <v>454729.64799999999</v>
      </c>
      <c r="T11" s="29">
        <f>H91</f>
        <v>439670.52645204862</v>
      </c>
      <c r="AB11" s="26" t="s">
        <v>42</v>
      </c>
      <c r="AC11" s="41">
        <f>AC10-AC6</f>
        <v>196401.05086499255</v>
      </c>
    </row>
    <row r="12" spans="4:30" ht="49" thickTop="1" thickBot="1" x14ac:dyDescent="0.6">
      <c r="D12" s="26" t="s">
        <v>6</v>
      </c>
      <c r="E12" s="41">
        <v>100</v>
      </c>
      <c r="G12" s="26" t="s">
        <v>19</v>
      </c>
      <c r="H12" s="33">
        <f>(H7+E17*H8+H9*H11)*(1+H10)</f>
        <v>1375.5</v>
      </c>
      <c r="M12" s="28">
        <v>5</v>
      </c>
      <c r="N12" s="47">
        <v>0.5</v>
      </c>
      <c r="R12" s="28">
        <v>6</v>
      </c>
      <c r="S12" s="29">
        <f>E104</f>
        <v>411224.24096000008</v>
      </c>
      <c r="T12" s="29">
        <f>H104</f>
        <v>703581.87706982426</v>
      </c>
    </row>
    <row r="13" spans="4:30" ht="49" thickTop="1" thickBot="1" x14ac:dyDescent="0.6">
      <c r="D13" s="26" t="s">
        <v>7</v>
      </c>
      <c r="E13" s="42">
        <v>0.02</v>
      </c>
      <c r="G13" s="26" t="s">
        <v>29</v>
      </c>
      <c r="H13" s="42">
        <v>0.08</v>
      </c>
      <c r="M13" s="28">
        <v>6</v>
      </c>
      <c r="N13" s="47">
        <v>0.55000000000000004</v>
      </c>
      <c r="R13" s="28">
        <v>7</v>
      </c>
      <c r="S13" s="29">
        <f>E117</f>
        <v>417848.72577919997</v>
      </c>
      <c r="T13" s="29">
        <f>H117</f>
        <v>761788.4272354102</v>
      </c>
    </row>
    <row r="14" spans="4:30" ht="49" thickTop="1" thickBot="1" x14ac:dyDescent="0.6">
      <c r="D14" s="26" t="s">
        <v>5</v>
      </c>
      <c r="E14" s="41">
        <v>0</v>
      </c>
      <c r="G14" s="26" t="s">
        <v>32</v>
      </c>
      <c r="H14" s="42">
        <v>0.12</v>
      </c>
      <c r="M14" s="28">
        <v>7</v>
      </c>
      <c r="N14" s="47">
        <v>0.6</v>
      </c>
      <c r="R14" s="28">
        <v>8</v>
      </c>
      <c r="S14" s="29">
        <f>E130</f>
        <v>424605.7002947841</v>
      </c>
      <c r="T14" s="29">
        <f>H130</f>
        <v>839051.50141424302</v>
      </c>
    </row>
    <row r="15" spans="4:30" ht="49" thickTop="1" thickBot="1" x14ac:dyDescent="0.6">
      <c r="D15" s="26" t="s">
        <v>8</v>
      </c>
      <c r="E15" s="42">
        <v>0</v>
      </c>
      <c r="M15" s="28">
        <v>8</v>
      </c>
      <c r="N15" s="47">
        <v>0.65</v>
      </c>
      <c r="R15" s="28">
        <v>9</v>
      </c>
      <c r="S15" s="29">
        <f>E143</f>
        <v>431497.81430067966</v>
      </c>
      <c r="T15" s="29">
        <f>H143</f>
        <v>908143.62152738264</v>
      </c>
    </row>
    <row r="16" spans="4:30" ht="49" thickTop="1" thickBot="1" x14ac:dyDescent="0.6">
      <c r="D16" s="26" t="s">
        <v>9</v>
      </c>
      <c r="E16" s="43">
        <v>12</v>
      </c>
      <c r="M16" s="28">
        <v>9</v>
      </c>
      <c r="N16" s="47">
        <v>0.7</v>
      </c>
      <c r="R16" s="28">
        <v>10</v>
      </c>
      <c r="S16" s="29">
        <f>E156</f>
        <v>438527.77058669337</v>
      </c>
      <c r="T16" s="29">
        <f>H156</f>
        <v>982667.11124957318</v>
      </c>
    </row>
    <row r="17" spans="4:20" ht="49" thickTop="1" thickBot="1" x14ac:dyDescent="0.6">
      <c r="D17" s="26" t="s">
        <v>10</v>
      </c>
      <c r="E17" s="44">
        <v>100</v>
      </c>
      <c r="M17" s="28">
        <v>10</v>
      </c>
      <c r="N17" s="47">
        <v>0.75</v>
      </c>
      <c r="R17" s="28" t="s">
        <v>35</v>
      </c>
      <c r="S17" s="29">
        <f>SUM(S7:S16)</f>
        <v>4334916.2999213571</v>
      </c>
      <c r="T17" s="29">
        <f>SUM(T7:T16)</f>
        <v>5930174.0180654768</v>
      </c>
    </row>
    <row r="18" spans="4:20" ht="49" thickTop="1" thickBot="1" x14ac:dyDescent="0.6">
      <c r="E18" s="34"/>
    </row>
    <row r="19" spans="4:20" ht="49" thickTop="1" thickBot="1" x14ac:dyDescent="0.6">
      <c r="D19" s="1" t="s">
        <v>46</v>
      </c>
      <c r="E19" s="2"/>
      <c r="F19" s="2"/>
      <c r="G19" s="2"/>
      <c r="H19" s="3"/>
    </row>
    <row r="20" spans="4:20" ht="49" thickTop="1" thickBot="1" x14ac:dyDescent="0.6">
      <c r="D20" s="4" t="s">
        <v>47</v>
      </c>
      <c r="E20" s="5" t="s">
        <v>48</v>
      </c>
      <c r="F20" s="6"/>
      <c r="G20" s="6"/>
      <c r="H20" s="6"/>
    </row>
    <row r="21" spans="4:20" ht="49" thickTop="1" thickBot="1" x14ac:dyDescent="0.6">
      <c r="D21" s="4" t="s">
        <v>49</v>
      </c>
      <c r="E21" s="7" t="s">
        <v>50</v>
      </c>
      <c r="F21" s="8"/>
      <c r="G21" s="8"/>
      <c r="H21" s="8"/>
    </row>
    <row r="22" spans="4:20" ht="49" thickTop="1" thickBot="1" x14ac:dyDescent="0.6">
      <c r="D22" s="9" t="s">
        <v>51</v>
      </c>
      <c r="E22" s="10" t="s">
        <v>52</v>
      </c>
      <c r="F22" s="11"/>
      <c r="G22" s="11"/>
      <c r="H22" s="7"/>
    </row>
    <row r="23" spans="4:20" x14ac:dyDescent="0.55000000000000004">
      <c r="D23" s="12"/>
      <c r="E23" s="12"/>
      <c r="F23" s="12"/>
      <c r="G23" s="12"/>
      <c r="H23" s="12"/>
    </row>
    <row r="24" spans="4:20" ht="48" thickBot="1" x14ac:dyDescent="0.6">
      <c r="D24" s="12"/>
      <c r="E24" s="12"/>
      <c r="F24" s="12"/>
      <c r="G24" s="12"/>
      <c r="H24" s="12"/>
    </row>
    <row r="25" spans="4:20" ht="49" thickTop="1" thickBot="1" x14ac:dyDescent="0.6">
      <c r="D25" s="1" t="s">
        <v>53</v>
      </c>
      <c r="E25" s="2"/>
      <c r="F25" s="2"/>
      <c r="G25" s="2"/>
      <c r="H25" s="3"/>
    </row>
    <row r="26" spans="4:20" ht="49" thickTop="1" thickBot="1" x14ac:dyDescent="0.6">
      <c r="D26" s="4" t="s">
        <v>54</v>
      </c>
      <c r="E26" s="13" t="s">
        <v>55</v>
      </c>
      <c r="F26" s="14"/>
      <c r="G26" s="14"/>
      <c r="H26" s="15"/>
    </row>
    <row r="27" spans="4:20" ht="49" thickTop="1" thickBot="1" x14ac:dyDescent="0.6">
      <c r="D27" s="4" t="s">
        <v>56</v>
      </c>
      <c r="E27" s="10" t="s">
        <v>57</v>
      </c>
      <c r="F27" s="16"/>
      <c r="G27" s="16"/>
      <c r="H27" s="17"/>
    </row>
    <row r="28" spans="4:20" ht="49" thickTop="1" thickBot="1" x14ac:dyDescent="0.6"/>
    <row r="29" spans="4:20" ht="49" thickTop="1" thickBot="1" x14ac:dyDescent="0.6">
      <c r="D29" s="35" t="s">
        <v>28</v>
      </c>
      <c r="E29" s="35"/>
      <c r="F29" s="35"/>
      <c r="G29" s="35"/>
      <c r="H29" s="24">
        <v>1</v>
      </c>
    </row>
    <row r="30" spans="4:20" ht="49" thickTop="1" thickBot="1" x14ac:dyDescent="0.6">
      <c r="D30" s="19" t="s">
        <v>0</v>
      </c>
      <c r="E30" s="19"/>
      <c r="F30" s="36"/>
      <c r="G30" s="19" t="s">
        <v>1</v>
      </c>
      <c r="H30" s="19"/>
    </row>
    <row r="31" spans="4:20" ht="49" thickTop="1" thickBot="1" x14ac:dyDescent="0.6">
      <c r="D31" s="26" t="s">
        <v>3</v>
      </c>
      <c r="E31" s="33">
        <f>$E$10/12</f>
        <v>1250</v>
      </c>
      <c r="F31" s="37"/>
      <c r="G31" s="26" t="s">
        <v>20</v>
      </c>
      <c r="H31" s="33">
        <f>$H$12</f>
        <v>1375.5</v>
      </c>
    </row>
    <row r="32" spans="4:20" ht="49" thickTop="1" thickBot="1" x14ac:dyDescent="0.6">
      <c r="D32" s="26" t="s">
        <v>11</v>
      </c>
      <c r="E32" s="33">
        <f>$E$11/12</f>
        <v>1250</v>
      </c>
      <c r="F32" s="37"/>
      <c r="G32" s="36"/>
      <c r="H32" s="36"/>
    </row>
    <row r="33" spans="4:8" ht="49" thickTop="1" thickBot="1" x14ac:dyDescent="0.6">
      <c r="D33" s="26" t="s">
        <v>12</v>
      </c>
      <c r="E33" s="33">
        <f>(($E$17*30)/$E$16)*$E$12</f>
        <v>25000</v>
      </c>
      <c r="F33" s="37"/>
      <c r="G33" s="37"/>
      <c r="H33" s="37"/>
    </row>
    <row r="34" spans="4:8" ht="49" thickTop="1" thickBot="1" x14ac:dyDescent="0.6">
      <c r="D34" s="26" t="s">
        <v>13</v>
      </c>
      <c r="E34" s="33">
        <f>$E$14</f>
        <v>0</v>
      </c>
      <c r="F34" s="37"/>
      <c r="G34" s="38"/>
      <c r="H34" s="38"/>
    </row>
    <row r="35" spans="4:8" ht="49" thickTop="1" thickBot="1" x14ac:dyDescent="0.6">
      <c r="D35" s="26" t="s">
        <v>14</v>
      </c>
      <c r="E35" s="33">
        <f>SUM(E31:E34)</f>
        <v>27500</v>
      </c>
      <c r="F35" s="37"/>
      <c r="G35" s="26" t="s">
        <v>21</v>
      </c>
      <c r="H35" s="33">
        <f>H31*30</f>
        <v>41265</v>
      </c>
    </row>
    <row r="36" spans="4:8" ht="49" thickTop="1" thickBot="1" x14ac:dyDescent="0.6">
      <c r="D36" s="39"/>
      <c r="E36" s="39"/>
      <c r="F36" s="37"/>
      <c r="G36" s="39"/>
      <c r="H36" s="39"/>
    </row>
    <row r="37" spans="4:8" ht="49" thickTop="1" thickBot="1" x14ac:dyDescent="0.6">
      <c r="D37" s="26" t="s">
        <v>22</v>
      </c>
      <c r="E37" s="33">
        <f>E35*12</f>
        <v>330000</v>
      </c>
      <c r="F37" s="37"/>
      <c r="G37" s="26" t="s">
        <v>22</v>
      </c>
      <c r="H37" s="33">
        <f>H35*12</f>
        <v>495180</v>
      </c>
    </row>
    <row r="38" spans="4:8" ht="49" thickTop="1" thickBot="1" x14ac:dyDescent="0.6">
      <c r="D38" s="26" t="s">
        <v>26</v>
      </c>
      <c r="E38" s="33">
        <f>N8*$E$7</f>
        <v>150000</v>
      </c>
      <c r="F38" s="37"/>
      <c r="G38" s="26" t="s">
        <v>31</v>
      </c>
      <c r="H38" s="33">
        <f>$E$8*$H$14+IF(AC7&gt;=H29,FV(NOMINAL($H$14,12)/12,12,-$AC$9,0),0)</f>
        <v>234016.39676075155</v>
      </c>
    </row>
    <row r="39" spans="4:8" ht="49" thickTop="1" thickBot="1" x14ac:dyDescent="0.6">
      <c r="D39" s="26" t="s">
        <v>27</v>
      </c>
      <c r="E39" s="33">
        <f>E37+E38</f>
        <v>480000</v>
      </c>
      <c r="F39" s="37"/>
      <c r="G39" s="26" t="s">
        <v>33</v>
      </c>
      <c r="H39" s="33">
        <f>H37-H38</f>
        <v>261163.60323924845</v>
      </c>
    </row>
    <row r="40" spans="4:8" ht="48" thickTop="1" x14ac:dyDescent="0.55000000000000004"/>
    <row r="41" spans="4:8" ht="48" thickBot="1" x14ac:dyDescent="0.6"/>
    <row r="42" spans="4:8" ht="49" thickTop="1" thickBot="1" x14ac:dyDescent="0.6">
      <c r="D42" s="35" t="s">
        <v>28</v>
      </c>
      <c r="E42" s="35"/>
      <c r="F42" s="35"/>
      <c r="G42" s="35"/>
      <c r="H42" s="24">
        <v>2</v>
      </c>
    </row>
    <row r="43" spans="4:8" ht="49" thickTop="1" thickBot="1" x14ac:dyDescent="0.6">
      <c r="D43" s="19" t="s">
        <v>0</v>
      </c>
      <c r="E43" s="19"/>
      <c r="F43" s="36"/>
      <c r="G43" s="19" t="s">
        <v>1</v>
      </c>
      <c r="H43" s="19"/>
    </row>
    <row r="44" spans="4:8" ht="49" thickTop="1" thickBot="1" x14ac:dyDescent="0.6">
      <c r="D44" s="26" t="s">
        <v>3</v>
      </c>
      <c r="E44" s="33">
        <f>$E$10/12</f>
        <v>1250</v>
      </c>
      <c r="F44" s="37"/>
      <c r="G44" s="26" t="s">
        <v>20</v>
      </c>
      <c r="H44" s="33">
        <f>H31*(1+$H$13)</f>
        <v>1485.5400000000002</v>
      </c>
    </row>
    <row r="45" spans="4:8" ht="49" thickTop="1" thickBot="1" x14ac:dyDescent="0.6">
      <c r="D45" s="26" t="s">
        <v>11</v>
      </c>
      <c r="E45" s="33">
        <f>$E$11/12</f>
        <v>1250</v>
      </c>
      <c r="F45" s="37"/>
      <c r="G45" s="36"/>
      <c r="H45" s="36"/>
    </row>
    <row r="46" spans="4:8" ht="49" thickTop="1" thickBot="1" x14ac:dyDescent="0.6">
      <c r="D46" s="26" t="s">
        <v>12</v>
      </c>
      <c r="E46" s="33">
        <f>E33*(1+$E$13)</f>
        <v>25500</v>
      </c>
      <c r="F46" s="37"/>
      <c r="G46" s="37"/>
      <c r="H46" s="37"/>
    </row>
    <row r="47" spans="4:8" ht="49" thickTop="1" thickBot="1" x14ac:dyDescent="0.6">
      <c r="D47" s="26" t="s">
        <v>13</v>
      </c>
      <c r="E47" s="33">
        <f>E34*(1+$E$15)</f>
        <v>0</v>
      </c>
      <c r="F47" s="37"/>
      <c r="G47" s="38"/>
      <c r="H47" s="38"/>
    </row>
    <row r="48" spans="4:8" ht="49" thickTop="1" thickBot="1" x14ac:dyDescent="0.6">
      <c r="D48" s="26" t="s">
        <v>14</v>
      </c>
      <c r="E48" s="33">
        <f>SUM(E44:E47)</f>
        <v>28000</v>
      </c>
      <c r="F48" s="37"/>
      <c r="G48" s="26" t="s">
        <v>21</v>
      </c>
      <c r="H48" s="33">
        <f>H44*30</f>
        <v>44566.200000000004</v>
      </c>
    </row>
    <row r="49" spans="4:8" ht="49" thickTop="1" thickBot="1" x14ac:dyDescent="0.6">
      <c r="D49" s="39"/>
      <c r="E49" s="39"/>
      <c r="F49" s="37"/>
      <c r="G49" s="39"/>
      <c r="H49" s="39"/>
    </row>
    <row r="50" spans="4:8" ht="49" thickTop="1" thickBot="1" x14ac:dyDescent="0.6">
      <c r="D50" s="26" t="s">
        <v>22</v>
      </c>
      <c r="E50" s="33">
        <f>E48*12</f>
        <v>336000</v>
      </c>
      <c r="F50" s="37"/>
      <c r="G50" s="26" t="s">
        <v>22</v>
      </c>
      <c r="H50" s="33">
        <f>H48*12</f>
        <v>534794.4</v>
      </c>
    </row>
    <row r="51" spans="4:8" ht="49" thickTop="1" thickBot="1" x14ac:dyDescent="0.6">
      <c r="D51" s="26" t="s">
        <v>26</v>
      </c>
      <c r="E51" s="33">
        <f>E7*N9-E38</f>
        <v>50000</v>
      </c>
      <c r="F51" s="37"/>
      <c r="G51" s="26" t="s">
        <v>31</v>
      </c>
      <c r="H51" s="33">
        <f>$E$8*$H$14+IF(AC7&gt;=H42,FV(NOMINAL($H$14,12)/12,12,-$AC$9,0),0)</f>
        <v>234016.39676075155</v>
      </c>
    </row>
    <row r="52" spans="4:8" ht="49" thickTop="1" thickBot="1" x14ac:dyDescent="0.6">
      <c r="D52" s="26" t="s">
        <v>27</v>
      </c>
      <c r="E52" s="33">
        <f>E50+E51</f>
        <v>386000</v>
      </c>
      <c r="F52" s="37"/>
      <c r="G52" s="26" t="s">
        <v>33</v>
      </c>
      <c r="H52" s="33">
        <f>H50-H51</f>
        <v>300778.00323924847</v>
      </c>
    </row>
    <row r="53" spans="4:8" ht="48" thickTop="1" x14ac:dyDescent="0.55000000000000004"/>
    <row r="54" spans="4:8" ht="48" thickBot="1" x14ac:dyDescent="0.6"/>
    <row r="55" spans="4:8" ht="49" thickTop="1" thickBot="1" x14ac:dyDescent="0.6">
      <c r="D55" s="35" t="s">
        <v>28</v>
      </c>
      <c r="E55" s="35"/>
      <c r="F55" s="35"/>
      <c r="G55" s="35"/>
      <c r="H55" s="24">
        <v>3</v>
      </c>
    </row>
    <row r="56" spans="4:8" ht="49" thickTop="1" thickBot="1" x14ac:dyDescent="0.6">
      <c r="D56" s="19" t="s">
        <v>0</v>
      </c>
      <c r="E56" s="19"/>
      <c r="F56" s="36"/>
      <c r="G56" s="19" t="s">
        <v>1</v>
      </c>
      <c r="H56" s="19"/>
    </row>
    <row r="57" spans="4:8" ht="49" thickTop="1" thickBot="1" x14ac:dyDescent="0.6">
      <c r="D57" s="26" t="s">
        <v>3</v>
      </c>
      <c r="E57" s="33">
        <f>$E$10/12</f>
        <v>1250</v>
      </c>
      <c r="F57" s="37"/>
      <c r="G57" s="26" t="s">
        <v>20</v>
      </c>
      <c r="H57" s="33">
        <f>H44*(1+$H$13)</f>
        <v>1604.3832000000002</v>
      </c>
    </row>
    <row r="58" spans="4:8" ht="49" thickTop="1" thickBot="1" x14ac:dyDescent="0.6">
      <c r="D58" s="26" t="s">
        <v>11</v>
      </c>
      <c r="E58" s="33">
        <f>$E$11/12</f>
        <v>1250</v>
      </c>
      <c r="F58" s="37"/>
      <c r="G58" s="36"/>
      <c r="H58" s="36"/>
    </row>
    <row r="59" spans="4:8" ht="49" thickTop="1" thickBot="1" x14ac:dyDescent="0.6">
      <c r="D59" s="26" t="s">
        <v>12</v>
      </c>
      <c r="E59" s="33">
        <f>E46*(1+$E$13)</f>
        <v>26010</v>
      </c>
      <c r="F59" s="37"/>
      <c r="G59" s="37"/>
      <c r="H59" s="37"/>
    </row>
    <row r="60" spans="4:8" ht="49" thickTop="1" thickBot="1" x14ac:dyDescent="0.6">
      <c r="D60" s="26" t="s">
        <v>13</v>
      </c>
      <c r="E60" s="33">
        <f>E47*(1+$E$15)</f>
        <v>0</v>
      </c>
      <c r="F60" s="37"/>
      <c r="G60" s="38"/>
      <c r="H60" s="38"/>
    </row>
    <row r="61" spans="4:8" ht="49" thickTop="1" thickBot="1" x14ac:dyDescent="0.6">
      <c r="D61" s="26" t="s">
        <v>14</v>
      </c>
      <c r="E61" s="33">
        <f>SUM(E57:E60)</f>
        <v>28510</v>
      </c>
      <c r="F61" s="37"/>
      <c r="G61" s="26" t="s">
        <v>21</v>
      </c>
      <c r="H61" s="33">
        <f>H57*30</f>
        <v>48131.496000000006</v>
      </c>
    </row>
    <row r="62" spans="4:8" ht="49" thickTop="1" thickBot="1" x14ac:dyDescent="0.6">
      <c r="D62" s="39"/>
      <c r="E62" s="39"/>
      <c r="F62" s="37"/>
      <c r="G62" s="39"/>
      <c r="H62" s="39"/>
    </row>
    <row r="63" spans="4:8" ht="49" thickTop="1" thickBot="1" x14ac:dyDescent="0.6">
      <c r="D63" s="26" t="s">
        <v>22</v>
      </c>
      <c r="E63" s="33">
        <f>E61*12</f>
        <v>342120</v>
      </c>
      <c r="F63" s="37"/>
      <c r="G63" s="26" t="s">
        <v>22</v>
      </c>
      <c r="H63" s="33">
        <f>H61*12</f>
        <v>577577.95200000005</v>
      </c>
    </row>
    <row r="64" spans="4:8" ht="49" thickTop="1" thickBot="1" x14ac:dyDescent="0.6">
      <c r="D64" s="26" t="s">
        <v>26</v>
      </c>
      <c r="E64" s="33">
        <f>$E$7*N10-E51-E38</f>
        <v>100000</v>
      </c>
      <c r="F64" s="37"/>
      <c r="G64" s="26" t="s">
        <v>31</v>
      </c>
      <c r="H64" s="33">
        <f>$E$8*$H$14+IF(AC7&gt;=H55,FV(NOMINAL($H$14,12)/12,12,-$AC$9,0),0)</f>
        <v>234016.39676075155</v>
      </c>
    </row>
    <row r="65" spans="4:8" ht="49" thickTop="1" thickBot="1" x14ac:dyDescent="0.6">
      <c r="D65" s="26" t="s">
        <v>27</v>
      </c>
      <c r="E65" s="33">
        <f>E63+E64</f>
        <v>442120</v>
      </c>
      <c r="F65" s="37"/>
      <c r="G65" s="26" t="s">
        <v>33</v>
      </c>
      <c r="H65" s="33">
        <f>H63-H64</f>
        <v>343561.5552392485</v>
      </c>
    </row>
    <row r="66" spans="4:8" ht="48" thickTop="1" x14ac:dyDescent="0.55000000000000004"/>
    <row r="67" spans="4:8" ht="48" thickBot="1" x14ac:dyDescent="0.6"/>
    <row r="68" spans="4:8" ht="49" thickTop="1" thickBot="1" x14ac:dyDescent="0.6">
      <c r="D68" s="35" t="s">
        <v>28</v>
      </c>
      <c r="E68" s="35"/>
      <c r="F68" s="35"/>
      <c r="G68" s="35"/>
      <c r="H68" s="24">
        <v>4</v>
      </c>
    </row>
    <row r="69" spans="4:8" ht="49" thickTop="1" thickBot="1" x14ac:dyDescent="0.6">
      <c r="D69" s="19" t="s">
        <v>0</v>
      </c>
      <c r="E69" s="19"/>
      <c r="F69" s="36"/>
      <c r="G69" s="19" t="s">
        <v>1</v>
      </c>
      <c r="H69" s="19"/>
    </row>
    <row r="70" spans="4:8" ht="49" thickTop="1" thickBot="1" x14ac:dyDescent="0.6">
      <c r="D70" s="26" t="s">
        <v>3</v>
      </c>
      <c r="E70" s="33">
        <f>$E$10/12</f>
        <v>1250</v>
      </c>
      <c r="F70" s="37"/>
      <c r="G70" s="26" t="s">
        <v>20</v>
      </c>
      <c r="H70" s="33">
        <f>H57*(1+$H$13)</f>
        <v>1732.7338560000003</v>
      </c>
    </row>
    <row r="71" spans="4:8" ht="49" thickTop="1" thickBot="1" x14ac:dyDescent="0.6">
      <c r="D71" s="26" t="s">
        <v>11</v>
      </c>
      <c r="E71" s="33">
        <f>$E$11/12</f>
        <v>1250</v>
      </c>
      <c r="F71" s="37"/>
      <c r="G71" s="36"/>
      <c r="H71" s="36"/>
    </row>
    <row r="72" spans="4:8" ht="49" thickTop="1" thickBot="1" x14ac:dyDescent="0.6">
      <c r="D72" s="26" t="s">
        <v>12</v>
      </c>
      <c r="E72" s="33">
        <f>E59*(1+$E$13)</f>
        <v>26530.2</v>
      </c>
      <c r="F72" s="37"/>
      <c r="G72" s="37"/>
      <c r="H72" s="37"/>
    </row>
    <row r="73" spans="4:8" ht="49" thickTop="1" thickBot="1" x14ac:dyDescent="0.6">
      <c r="D73" s="26" t="s">
        <v>13</v>
      </c>
      <c r="E73" s="33">
        <f>E60*(1+$E$15)</f>
        <v>0</v>
      </c>
      <c r="F73" s="37"/>
      <c r="G73" s="38"/>
      <c r="H73" s="38"/>
    </row>
    <row r="74" spans="4:8" ht="49" thickTop="1" thickBot="1" x14ac:dyDescent="0.6">
      <c r="D74" s="26" t="s">
        <v>14</v>
      </c>
      <c r="E74" s="33">
        <f>SUM(E70:E73)</f>
        <v>29030.2</v>
      </c>
      <c r="F74" s="37"/>
      <c r="G74" s="26" t="s">
        <v>21</v>
      </c>
      <c r="H74" s="33">
        <f>H70*30</f>
        <v>51982.015680000011</v>
      </c>
    </row>
    <row r="75" spans="4:8" ht="49" thickTop="1" thickBot="1" x14ac:dyDescent="0.6">
      <c r="D75" s="39"/>
      <c r="E75" s="39"/>
      <c r="F75" s="37"/>
      <c r="G75" s="39"/>
      <c r="H75" s="39"/>
    </row>
    <row r="76" spans="4:8" ht="49" thickTop="1" thickBot="1" x14ac:dyDescent="0.6">
      <c r="D76" s="26" t="s">
        <v>22</v>
      </c>
      <c r="E76" s="33">
        <f>E74*12</f>
        <v>348362.4</v>
      </c>
      <c r="F76" s="37"/>
      <c r="G76" s="26" t="s">
        <v>22</v>
      </c>
      <c r="H76" s="33">
        <f>H74*12</f>
        <v>623784.18816000014</v>
      </c>
    </row>
    <row r="77" spans="4:8" ht="49" thickTop="1" thickBot="1" x14ac:dyDescent="0.6">
      <c r="D77" s="26" t="s">
        <v>26</v>
      </c>
      <c r="E77" s="33">
        <f>$E$7*N11-E64-E51-E38</f>
        <v>100000</v>
      </c>
      <c r="F77" s="37"/>
      <c r="G77" s="26" t="s">
        <v>31</v>
      </c>
      <c r="H77" s="33">
        <f>$E$8*$H$14+IF(AC7&gt;=H68,FV(NOMINAL($H$14,12)/12,12,-$AC$9,0),0)</f>
        <v>234016.39676075155</v>
      </c>
    </row>
    <row r="78" spans="4:8" ht="49" thickTop="1" thickBot="1" x14ac:dyDescent="0.6">
      <c r="D78" s="26" t="s">
        <v>27</v>
      </c>
      <c r="E78" s="33">
        <f>E76+E77</f>
        <v>448362.4</v>
      </c>
      <c r="F78" s="37"/>
      <c r="G78" s="26" t="s">
        <v>33</v>
      </c>
      <c r="H78" s="33">
        <f>H76-H77</f>
        <v>389767.79139924858</v>
      </c>
    </row>
    <row r="79" spans="4:8" ht="48" thickTop="1" x14ac:dyDescent="0.55000000000000004"/>
    <row r="80" spans="4:8" ht="48" thickBot="1" x14ac:dyDescent="0.6"/>
    <row r="81" spans="4:8" ht="49" thickTop="1" thickBot="1" x14ac:dyDescent="0.6">
      <c r="D81" s="35" t="s">
        <v>28</v>
      </c>
      <c r="E81" s="35"/>
      <c r="F81" s="35"/>
      <c r="G81" s="35"/>
      <c r="H81" s="24">
        <v>5</v>
      </c>
    </row>
    <row r="82" spans="4:8" ht="49" thickTop="1" thickBot="1" x14ac:dyDescent="0.6">
      <c r="D82" s="40" t="s">
        <v>0</v>
      </c>
      <c r="E82" s="40"/>
      <c r="G82" s="40" t="s">
        <v>1</v>
      </c>
      <c r="H82" s="40"/>
    </row>
    <row r="83" spans="4:8" ht="49" thickTop="1" thickBot="1" x14ac:dyDescent="0.6">
      <c r="D83" s="26" t="s">
        <v>3</v>
      </c>
      <c r="E83" s="33">
        <f>$E$10/12</f>
        <v>1250</v>
      </c>
      <c r="G83" s="26" t="s">
        <v>20</v>
      </c>
      <c r="H83" s="33">
        <f>H70*(1+$H$13)</f>
        <v>1871.3525644800004</v>
      </c>
    </row>
    <row r="84" spans="4:8" ht="49" thickTop="1" thickBot="1" x14ac:dyDescent="0.6">
      <c r="D84" s="26" t="s">
        <v>11</v>
      </c>
      <c r="E84" s="33">
        <f>$E$11/12</f>
        <v>1250</v>
      </c>
      <c r="G84" s="36"/>
      <c r="H84" s="36"/>
    </row>
    <row r="85" spans="4:8" ht="49" thickTop="1" thickBot="1" x14ac:dyDescent="0.6">
      <c r="D85" s="26" t="s">
        <v>12</v>
      </c>
      <c r="E85" s="33">
        <f>E72*(1+$E$13)</f>
        <v>27060.804</v>
      </c>
      <c r="G85" s="37"/>
      <c r="H85" s="37"/>
    </row>
    <row r="86" spans="4:8" ht="49" thickTop="1" thickBot="1" x14ac:dyDescent="0.6">
      <c r="D86" s="26" t="s">
        <v>13</v>
      </c>
      <c r="E86" s="33">
        <f>E73*(1+$E$15)</f>
        <v>0</v>
      </c>
      <c r="G86" s="38"/>
      <c r="H86" s="38"/>
    </row>
    <row r="87" spans="4:8" ht="49" thickTop="1" thickBot="1" x14ac:dyDescent="0.6">
      <c r="D87" s="26" t="s">
        <v>14</v>
      </c>
      <c r="E87" s="33">
        <f>SUM(E83:E86)</f>
        <v>29560.804</v>
      </c>
      <c r="G87" s="26" t="s">
        <v>21</v>
      </c>
      <c r="H87" s="33">
        <f>H83*30</f>
        <v>56140.576934400015</v>
      </c>
    </row>
    <row r="88" spans="4:8" ht="49" thickTop="1" thickBot="1" x14ac:dyDescent="0.6">
      <c r="D88" s="39"/>
      <c r="E88" s="39"/>
      <c r="G88" s="39"/>
      <c r="H88" s="39"/>
    </row>
    <row r="89" spans="4:8" ht="49" thickTop="1" thickBot="1" x14ac:dyDescent="0.6">
      <c r="D89" s="26" t="s">
        <v>22</v>
      </c>
      <c r="E89" s="33">
        <f>E87*12</f>
        <v>354729.64799999999</v>
      </c>
      <c r="G89" s="26" t="s">
        <v>22</v>
      </c>
      <c r="H89" s="33">
        <f>H87*12</f>
        <v>673686.92321280017</v>
      </c>
    </row>
    <row r="90" spans="4:8" ht="49" thickTop="1" thickBot="1" x14ac:dyDescent="0.6">
      <c r="D90" s="26" t="s">
        <v>26</v>
      </c>
      <c r="E90" s="33">
        <f>$E$7*N12-E77-E64-E51-E38</f>
        <v>100000</v>
      </c>
      <c r="G90" s="26" t="s">
        <v>31</v>
      </c>
      <c r="H90" s="33">
        <f>$E$8*$H$14+IF(AC7&gt;=H81,FV(NOMINAL($H$14,12)/12,12,-$AC$9,0),0)</f>
        <v>234016.39676075155</v>
      </c>
    </row>
    <row r="91" spans="4:8" ht="49" thickTop="1" thickBot="1" x14ac:dyDescent="0.6">
      <c r="D91" s="26" t="s">
        <v>27</v>
      </c>
      <c r="E91" s="33">
        <f>E89+E90</f>
        <v>454729.64799999999</v>
      </c>
      <c r="G91" s="26" t="s">
        <v>33</v>
      </c>
      <c r="H91" s="33">
        <f>H89-H90</f>
        <v>439670.52645204862</v>
      </c>
    </row>
    <row r="92" spans="4:8" ht="48" thickTop="1" x14ac:dyDescent="0.55000000000000004"/>
    <row r="93" spans="4:8" ht="48" thickBot="1" x14ac:dyDescent="0.6"/>
    <row r="94" spans="4:8" ht="49" thickTop="1" thickBot="1" x14ac:dyDescent="0.6">
      <c r="D94" s="35" t="s">
        <v>28</v>
      </c>
      <c r="E94" s="35"/>
      <c r="F94" s="35"/>
      <c r="G94" s="35"/>
      <c r="H94" s="24">
        <v>6</v>
      </c>
    </row>
    <row r="95" spans="4:8" ht="49" thickTop="1" thickBot="1" x14ac:dyDescent="0.6">
      <c r="D95" s="40" t="s">
        <v>0</v>
      </c>
      <c r="E95" s="40"/>
      <c r="G95" s="40" t="s">
        <v>1</v>
      </c>
      <c r="H95" s="40"/>
    </row>
    <row r="96" spans="4:8" ht="49" thickTop="1" thickBot="1" x14ac:dyDescent="0.6">
      <c r="D96" s="26" t="s">
        <v>3</v>
      </c>
      <c r="E96" s="33">
        <f>$E$10/12</f>
        <v>1250</v>
      </c>
      <c r="G96" s="26" t="s">
        <v>20</v>
      </c>
      <c r="H96" s="33">
        <f>H83*(1+$H$13)</f>
        <v>2021.0607696384006</v>
      </c>
    </row>
    <row r="97" spans="4:8" ht="49" thickTop="1" thickBot="1" x14ac:dyDescent="0.6">
      <c r="D97" s="26" t="s">
        <v>11</v>
      </c>
      <c r="E97" s="33">
        <f>$E$11/12</f>
        <v>1250</v>
      </c>
      <c r="G97" s="36"/>
      <c r="H97" s="36"/>
    </row>
    <row r="98" spans="4:8" ht="49" thickTop="1" thickBot="1" x14ac:dyDescent="0.6">
      <c r="D98" s="26" t="s">
        <v>12</v>
      </c>
      <c r="E98" s="33">
        <f>E85*(1+$E$13)</f>
        <v>27602.020080000002</v>
      </c>
      <c r="G98" s="37"/>
      <c r="H98" s="37"/>
    </row>
    <row r="99" spans="4:8" ht="49" thickTop="1" thickBot="1" x14ac:dyDescent="0.6">
      <c r="D99" s="26" t="s">
        <v>13</v>
      </c>
      <c r="E99" s="33">
        <f>E86*(1+$E$15)</f>
        <v>0</v>
      </c>
      <c r="G99" s="38"/>
      <c r="H99" s="38"/>
    </row>
    <row r="100" spans="4:8" ht="49" thickTop="1" thickBot="1" x14ac:dyDescent="0.6">
      <c r="D100" s="26" t="s">
        <v>14</v>
      </c>
      <c r="E100" s="33">
        <f>SUM(E96:E99)</f>
        <v>30102.020080000002</v>
      </c>
      <c r="G100" s="26" t="s">
        <v>21</v>
      </c>
      <c r="H100" s="33">
        <f>H96*30</f>
        <v>60631.823089152022</v>
      </c>
    </row>
    <row r="101" spans="4:8" ht="49" thickTop="1" thickBot="1" x14ac:dyDescent="0.6">
      <c r="D101" s="39"/>
      <c r="E101" s="39"/>
      <c r="G101" s="39"/>
      <c r="H101" s="39"/>
    </row>
    <row r="102" spans="4:8" ht="49" thickTop="1" thickBot="1" x14ac:dyDescent="0.6">
      <c r="D102" s="26" t="s">
        <v>22</v>
      </c>
      <c r="E102" s="33">
        <f>E100*12</f>
        <v>361224.24096000002</v>
      </c>
      <c r="G102" s="26" t="s">
        <v>22</v>
      </c>
      <c r="H102" s="33">
        <f>H100*12</f>
        <v>727581.87706982426</v>
      </c>
    </row>
    <row r="103" spans="4:8" ht="49" thickTop="1" thickBot="1" x14ac:dyDescent="0.6">
      <c r="D103" s="26" t="s">
        <v>26</v>
      </c>
      <c r="E103" s="33">
        <f>$E$7*(N13-N12)</f>
        <v>50000.000000000044</v>
      </c>
      <c r="G103" s="26" t="s">
        <v>31</v>
      </c>
      <c r="H103" s="33">
        <f>$E$8*$H$14+IF(AC7&gt;=H94,FV(NOMINAL($H$14,12)/12,12,-$AC$9,0),0)</f>
        <v>24000</v>
      </c>
    </row>
    <row r="104" spans="4:8" ht="49" thickTop="1" thickBot="1" x14ac:dyDescent="0.6">
      <c r="D104" s="26" t="s">
        <v>27</v>
      </c>
      <c r="E104" s="33">
        <f>E102+E103</f>
        <v>411224.24096000008</v>
      </c>
      <c r="G104" s="26" t="s">
        <v>33</v>
      </c>
      <c r="H104" s="33">
        <f>H102-H103</f>
        <v>703581.87706982426</v>
      </c>
    </row>
    <row r="105" spans="4:8" ht="48" thickTop="1" x14ac:dyDescent="0.55000000000000004"/>
    <row r="106" spans="4:8" ht="48" thickBot="1" x14ac:dyDescent="0.6"/>
    <row r="107" spans="4:8" ht="49" thickTop="1" thickBot="1" x14ac:dyDescent="0.6">
      <c r="D107" s="35" t="s">
        <v>28</v>
      </c>
      <c r="E107" s="35"/>
      <c r="F107" s="35"/>
      <c r="G107" s="35"/>
      <c r="H107" s="24">
        <v>7</v>
      </c>
    </row>
    <row r="108" spans="4:8" ht="49" thickTop="1" thickBot="1" x14ac:dyDescent="0.6">
      <c r="D108" s="19" t="s">
        <v>0</v>
      </c>
      <c r="E108" s="19"/>
      <c r="G108" s="19" t="s">
        <v>1</v>
      </c>
      <c r="H108" s="19"/>
    </row>
    <row r="109" spans="4:8" ht="49" thickTop="1" thickBot="1" x14ac:dyDescent="0.6">
      <c r="D109" s="26" t="s">
        <v>3</v>
      </c>
      <c r="E109" s="33">
        <f>$E$10/12</f>
        <v>1250</v>
      </c>
      <c r="G109" s="26" t="s">
        <v>20</v>
      </c>
      <c r="H109" s="33">
        <f>H96*(1+$H$13)</f>
        <v>2182.7456312094728</v>
      </c>
    </row>
    <row r="110" spans="4:8" ht="49" thickTop="1" thickBot="1" x14ac:dyDescent="0.6">
      <c r="D110" s="26" t="s">
        <v>11</v>
      </c>
      <c r="E110" s="33">
        <f>$E$11/12</f>
        <v>1250</v>
      </c>
      <c r="G110" s="36"/>
      <c r="H110" s="36"/>
    </row>
    <row r="111" spans="4:8" ht="49" thickTop="1" thickBot="1" x14ac:dyDescent="0.6">
      <c r="D111" s="26" t="s">
        <v>12</v>
      </c>
      <c r="E111" s="33">
        <f>E98*(1+$E$13)</f>
        <v>28154.060481600001</v>
      </c>
      <c r="G111" s="37"/>
      <c r="H111" s="37"/>
    </row>
    <row r="112" spans="4:8" ht="49" thickTop="1" thickBot="1" x14ac:dyDescent="0.6">
      <c r="D112" s="26" t="s">
        <v>13</v>
      </c>
      <c r="E112" s="33">
        <f>E99*(1+$E$15)</f>
        <v>0</v>
      </c>
      <c r="G112" s="38"/>
      <c r="H112" s="38"/>
    </row>
    <row r="113" spans="4:8" ht="49" thickTop="1" thickBot="1" x14ac:dyDescent="0.6">
      <c r="D113" s="26" t="s">
        <v>14</v>
      </c>
      <c r="E113" s="33">
        <f>SUM(E109:E112)</f>
        <v>30654.060481600001</v>
      </c>
      <c r="G113" s="26" t="s">
        <v>21</v>
      </c>
      <c r="H113" s="33">
        <f>H109*30</f>
        <v>65482.368936284183</v>
      </c>
    </row>
    <row r="114" spans="4:8" ht="49" thickTop="1" thickBot="1" x14ac:dyDescent="0.6">
      <c r="D114" s="39"/>
      <c r="E114" s="39"/>
      <c r="G114" s="39"/>
      <c r="H114" s="39"/>
    </row>
    <row r="115" spans="4:8" ht="49" thickTop="1" thickBot="1" x14ac:dyDescent="0.6">
      <c r="D115" s="26" t="s">
        <v>22</v>
      </c>
      <c r="E115" s="33">
        <f>E113*12</f>
        <v>367848.72577920003</v>
      </c>
      <c r="G115" s="26" t="s">
        <v>22</v>
      </c>
      <c r="H115" s="33">
        <f>H113*12</f>
        <v>785788.4272354102</v>
      </c>
    </row>
    <row r="116" spans="4:8" ht="49" thickTop="1" thickBot="1" x14ac:dyDescent="0.6">
      <c r="D116" s="26" t="s">
        <v>26</v>
      </c>
      <c r="E116" s="33">
        <f>$E$7*(N14-N13)</f>
        <v>49999.999999999935</v>
      </c>
      <c r="G116" s="26" t="s">
        <v>31</v>
      </c>
      <c r="H116" s="33">
        <f>$E$8*$H$14+IF(AC7&gt;=H107,FV(NOMINAL($H$14,12)/12,12,-$AC$9,0),0)</f>
        <v>24000</v>
      </c>
    </row>
    <row r="117" spans="4:8" ht="49" thickTop="1" thickBot="1" x14ac:dyDescent="0.6">
      <c r="D117" s="26" t="s">
        <v>27</v>
      </c>
      <c r="E117" s="33">
        <f>E115+E116</f>
        <v>417848.72577919997</v>
      </c>
      <c r="G117" s="26" t="s">
        <v>33</v>
      </c>
      <c r="H117" s="33">
        <f>H115-H116</f>
        <v>761788.4272354102</v>
      </c>
    </row>
    <row r="118" spans="4:8" ht="48" thickTop="1" x14ac:dyDescent="0.55000000000000004"/>
    <row r="119" spans="4:8" ht="48" thickBot="1" x14ac:dyDescent="0.6"/>
    <row r="120" spans="4:8" ht="49" thickTop="1" thickBot="1" x14ac:dyDescent="0.6">
      <c r="D120" s="35" t="s">
        <v>28</v>
      </c>
      <c r="E120" s="35"/>
      <c r="F120" s="35"/>
      <c r="G120" s="35"/>
      <c r="H120" s="24">
        <v>8</v>
      </c>
    </row>
    <row r="121" spans="4:8" ht="49" thickTop="1" thickBot="1" x14ac:dyDescent="0.6">
      <c r="D121" s="19" t="s">
        <v>0</v>
      </c>
      <c r="E121" s="19"/>
      <c r="G121" s="19" t="s">
        <v>1</v>
      </c>
      <c r="H121" s="19"/>
    </row>
    <row r="122" spans="4:8" ht="49" thickTop="1" thickBot="1" x14ac:dyDescent="0.6">
      <c r="D122" s="26" t="s">
        <v>3</v>
      </c>
      <c r="E122" s="33">
        <f>$E$10/12</f>
        <v>1250</v>
      </c>
      <c r="G122" s="26" t="s">
        <v>20</v>
      </c>
      <c r="H122" s="33">
        <f>H109*(1+$H$13)</f>
        <v>2357.3652817062307</v>
      </c>
    </row>
    <row r="123" spans="4:8" ht="49" thickTop="1" thickBot="1" x14ac:dyDescent="0.6">
      <c r="D123" s="26" t="s">
        <v>11</v>
      </c>
      <c r="E123" s="33">
        <f>$E$11/12</f>
        <v>1250</v>
      </c>
      <c r="G123" s="36"/>
      <c r="H123" s="36"/>
    </row>
    <row r="124" spans="4:8" ht="49" thickTop="1" thickBot="1" x14ac:dyDescent="0.6">
      <c r="D124" s="26" t="s">
        <v>12</v>
      </c>
      <c r="E124" s="33">
        <f>E111*(1+$E$13)</f>
        <v>28717.141691232002</v>
      </c>
      <c r="G124" s="37"/>
      <c r="H124" s="37"/>
    </row>
    <row r="125" spans="4:8" ht="49" thickTop="1" thickBot="1" x14ac:dyDescent="0.6">
      <c r="D125" s="26" t="s">
        <v>13</v>
      </c>
      <c r="E125" s="33">
        <f>E112*(1+$E$15)</f>
        <v>0</v>
      </c>
      <c r="G125" s="38"/>
      <c r="H125" s="38"/>
    </row>
    <row r="126" spans="4:8" ht="49" thickTop="1" thickBot="1" x14ac:dyDescent="0.6">
      <c r="D126" s="26" t="s">
        <v>14</v>
      </c>
      <c r="E126" s="33">
        <f>SUM(E122:E125)</f>
        <v>31217.141691232002</v>
      </c>
      <c r="G126" s="26" t="s">
        <v>21</v>
      </c>
      <c r="H126" s="33">
        <f>H122*30</f>
        <v>70720.958451186918</v>
      </c>
    </row>
    <row r="127" spans="4:8" ht="49" thickTop="1" thickBot="1" x14ac:dyDescent="0.6">
      <c r="D127" s="39"/>
      <c r="E127" s="39"/>
      <c r="G127" s="39"/>
      <c r="H127" s="39"/>
    </row>
    <row r="128" spans="4:8" ht="49" thickTop="1" thickBot="1" x14ac:dyDescent="0.6">
      <c r="D128" s="26" t="s">
        <v>22</v>
      </c>
      <c r="E128" s="33">
        <f>E126*12</f>
        <v>374605.70029478404</v>
      </c>
      <c r="G128" s="26" t="s">
        <v>22</v>
      </c>
      <c r="H128" s="33">
        <f>H126*12</f>
        <v>848651.50141424302</v>
      </c>
    </row>
    <row r="129" spans="4:8" ht="49" thickTop="1" thickBot="1" x14ac:dyDescent="0.6">
      <c r="D129" s="26" t="s">
        <v>26</v>
      </c>
      <c r="E129" s="33">
        <f>$E$7*(N15-N14)</f>
        <v>50000.000000000044</v>
      </c>
      <c r="G129" s="26" t="s">
        <v>31</v>
      </c>
      <c r="H129" s="33">
        <f>($E$8*(1-N14))*$H$14+IF(AC7&gt;=H120,FV(NOMINAL($H$14,12)/12,12,-$AC$9,0),0)</f>
        <v>9600</v>
      </c>
    </row>
    <row r="130" spans="4:8" ht="49" thickTop="1" thickBot="1" x14ac:dyDescent="0.6">
      <c r="D130" s="26" t="s">
        <v>27</v>
      </c>
      <c r="E130" s="33">
        <f>E128+E129</f>
        <v>424605.7002947841</v>
      </c>
      <c r="G130" s="26" t="s">
        <v>33</v>
      </c>
      <c r="H130" s="33">
        <f>H128-H129</f>
        <v>839051.50141424302</v>
      </c>
    </row>
    <row r="131" spans="4:8" ht="48" thickTop="1" x14ac:dyDescent="0.55000000000000004"/>
    <row r="132" spans="4:8" ht="48" thickBot="1" x14ac:dyDescent="0.6"/>
    <row r="133" spans="4:8" ht="49" thickTop="1" thickBot="1" x14ac:dyDescent="0.6">
      <c r="D133" s="35" t="s">
        <v>28</v>
      </c>
      <c r="E133" s="35"/>
      <c r="F133" s="35"/>
      <c r="G133" s="35"/>
      <c r="H133" s="24">
        <v>9</v>
      </c>
    </row>
    <row r="134" spans="4:8" ht="49" thickTop="1" thickBot="1" x14ac:dyDescent="0.6">
      <c r="D134" s="19" t="s">
        <v>0</v>
      </c>
      <c r="E134" s="19"/>
      <c r="G134" s="19" t="s">
        <v>1</v>
      </c>
      <c r="H134" s="19"/>
    </row>
    <row r="135" spans="4:8" ht="49" thickTop="1" thickBot="1" x14ac:dyDescent="0.6">
      <c r="D135" s="26" t="s">
        <v>3</v>
      </c>
      <c r="E135" s="33">
        <f>$E$10/12</f>
        <v>1250</v>
      </c>
      <c r="G135" s="26" t="s">
        <v>20</v>
      </c>
      <c r="H135" s="33">
        <f>H122*(1+$H$13)</f>
        <v>2545.9545042427294</v>
      </c>
    </row>
    <row r="136" spans="4:8" ht="49" thickTop="1" thickBot="1" x14ac:dyDescent="0.6">
      <c r="D136" s="26" t="s">
        <v>11</v>
      </c>
      <c r="E136" s="33">
        <f>$E$11/12</f>
        <v>1250</v>
      </c>
      <c r="G136" s="36"/>
      <c r="H136" s="36"/>
    </row>
    <row r="137" spans="4:8" ht="49" thickTop="1" thickBot="1" x14ac:dyDescent="0.6">
      <c r="D137" s="26" t="s">
        <v>12</v>
      </c>
      <c r="E137" s="33">
        <f>E124*(1+$E$13)</f>
        <v>29291.484525056643</v>
      </c>
      <c r="G137" s="37"/>
      <c r="H137" s="37"/>
    </row>
    <row r="138" spans="4:8" ht="49" thickTop="1" thickBot="1" x14ac:dyDescent="0.6">
      <c r="D138" s="26" t="s">
        <v>13</v>
      </c>
      <c r="E138" s="33">
        <f>E125*(1+$E$15)</f>
        <v>0</v>
      </c>
      <c r="G138" s="38"/>
      <c r="H138" s="38"/>
    </row>
    <row r="139" spans="4:8" ht="49" thickTop="1" thickBot="1" x14ac:dyDescent="0.6">
      <c r="D139" s="26" t="s">
        <v>14</v>
      </c>
      <c r="E139" s="33">
        <f>SUM(E135:E138)</f>
        <v>31791.484525056643</v>
      </c>
      <c r="G139" s="26" t="s">
        <v>21</v>
      </c>
      <c r="H139" s="33">
        <f>H135*30</f>
        <v>76378.635127281887</v>
      </c>
    </row>
    <row r="140" spans="4:8" ht="49" thickTop="1" thickBot="1" x14ac:dyDescent="0.6">
      <c r="D140" s="39"/>
      <c r="E140" s="39"/>
      <c r="G140" s="39"/>
      <c r="H140" s="39"/>
    </row>
    <row r="141" spans="4:8" ht="49" thickTop="1" thickBot="1" x14ac:dyDescent="0.6">
      <c r="D141" s="26" t="s">
        <v>22</v>
      </c>
      <c r="E141" s="33">
        <f>E139*12</f>
        <v>381497.81430067972</v>
      </c>
      <c r="G141" s="26" t="s">
        <v>22</v>
      </c>
      <c r="H141" s="33">
        <f>H139*12</f>
        <v>916543.62152738264</v>
      </c>
    </row>
    <row r="142" spans="4:8" ht="49" thickTop="1" thickBot="1" x14ac:dyDescent="0.6">
      <c r="D142" s="26" t="s">
        <v>26</v>
      </c>
      <c r="E142" s="33">
        <f>$E$7*(N16-N15)</f>
        <v>49999.999999999935</v>
      </c>
      <c r="G142" s="26" t="s">
        <v>31</v>
      </c>
      <c r="H142" s="33">
        <f>($E$8*(1-N15))*$H$14+IF(AC7&gt;=H133,FV(NOMINAL($H$14,12)/12,12,-$AC$9,0),0)</f>
        <v>8400</v>
      </c>
    </row>
    <row r="143" spans="4:8" ht="49" thickTop="1" thickBot="1" x14ac:dyDescent="0.6">
      <c r="D143" s="26" t="s">
        <v>27</v>
      </c>
      <c r="E143" s="33">
        <f>E141+E142</f>
        <v>431497.81430067966</v>
      </c>
      <c r="G143" s="26" t="s">
        <v>33</v>
      </c>
      <c r="H143" s="33">
        <f>H141-H142</f>
        <v>908143.62152738264</v>
      </c>
    </row>
    <row r="144" spans="4:8" ht="48" thickTop="1" x14ac:dyDescent="0.55000000000000004"/>
    <row r="145" spans="4:8" ht="48" thickBot="1" x14ac:dyDescent="0.6"/>
    <row r="146" spans="4:8" ht="49" thickTop="1" thickBot="1" x14ac:dyDescent="0.6">
      <c r="D146" s="35" t="s">
        <v>28</v>
      </c>
      <c r="E146" s="35"/>
      <c r="F146" s="35"/>
      <c r="G146" s="35"/>
      <c r="H146" s="24">
        <v>10</v>
      </c>
    </row>
    <row r="147" spans="4:8" ht="49" thickTop="1" thickBot="1" x14ac:dyDescent="0.6">
      <c r="D147" s="19" t="s">
        <v>0</v>
      </c>
      <c r="E147" s="19"/>
      <c r="G147" s="19" t="s">
        <v>1</v>
      </c>
      <c r="H147" s="19"/>
    </row>
    <row r="148" spans="4:8" ht="49" thickTop="1" thickBot="1" x14ac:dyDescent="0.6">
      <c r="D148" s="26" t="s">
        <v>3</v>
      </c>
      <c r="E148" s="33">
        <f>$E$10/12</f>
        <v>1250</v>
      </c>
      <c r="G148" s="26" t="s">
        <v>20</v>
      </c>
      <c r="H148" s="33">
        <f>H135*(1+$H$13)</f>
        <v>2749.6308645821478</v>
      </c>
    </row>
    <row r="149" spans="4:8" ht="49" thickTop="1" thickBot="1" x14ac:dyDescent="0.6">
      <c r="D149" s="26" t="s">
        <v>11</v>
      </c>
      <c r="E149" s="33">
        <f>$E$11/12</f>
        <v>1250</v>
      </c>
      <c r="G149" s="36"/>
      <c r="H149" s="36"/>
    </row>
    <row r="150" spans="4:8" ht="49" thickTop="1" thickBot="1" x14ac:dyDescent="0.6">
      <c r="D150" s="26" t="s">
        <v>12</v>
      </c>
      <c r="E150" s="33">
        <f>E137*(1+$E$13)</f>
        <v>29877.314215557777</v>
      </c>
      <c r="G150" s="37"/>
      <c r="H150" s="37"/>
    </row>
    <row r="151" spans="4:8" ht="49" thickTop="1" thickBot="1" x14ac:dyDescent="0.6">
      <c r="D151" s="26" t="s">
        <v>13</v>
      </c>
      <c r="E151" s="33">
        <f>E138*(1+$E$15)</f>
        <v>0</v>
      </c>
      <c r="G151" s="38"/>
      <c r="H151" s="38"/>
    </row>
    <row r="152" spans="4:8" ht="49" thickTop="1" thickBot="1" x14ac:dyDescent="0.6">
      <c r="D152" s="26" t="s">
        <v>14</v>
      </c>
      <c r="E152" s="33">
        <f>SUM(E148:E151)</f>
        <v>32377.314215557777</v>
      </c>
      <c r="G152" s="26" t="s">
        <v>21</v>
      </c>
      <c r="H152" s="33">
        <f>H148*30</f>
        <v>82488.925937464432</v>
      </c>
    </row>
    <row r="153" spans="4:8" ht="49" thickTop="1" thickBot="1" x14ac:dyDescent="0.6">
      <c r="D153" s="39"/>
      <c r="E153" s="39"/>
      <c r="G153" s="39"/>
      <c r="H153" s="39"/>
    </row>
    <row r="154" spans="4:8" ht="49" thickTop="1" thickBot="1" x14ac:dyDescent="0.6">
      <c r="D154" s="26" t="s">
        <v>22</v>
      </c>
      <c r="E154" s="33">
        <f>E152*12</f>
        <v>388527.77058669331</v>
      </c>
      <c r="G154" s="26" t="s">
        <v>22</v>
      </c>
      <c r="H154" s="33">
        <f>H152*12</f>
        <v>989867.11124957318</v>
      </c>
    </row>
    <row r="155" spans="4:8" ht="49" thickTop="1" thickBot="1" x14ac:dyDescent="0.6">
      <c r="D155" s="26" t="s">
        <v>26</v>
      </c>
      <c r="E155" s="33">
        <f>$E$7*(N17-N16)</f>
        <v>50000.000000000044</v>
      </c>
      <c r="G155" s="26" t="s">
        <v>31</v>
      </c>
      <c r="H155" s="33">
        <f>($E$8*(1-N16))*$H$14+IF(AC7&gt;=H146,FV(NOMINAL($H$14,12)/12,12,-$AC$9,0),0)</f>
        <v>7200.0000000000009</v>
      </c>
    </row>
    <row r="156" spans="4:8" ht="49" thickTop="1" thickBot="1" x14ac:dyDescent="0.6">
      <c r="D156" s="26" t="s">
        <v>27</v>
      </c>
      <c r="E156" s="33">
        <f>E154+E155</f>
        <v>438527.77058669337</v>
      </c>
      <c r="G156" s="26" t="s">
        <v>33</v>
      </c>
      <c r="H156" s="33">
        <f>H154-H155</f>
        <v>982667.11124957318</v>
      </c>
    </row>
    <row r="157" spans="4:8" ht="48" thickTop="1" x14ac:dyDescent="0.55000000000000004"/>
  </sheetData>
  <sheetProtection algorithmName="SHA-512" hashValue="oStHQlqA9DT5XXC/RMs0v3zB6hB+0tB4gBfPyl/wwSwZtAJFMYkuOM9MbTm4VaWrtrdtMcyCrrcf3dVpqxqFWw==" saltValue="M4RzwdTS9WmJzI7vCjwZ9w==" spinCount="100000" sheet="1" objects="1" scenarios="1"/>
  <mergeCells count="42">
    <mergeCell ref="E26:H26"/>
    <mergeCell ref="E27:H27"/>
    <mergeCell ref="AB5:AC5"/>
    <mergeCell ref="D107:G107"/>
    <mergeCell ref="D108:E108"/>
    <mergeCell ref="G108:H108"/>
    <mergeCell ref="D146:G146"/>
    <mergeCell ref="D81:G81"/>
    <mergeCell ref="D82:E82"/>
    <mergeCell ref="G82:H82"/>
    <mergeCell ref="D94:G94"/>
    <mergeCell ref="D95:E95"/>
    <mergeCell ref="G95:H95"/>
    <mergeCell ref="D55:G55"/>
    <mergeCell ref="D56:E56"/>
    <mergeCell ref="G56:H56"/>
    <mergeCell ref="D68:G68"/>
    <mergeCell ref="D69:E69"/>
    <mergeCell ref="D147:E147"/>
    <mergeCell ref="G147:H147"/>
    <mergeCell ref="D120:G120"/>
    <mergeCell ref="D121:E121"/>
    <mergeCell ref="G121:H121"/>
    <mergeCell ref="D133:G133"/>
    <mergeCell ref="D134:E134"/>
    <mergeCell ref="G134:H134"/>
    <mergeCell ref="R5:T5"/>
    <mergeCell ref="G6:H6"/>
    <mergeCell ref="D6:E6"/>
    <mergeCell ref="M6:N6"/>
    <mergeCell ref="G69:H69"/>
    <mergeCell ref="D30:E30"/>
    <mergeCell ref="G30:H30"/>
    <mergeCell ref="D29:G29"/>
    <mergeCell ref="D42:G42"/>
    <mergeCell ref="D43:E43"/>
    <mergeCell ref="G43:H43"/>
    <mergeCell ref="D19:H19"/>
    <mergeCell ref="E20:H20"/>
    <mergeCell ref="E21:H21"/>
    <mergeCell ref="E22:H22"/>
    <mergeCell ref="D25:H25"/>
  </mergeCells>
  <conditionalFormatting sqref="S7:T7">
    <cfRule type="colorScale" priority="11">
      <colorScale>
        <cfvo type="min"/>
        <cfvo type="max"/>
        <color rgb="FF00B050"/>
        <color rgb="FFFF0000"/>
      </colorScale>
    </cfRule>
  </conditionalFormatting>
  <conditionalFormatting sqref="S8:T8">
    <cfRule type="colorScale" priority="10">
      <colorScale>
        <cfvo type="min"/>
        <cfvo type="max"/>
        <color rgb="FF00B050"/>
        <color rgb="FFFF0000"/>
      </colorScale>
    </cfRule>
  </conditionalFormatting>
  <conditionalFormatting sqref="S9:T9">
    <cfRule type="colorScale" priority="9">
      <colorScale>
        <cfvo type="min"/>
        <cfvo type="max"/>
        <color rgb="FF00B050"/>
        <color rgb="FFFF0000"/>
      </colorScale>
    </cfRule>
  </conditionalFormatting>
  <conditionalFormatting sqref="S10:T10">
    <cfRule type="colorScale" priority="8">
      <colorScale>
        <cfvo type="min"/>
        <cfvo type="max"/>
        <color rgb="FF00B050"/>
        <color rgb="FFFF0000"/>
      </colorScale>
    </cfRule>
  </conditionalFormatting>
  <conditionalFormatting sqref="S11:T11">
    <cfRule type="colorScale" priority="7">
      <colorScale>
        <cfvo type="min"/>
        <cfvo type="max"/>
        <color rgb="FF00B050"/>
        <color rgb="FFFF0000"/>
      </colorScale>
    </cfRule>
  </conditionalFormatting>
  <conditionalFormatting sqref="S12:T12">
    <cfRule type="colorScale" priority="6">
      <colorScale>
        <cfvo type="min"/>
        <cfvo type="max"/>
        <color rgb="FF00B050"/>
        <color rgb="FFFF0000"/>
      </colorScale>
    </cfRule>
  </conditionalFormatting>
  <conditionalFormatting sqref="S13:T13">
    <cfRule type="colorScale" priority="5">
      <colorScale>
        <cfvo type="min"/>
        <cfvo type="max"/>
        <color rgb="FF00B050"/>
        <color rgb="FFFF0000"/>
      </colorScale>
    </cfRule>
  </conditionalFormatting>
  <conditionalFormatting sqref="S14:T14">
    <cfRule type="colorScale" priority="4">
      <colorScale>
        <cfvo type="min"/>
        <cfvo type="max"/>
        <color rgb="FF00B050"/>
        <color rgb="FFFF0000"/>
      </colorScale>
    </cfRule>
  </conditionalFormatting>
  <conditionalFormatting sqref="S15:T15">
    <cfRule type="colorScale" priority="3">
      <colorScale>
        <cfvo type="min"/>
        <cfvo type="max"/>
        <color rgb="FF00B050"/>
        <color rgb="FFFF0000"/>
      </colorScale>
    </cfRule>
  </conditionalFormatting>
  <conditionalFormatting sqref="S16:T16">
    <cfRule type="colorScale" priority="2">
      <colorScale>
        <cfvo type="min"/>
        <cfvo type="max"/>
        <color rgb="FF00B050"/>
        <color rgb="FFFF0000"/>
      </colorScale>
    </cfRule>
  </conditionalFormatting>
  <conditionalFormatting sqref="S17:T17">
    <cfRule type="colorScale" priority="1">
      <colorScale>
        <cfvo type="min"/>
        <cfvo type="max"/>
        <color rgb="FF00B050"/>
        <color rgb="FFFF0000"/>
      </colorScale>
    </cfRule>
  </conditionalFormatting>
  <hyperlinks>
    <hyperlink ref="E22" r:id="rId1" display="https://www.youtube.com/redirect?event=video_description&amp;redir_token=QUFFLUhqa21tNUkzbUozdVA5M0F0SU93WGNoOTVIdlFuZ3xBQ3Jtc0trZnYwVzR6WUpkSk81RDR4bGtKbVJIVDBwdkxRbEY4bFRsdWJaeXRWZnB0RzRBNHphYkR4cHg4QlZvd09CVHRzRThvOTNhQWNtbENJeExPUGNRX1h6MGptUW91RnRZMXVQMzlnNjhGam5nTUw1azZrdw%3D%3D&amp;q=http%3A%2F%2Ftinyurl.com%2Fy3r42a2x&amp;v=Hd--myyer3A" xr:uid="{6CB747E0-26AD-C041-B863-86DA8280F552}"/>
    <hyperlink ref="E20" r:id="rId2" display="https://www.youtube.com/redirect?event=video_description&amp;redir_token=QUFFLUhqbGZhaGV4OGQ2UUdDODY1RU5YOTBwd0xfNTR1QXxBQ3Jtc0trSjVxSVlCNlVNMkhwUGE5OTRLVG1SZzl3TWpiZ3FaVXFSUlMwbXp3LW9vZ0V4N3FCay02T0UwV3dKTW1ZZlRhcmZwMDNURmlMYVFTa2tZd003cW5vQXNvT1Nzdkd6UTdTZWsxRVFhaDNJdDBaMFBYSQ%3D%3D&amp;q=https%3A%2F%2Fzerodha.com%2Fopen-account%3Fc%3DZMPIBU&amp;v=Hd--myyer3A" xr:uid="{041F5F7C-1F2A-B24B-A9E3-FA6161024229}"/>
    <hyperlink ref="E21" r:id="rId3" display="https://www.youtube.com/redirect?event=video_description&amp;redir_token=QUFFLUhqblNOd0VaX0ZGSjl6LVVkWEg0T3l6Q0NNYVJmUXxBQ3Jtc0treUlkekQwbkR5Y0hUY1d4WEpoaVRJeU9vNFFzRlp5YTRjQ3lVaVl6aG80bm0wdkRiV2tBQU5lMXVjN0Qycm01ckRSdm02RmNHYjVxazdMaDZwbllIcVBPOF9HUV9paUpMaDliTkthUGpEU0gtNS1Wbw%3D%3D&amp;q=https%3A%2F%2Ftinyurl.com%2Fy8sbw9w8&amp;v=Hd--myyer3A" xr:uid="{829D429E-CB7F-FD42-923C-E58DCF5ACF4F}"/>
    <hyperlink ref="E26" r:id="rId4" xr:uid="{406D6A6E-4FA7-824D-92EA-8F22ED9144C8}"/>
    <hyperlink ref="E27" r:id="rId5" xr:uid="{E577E71A-A522-2E4F-8B2B-327052C3089D}"/>
  </hyperlinks>
  <pageMargins left="0.7" right="0.7" top="0.75" bottom="0.75" header="0.3" footer="0.3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Raise Basha Naik</dc:creator>
  <cp:lastModifiedBy>Raise Basha Naik</cp:lastModifiedBy>
  <dcterms:created xsi:type="dcterms:W3CDTF">2023-04-15T07:32:36Z</dcterms:created>
  <dcterms:modified xsi:type="dcterms:W3CDTF">2023-04-21T10:52:47Z</dcterms:modified>
</cp:coreProperties>
</file>