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raisebashanaik/Desktop/"/>
    </mc:Choice>
  </mc:AlternateContent>
  <xr:revisionPtr revIDLastSave="0" documentId="13_ncr:1_{92E862B8-01A7-A44D-8953-4FFF6DE218B4}" xr6:coauthVersionLast="47" xr6:coauthVersionMax="47" xr10:uidLastSave="{00000000-0000-0000-0000-000000000000}"/>
  <bookViews>
    <workbookView xWindow="960" yWindow="780" windowWidth="30280" windowHeight="19860" activeTab="1" xr2:uid="{1F8C8869-5554-1841-B36E-62688F22FB6B}"/>
  </bookViews>
  <sheets>
    <sheet name="The impact of change" sheetId="2" r:id="rId1"/>
    <sheet name="Tax Calculation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9" i="2" l="1"/>
  <c r="M9" i="1"/>
  <c r="M8" i="1"/>
  <c r="M7" i="1"/>
  <c r="M6" i="1"/>
  <c r="M13" i="1" s="1"/>
  <c r="O8" i="2"/>
  <c r="N8" i="2"/>
  <c r="M8" i="2"/>
  <c r="L8" i="2"/>
  <c r="L9" i="2" s="1"/>
  <c r="L10" i="2" s="1"/>
  <c r="L12" i="2" s="1"/>
  <c r="J8" i="2"/>
  <c r="I8" i="2"/>
  <c r="H8" i="2"/>
  <c r="G7" i="2"/>
  <c r="O6" i="2"/>
  <c r="N6" i="2"/>
  <c r="M6" i="2"/>
  <c r="L6" i="2"/>
  <c r="O5" i="2"/>
  <c r="O7" i="2" s="1"/>
  <c r="N5" i="2"/>
  <c r="N7" i="2" s="1"/>
  <c r="M5" i="2"/>
  <c r="M7" i="2" s="1"/>
  <c r="L5" i="2"/>
  <c r="L7" i="2" s="1"/>
  <c r="J5" i="2"/>
  <c r="J7" i="2" s="1"/>
  <c r="I5" i="2"/>
  <c r="I7" i="2" s="1"/>
  <c r="H5" i="2"/>
  <c r="M10" i="1"/>
  <c r="G13" i="1"/>
  <c r="G10" i="1"/>
  <c r="G15" i="1" s="1"/>
  <c r="G20" i="1"/>
  <c r="G21" i="1" s="1"/>
  <c r="H7" i="2" l="1"/>
  <c r="J9" i="2"/>
  <c r="J10" i="2" s="1"/>
  <c r="H9" i="2"/>
  <c r="I9" i="2"/>
  <c r="I10" i="2" s="1"/>
  <c r="I12" i="2" s="1"/>
  <c r="M18" i="1"/>
  <c r="M20" i="1" s="1"/>
  <c r="M15" i="1"/>
  <c r="M9" i="2"/>
  <c r="M10" i="2" s="1"/>
  <c r="M12" i="2" s="1"/>
  <c r="N9" i="2"/>
  <c r="N10" i="2" s="1"/>
  <c r="N12" i="2" s="1"/>
  <c r="O9" i="2"/>
  <c r="O10" i="2" s="1"/>
  <c r="O12" i="2" s="1"/>
  <c r="G10" i="2"/>
  <c r="G12" i="2" s="1"/>
  <c r="G21" i="2" s="1"/>
  <c r="G22" i="1"/>
  <c r="I21" i="2" l="1"/>
  <c r="H10" i="2"/>
  <c r="H12" i="2" s="1"/>
  <c r="H21" i="2" s="1"/>
  <c r="J12" i="2"/>
  <c r="J21" i="2" s="1"/>
</calcChain>
</file>

<file path=xl/sharedStrings.xml><?xml version="1.0" encoding="utf-8"?>
<sst xmlns="http://schemas.openxmlformats.org/spreadsheetml/2006/main" count="87" uniqueCount="68">
  <si>
    <t>Financial Year</t>
  </si>
  <si>
    <t>Cost Inflation Index (CII)</t>
  </si>
  <si>
    <t>2001-02 (Base year)</t>
  </si>
  <si>
    <t>2002-03</t>
  </si>
  <si>
    <t>2003-04</t>
  </si>
  <si>
    <t>2004-05</t>
  </si>
  <si>
    <t>2005-06</t>
  </si>
  <si>
    <t>2006-07</t>
  </si>
  <si>
    <t>2007-08</t>
  </si>
  <si>
    <t>2008-09</t>
  </si>
  <si>
    <t>2009-10</t>
  </si>
  <si>
    <t>2010-11</t>
  </si>
  <si>
    <t>2011-12</t>
  </si>
  <si>
    <t>2012-13</t>
  </si>
  <si>
    <t>2013-14</t>
  </si>
  <si>
    <t>2014-15</t>
  </si>
  <si>
    <t>2015-16</t>
  </si>
  <si>
    <t>2016-17</t>
  </si>
  <si>
    <t>2017-18</t>
  </si>
  <si>
    <t>2018-19</t>
  </si>
  <si>
    <t>2019-20</t>
  </si>
  <si>
    <t>2020-21</t>
  </si>
  <si>
    <t>2021-22</t>
  </si>
  <si>
    <t>2022-23</t>
  </si>
  <si>
    <t>2023-24</t>
  </si>
  <si>
    <t>2024-25</t>
  </si>
  <si>
    <t>PAYABLE TAX ON LTCG @ 20%</t>
  </si>
  <si>
    <t>HOLDING PERIOD</t>
  </si>
  <si>
    <t>SHORT TERM CAPITAL GAINS</t>
  </si>
  <si>
    <t>LONG TERM CAPITAL GAINS</t>
  </si>
  <si>
    <t>TAX ON SHORT TERM CAPITAL GAINS</t>
  </si>
  <si>
    <t>TAX ON LONG TERM CAPITAL GAINS</t>
  </si>
  <si>
    <t>OLD TAX</t>
  </si>
  <si>
    <t>NEW TAX</t>
  </si>
  <si>
    <t>EXPECTED INFLATION</t>
  </si>
  <si>
    <t>LONG TERM CAPITAL GAINS TAX RATE</t>
  </si>
  <si>
    <t>TENURE YEARS</t>
  </si>
  <si>
    <t>NOTE 2: Additional surcharge of 15% on the tax and 4% cess need to be paid</t>
  </si>
  <si>
    <t>NOTE 1: If the background color is red then we are paying extra tax than old taxation, if it is green then the new tax is Benefitial</t>
  </si>
  <si>
    <t>ADDITIONAL TAX BURDEN AS PER NEW TAXATION</t>
  </si>
  <si>
    <t xml:space="preserve">TAX CALCULATION AS PER THE OLD TAX ON WITH INDEXATION </t>
  </si>
  <si>
    <t xml:space="preserve">TAX CALCULATION AS PER THE NEW TAX </t>
  </si>
  <si>
    <t>ADDED TO YOUR INCOME</t>
  </si>
  <si>
    <t>1. If the land/house/flat bought before 01/04/2001 then you are eligible to pay tax as per either Old or New Tax</t>
  </si>
  <si>
    <t>2. If the property is bought on or after 01/04/2001 &amp; sold before 23/07/2024 then you are eligible to pay tax as per old tax which is 20% post indexation</t>
  </si>
  <si>
    <t>3. If the property is bought on or after 01/04/2001 &amp; sold after 23/07/2024 then you have to pay tax as per New tax which is 12.5% on gains</t>
  </si>
  <si>
    <t>NOTE for LTCG:</t>
  </si>
  <si>
    <t xml:space="preserve">COST OF ACQUISITION </t>
  </si>
  <si>
    <t>SALE PRICE</t>
  </si>
  <si>
    <t>DATE OF ACQUISITION</t>
  </si>
  <si>
    <t>DATE OF SALE</t>
  </si>
  <si>
    <t>GAINS ON SALE</t>
  </si>
  <si>
    <t>PAYABLE TAX ON SALE</t>
  </si>
  <si>
    <t>CII AT THE ACQUISITION</t>
  </si>
  <si>
    <t>CII AT THE SALE</t>
  </si>
  <si>
    <t>INDEXED PRICE</t>
  </si>
  <si>
    <t>GAINS POST INDEXATION</t>
  </si>
  <si>
    <t xml:space="preserve">PAYABLE TAX ON SALE </t>
  </si>
  <si>
    <t>COST OF ACQUISITION</t>
  </si>
  <si>
    <t xml:space="preserve">TOTAL TAX TO BE PAID ON SALE </t>
  </si>
  <si>
    <t>PURCHASE PRICE</t>
  </si>
  <si>
    <t>EXPECTED GROWTH</t>
  </si>
  <si>
    <t>INDEXED VALUE OF THE ASSET</t>
  </si>
  <si>
    <t>To Support Your Money Purse Channel Use the Links Below</t>
  </si>
  <si>
    <t>Compare Term Plan Here</t>
  </si>
  <si>
    <t xml:space="preserve">https://tinyurl.com/4xtsdbbd </t>
  </si>
  <si>
    <t>Compare Health Insurance Here</t>
  </si>
  <si>
    <t>https://tinyurl.com/37za5jbz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</si>
</sst>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8" formatCode="&quot;₹&quot;#,##0.00_);[Red]\(&quot;₹&quot;#,##0.00\)"/>
    <numFmt numFmtId="164" formatCode="&quot;₹&quot;#,##0.00"/>
    <numFmt numFmtId="165" formatCode="dd/mm/yyyy;@"/>
  </numFmts>
  <fonts count="1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36"/>
      <color theme="1"/>
      <name val="Arial Bold"/>
    </font>
    <font>
      <b/>
      <sz val="36"/>
      <color rgb="FF314259"/>
      <name val="Arial Bold"/>
    </font>
    <font>
      <sz val="36"/>
      <color rgb="FF314259"/>
      <name val="Arial Bold"/>
    </font>
    <font>
      <sz val="36"/>
      <color theme="0"/>
      <name val="Arial Bold"/>
    </font>
    <font>
      <u/>
      <sz val="12"/>
      <color theme="10"/>
      <name val="Aptos Narrow"/>
      <family val="2"/>
      <scheme val="minor"/>
    </font>
    <font>
      <b/>
      <sz val="36"/>
      <color theme="0"/>
      <name val="Calibri (Body)"/>
    </font>
    <font>
      <b/>
      <sz val="36"/>
      <color theme="1"/>
      <name val="Aptos Narrow"/>
      <family val="2"/>
      <scheme val="minor"/>
    </font>
    <font>
      <b/>
      <sz val="36"/>
      <color theme="0"/>
      <name val="Aptos Narrow"/>
      <family val="2"/>
      <scheme val="minor"/>
    </font>
    <font>
      <b/>
      <u/>
      <sz val="36"/>
      <color theme="10"/>
      <name val="Aptos Narrow"/>
      <scheme val="minor"/>
    </font>
  </fonts>
  <fills count="9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E937"/>
        <bgColor indexed="64"/>
      </patternFill>
    </fill>
    <fill>
      <patternFill patternType="solid">
        <fgColor rgb="FF0070C0"/>
        <bgColor indexed="64"/>
      </patternFill>
    </fill>
  </fills>
  <borders count="29">
    <border>
      <left/>
      <right/>
      <top/>
      <bottom/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/>
      <diagonal/>
    </border>
    <border>
      <left style="thick">
        <color indexed="64"/>
      </left>
      <right style="thick">
        <color indexed="64"/>
      </right>
      <top/>
      <bottom/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theme="1"/>
      </bottom>
      <diagonal/>
    </border>
    <border>
      <left style="thick">
        <color indexed="64"/>
      </left>
      <right style="thick">
        <color indexed="64"/>
      </right>
      <top style="thick">
        <color theme="1"/>
      </top>
      <bottom/>
      <diagonal/>
    </border>
    <border>
      <left style="thick">
        <color indexed="64"/>
      </left>
      <right style="thick">
        <color indexed="64"/>
      </right>
      <top style="thick">
        <color theme="1"/>
      </top>
      <bottom style="thick">
        <color theme="1"/>
      </bottom>
      <diagonal/>
    </border>
    <border>
      <left style="thick">
        <color indexed="64"/>
      </left>
      <right style="thick">
        <color indexed="64"/>
      </right>
      <top style="thick">
        <color theme="1"/>
      </top>
      <bottom style="thick">
        <color indexed="64"/>
      </bottom>
      <diagonal/>
    </border>
    <border>
      <left style="thick">
        <color theme="1"/>
      </left>
      <right style="thick">
        <color theme="1"/>
      </right>
      <top style="thick">
        <color theme="1"/>
      </top>
      <bottom style="thick">
        <color theme="1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thick">
        <color theme="1"/>
      </right>
      <top/>
      <bottom/>
      <diagonal/>
    </border>
    <border>
      <left style="thick">
        <color theme="1"/>
      </left>
      <right/>
      <top/>
      <bottom/>
      <diagonal/>
    </border>
    <border>
      <left style="thick">
        <color indexed="64"/>
      </left>
      <right/>
      <top/>
      <bottom style="thick">
        <color indexed="64"/>
      </bottom>
      <diagonal/>
    </border>
    <border>
      <left style="thick">
        <color theme="0"/>
      </left>
      <right style="thick">
        <color theme="1"/>
      </right>
      <top style="thick">
        <color theme="1"/>
      </top>
      <bottom style="thick">
        <color theme="1"/>
      </bottom>
      <diagonal/>
    </border>
    <border>
      <left style="thick">
        <color theme="0"/>
      </left>
      <right style="thick">
        <color theme="0"/>
      </right>
      <top style="thick">
        <color theme="1"/>
      </top>
      <bottom style="thick">
        <color theme="1"/>
      </bottom>
      <diagonal/>
    </border>
    <border>
      <left style="thick">
        <color theme="0"/>
      </left>
      <right style="thick">
        <color theme="0"/>
      </right>
      <top/>
      <bottom style="thick">
        <color theme="1"/>
      </bottom>
      <diagonal/>
    </border>
    <border>
      <left style="thick">
        <color theme="0"/>
      </left>
      <right/>
      <top/>
      <bottom style="thick">
        <color theme="1"/>
      </bottom>
      <diagonal/>
    </border>
    <border>
      <left style="thick">
        <color theme="1"/>
      </left>
      <right style="thick">
        <color theme="1"/>
      </right>
      <top style="thick">
        <color theme="1"/>
      </top>
      <bottom/>
      <diagonal/>
    </border>
    <border>
      <left style="thick">
        <color indexed="64"/>
      </left>
      <right style="thick">
        <color theme="0"/>
      </right>
      <top style="thick">
        <color theme="0"/>
      </top>
      <bottom style="thick">
        <color theme="0"/>
      </bottom>
      <diagonal/>
    </border>
    <border>
      <left style="thick">
        <color theme="1"/>
      </left>
      <right style="thick">
        <color theme="1"/>
      </right>
      <top style="thick">
        <color theme="0"/>
      </top>
      <bottom style="thick">
        <color theme="1"/>
      </bottom>
      <diagonal/>
    </border>
    <border>
      <left style="thick">
        <color indexed="64"/>
      </left>
      <right style="thick">
        <color indexed="64"/>
      </right>
      <top style="thick">
        <color theme="0"/>
      </top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theme="0"/>
      </top>
      <bottom/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6" fillId="0" borderId="0" applyNumberFormat="0" applyFill="0" applyBorder="0" applyAlignment="0" applyProtection="0"/>
  </cellStyleXfs>
  <cellXfs count="71">
    <xf numFmtId="0" fontId="0" fillId="0" borderId="0" xfId="0"/>
    <xf numFmtId="0" fontId="8" fillId="2" borderId="17" xfId="0" applyFont="1" applyFill="1" applyBorder="1" applyAlignment="1" applyProtection="1">
      <alignment horizontal="center"/>
      <protection hidden="1"/>
    </xf>
    <xf numFmtId="0" fontId="7" fillId="2" borderId="18" xfId="0" applyFont="1" applyFill="1" applyBorder="1" applyAlignment="1" applyProtection="1">
      <alignment horizontal="center"/>
      <protection hidden="1"/>
    </xf>
    <xf numFmtId="0" fontId="9" fillId="2" borderId="19" xfId="0" applyFont="1" applyFill="1" applyBorder="1" applyProtection="1">
      <protection hidden="1"/>
    </xf>
    <xf numFmtId="0" fontId="7" fillId="2" borderId="8" xfId="0" applyFont="1" applyFill="1" applyBorder="1" applyAlignment="1" applyProtection="1">
      <alignment horizontal="center"/>
      <protection hidden="1"/>
    </xf>
    <xf numFmtId="0" fontId="7" fillId="2" borderId="24" xfId="0" applyFont="1" applyFill="1" applyBorder="1" applyAlignment="1" applyProtection="1">
      <alignment horizontal="center"/>
      <protection hidden="1"/>
    </xf>
    <xf numFmtId="0" fontId="9" fillId="2" borderId="25" xfId="0" applyFont="1" applyFill="1" applyBorder="1" applyProtection="1">
      <protection hidden="1"/>
    </xf>
    <xf numFmtId="0" fontId="9" fillId="2" borderId="27" xfId="0" applyFont="1" applyFill="1" applyBorder="1" applyProtection="1">
      <protection hidden="1"/>
    </xf>
    <xf numFmtId="0" fontId="9" fillId="2" borderId="28" xfId="0" applyFont="1" applyFill="1" applyBorder="1" applyProtection="1">
      <protection hidden="1"/>
    </xf>
    <xf numFmtId="0" fontId="2" fillId="0" borderId="0" xfId="0" applyFont="1" applyProtection="1">
      <protection hidden="1"/>
    </xf>
    <xf numFmtId="0" fontId="2" fillId="0" borderId="1" xfId="0" applyFont="1" applyBorder="1" applyProtection="1">
      <protection hidden="1"/>
    </xf>
    <xf numFmtId="0" fontId="2" fillId="5" borderId="1" xfId="0" applyFont="1" applyFill="1" applyBorder="1" applyAlignment="1" applyProtection="1">
      <alignment horizontal="center"/>
      <protection hidden="1"/>
    </xf>
    <xf numFmtId="0" fontId="2" fillId="6" borderId="1" xfId="0" applyFont="1" applyFill="1" applyBorder="1" applyAlignment="1" applyProtection="1">
      <alignment horizontal="center"/>
      <protection hidden="1"/>
    </xf>
    <xf numFmtId="0" fontId="5" fillId="8" borderId="4" xfId="0" applyFont="1" applyFill="1" applyBorder="1" applyProtection="1">
      <protection hidden="1"/>
    </xf>
    <xf numFmtId="0" fontId="2" fillId="0" borderId="1" xfId="0" applyFont="1" applyBorder="1" applyAlignment="1" applyProtection="1">
      <alignment horizontal="center"/>
      <protection hidden="1"/>
    </xf>
    <xf numFmtId="0" fontId="5" fillId="8" borderId="3" xfId="0" applyFont="1" applyFill="1" applyBorder="1" applyProtection="1">
      <protection hidden="1"/>
    </xf>
    <xf numFmtId="164" fontId="2" fillId="0" borderId="1" xfId="0" applyNumberFormat="1" applyFont="1" applyBorder="1" applyProtection="1">
      <protection hidden="1"/>
    </xf>
    <xf numFmtId="0" fontId="5" fillId="8" borderId="5" xfId="0" applyFont="1" applyFill="1" applyBorder="1" applyProtection="1">
      <protection hidden="1"/>
    </xf>
    <xf numFmtId="0" fontId="2" fillId="0" borderId="0" xfId="0" applyFont="1" applyAlignment="1" applyProtection="1">
      <alignment horizontal="center"/>
      <protection hidden="1"/>
    </xf>
    <xf numFmtId="10" fontId="2" fillId="0" borderId="1" xfId="0" applyNumberFormat="1" applyFont="1" applyBorder="1" applyAlignment="1" applyProtection="1">
      <alignment horizontal="center"/>
      <protection hidden="1"/>
    </xf>
    <xf numFmtId="8" fontId="2" fillId="0" borderId="1" xfId="0" applyNumberFormat="1" applyFont="1" applyBorder="1" applyProtection="1">
      <protection hidden="1"/>
    </xf>
    <xf numFmtId="10" fontId="2" fillId="0" borderId="1" xfId="1" applyNumberFormat="1" applyFont="1" applyBorder="1" applyAlignment="1" applyProtection="1">
      <alignment horizontal="center"/>
      <protection hidden="1"/>
    </xf>
    <xf numFmtId="8" fontId="2" fillId="0" borderId="0" xfId="0" applyNumberFormat="1" applyFont="1" applyProtection="1">
      <protection hidden="1"/>
    </xf>
    <xf numFmtId="0" fontId="5" fillId="8" borderId="6" xfId="0" applyFont="1" applyFill="1" applyBorder="1" applyProtection="1">
      <protection hidden="1"/>
    </xf>
    <xf numFmtId="9" fontId="2" fillId="0" borderId="1" xfId="0" applyNumberFormat="1" applyFont="1" applyBorder="1" applyAlignment="1" applyProtection="1">
      <alignment horizontal="center" vertical="center"/>
      <protection hidden="1"/>
    </xf>
    <xf numFmtId="0" fontId="5" fillId="8" borderId="7" xfId="0" applyFont="1" applyFill="1" applyBorder="1" applyProtection="1">
      <protection hidden="1"/>
    </xf>
    <xf numFmtId="164" fontId="2" fillId="0" borderId="1" xfId="0" applyNumberFormat="1" applyFont="1" applyBorder="1" applyAlignment="1" applyProtection="1">
      <alignment horizontal="center"/>
      <protection hidden="1"/>
    </xf>
    <xf numFmtId="0" fontId="2" fillId="0" borderId="0" xfId="0" applyFont="1" applyBorder="1" applyProtection="1">
      <protection hidden="1"/>
    </xf>
    <xf numFmtId="0" fontId="2" fillId="0" borderId="18" xfId="0" applyFont="1" applyBorder="1" applyProtection="1">
      <protection hidden="1"/>
    </xf>
    <xf numFmtId="0" fontId="10" fillId="0" borderId="22" xfId="2" applyFont="1" applyBorder="1" applyAlignment="1" applyProtection="1">
      <alignment horizontal="center"/>
      <protection hidden="1"/>
    </xf>
    <xf numFmtId="0" fontId="10" fillId="0" borderId="23" xfId="2" applyFont="1" applyBorder="1" applyAlignment="1" applyProtection="1">
      <alignment horizontal="center"/>
      <protection hidden="1"/>
    </xf>
    <xf numFmtId="0" fontId="10" fillId="0" borderId="21" xfId="2" applyFont="1" applyBorder="1" applyAlignment="1" applyProtection="1">
      <alignment horizontal="center"/>
      <protection hidden="1"/>
    </xf>
    <xf numFmtId="0" fontId="10" fillId="0" borderId="20" xfId="2" applyFont="1" applyBorder="1" applyAlignment="1" applyProtection="1">
      <alignment horizontal="center"/>
      <protection hidden="1"/>
    </xf>
    <xf numFmtId="0" fontId="5" fillId="2" borderId="24" xfId="0" applyFont="1" applyFill="1" applyBorder="1" applyProtection="1">
      <protection hidden="1"/>
    </xf>
    <xf numFmtId="0" fontId="2" fillId="0" borderId="8" xfId="0" applyFont="1" applyBorder="1" applyAlignment="1" applyProtection="1">
      <alignment horizontal="center"/>
      <protection hidden="1"/>
    </xf>
    <xf numFmtId="0" fontId="5" fillId="2" borderId="26" xfId="0" applyFont="1" applyFill="1" applyBorder="1" applyProtection="1">
      <protection hidden="1"/>
    </xf>
    <xf numFmtId="164" fontId="2" fillId="0" borderId="8" xfId="0" applyNumberFormat="1" applyFont="1" applyBorder="1" applyAlignment="1" applyProtection="1">
      <alignment horizontal="center"/>
      <protection hidden="1"/>
    </xf>
    <xf numFmtId="0" fontId="2" fillId="0" borderId="8" xfId="0" applyFont="1" applyBorder="1" applyAlignment="1" applyProtection="1">
      <alignment horizontal="left"/>
      <protection hidden="1"/>
    </xf>
    <xf numFmtId="10" fontId="2" fillId="7" borderId="1" xfId="0" applyNumberFormat="1" applyFont="1" applyFill="1" applyBorder="1" applyAlignment="1" applyProtection="1">
      <alignment horizontal="center"/>
      <protection locked="0"/>
    </xf>
    <xf numFmtId="164" fontId="2" fillId="7" borderId="1" xfId="0" applyNumberFormat="1" applyFont="1" applyFill="1" applyBorder="1" applyProtection="1">
      <protection locked="0"/>
    </xf>
    <xf numFmtId="10" fontId="2" fillId="7" borderId="1" xfId="1" applyNumberFormat="1" applyFont="1" applyFill="1" applyBorder="1" applyAlignment="1" applyProtection="1">
      <alignment horizontal="center"/>
      <protection locked="0"/>
    </xf>
    <xf numFmtId="0" fontId="2" fillId="0" borderId="13" xfId="0" applyFont="1" applyBorder="1" applyProtection="1">
      <protection hidden="1"/>
    </xf>
    <xf numFmtId="0" fontId="2" fillId="0" borderId="11" xfId="0" applyFont="1" applyBorder="1" applyAlignment="1" applyProtection="1">
      <alignment horizontal="center"/>
      <protection hidden="1"/>
    </xf>
    <xf numFmtId="0" fontId="2" fillId="0" borderId="16" xfId="0" applyFont="1" applyBorder="1" applyProtection="1">
      <protection hidden="1"/>
    </xf>
    <xf numFmtId="0" fontId="2" fillId="0" borderId="12" xfId="0" applyFont="1" applyBorder="1" applyProtection="1">
      <protection hidden="1"/>
    </xf>
    <xf numFmtId="0" fontId="2" fillId="0" borderId="12" xfId="0" applyFont="1" applyBorder="1" applyAlignment="1" applyProtection="1">
      <alignment horizontal="center"/>
      <protection hidden="1"/>
    </xf>
    <xf numFmtId="0" fontId="3" fillId="0" borderId="1" xfId="0" applyFont="1" applyBorder="1" applyAlignment="1" applyProtection="1">
      <alignment horizontal="center"/>
      <protection hidden="1"/>
    </xf>
    <xf numFmtId="0" fontId="5" fillId="2" borderId="0" xfId="0" applyFont="1" applyFill="1" applyAlignment="1" applyProtection="1">
      <alignment horizontal="center"/>
      <protection hidden="1"/>
    </xf>
    <xf numFmtId="0" fontId="4" fillId="0" borderId="1" xfId="0" applyFont="1" applyBorder="1" applyAlignment="1" applyProtection="1">
      <alignment horizontal="center"/>
      <protection hidden="1"/>
    </xf>
    <xf numFmtId="0" fontId="5" fillId="8" borderId="1" xfId="0" applyFont="1" applyFill="1" applyBorder="1" applyProtection="1">
      <protection hidden="1"/>
    </xf>
    <xf numFmtId="10" fontId="2" fillId="0" borderId="0" xfId="0" applyNumberFormat="1" applyFont="1" applyProtection="1">
      <protection hidden="1"/>
    </xf>
    <xf numFmtId="2" fontId="2" fillId="0" borderId="1" xfId="0" applyNumberFormat="1" applyFont="1" applyBorder="1" applyProtection="1">
      <protection hidden="1"/>
    </xf>
    <xf numFmtId="0" fontId="5" fillId="2" borderId="1" xfId="0" applyFont="1" applyFill="1" applyBorder="1" applyAlignment="1" applyProtection="1">
      <alignment horizontal="center"/>
      <protection hidden="1"/>
    </xf>
    <xf numFmtId="9" fontId="2" fillId="3" borderId="1" xfId="0" applyNumberFormat="1" applyFont="1" applyFill="1" applyBorder="1" applyAlignment="1" applyProtection="1">
      <alignment horizontal="center"/>
      <protection hidden="1"/>
    </xf>
    <xf numFmtId="164" fontId="2" fillId="3" borderId="1" xfId="0" applyNumberFormat="1" applyFont="1" applyFill="1" applyBorder="1" applyProtection="1">
      <protection hidden="1"/>
    </xf>
    <xf numFmtId="0" fontId="2" fillId="0" borderId="2" xfId="0" applyFont="1" applyBorder="1" applyProtection="1">
      <protection hidden="1"/>
    </xf>
    <xf numFmtId="164" fontId="2" fillId="0" borderId="2" xfId="0" applyNumberFormat="1" applyFont="1" applyBorder="1" applyProtection="1">
      <protection hidden="1"/>
    </xf>
    <xf numFmtId="164" fontId="2" fillId="0" borderId="0" xfId="0" applyNumberFormat="1" applyFont="1" applyAlignment="1" applyProtection="1">
      <alignment horizontal="center"/>
      <protection hidden="1"/>
    </xf>
    <xf numFmtId="0" fontId="10" fillId="0" borderId="1" xfId="2" applyFont="1" applyBorder="1" applyProtection="1">
      <protection hidden="1"/>
    </xf>
    <xf numFmtId="0" fontId="2" fillId="0" borderId="9" xfId="0" applyFont="1" applyBorder="1" applyAlignment="1" applyProtection="1">
      <alignment horizontal="left"/>
      <protection hidden="1"/>
    </xf>
    <xf numFmtId="0" fontId="2" fillId="0" borderId="11" xfId="0" applyFont="1" applyBorder="1" applyAlignment="1" applyProtection="1">
      <alignment horizontal="left"/>
      <protection hidden="1"/>
    </xf>
    <xf numFmtId="0" fontId="2" fillId="0" borderId="10" xfId="0" applyFont="1" applyBorder="1" applyAlignment="1" applyProtection="1">
      <alignment horizontal="left"/>
      <protection hidden="1"/>
    </xf>
    <xf numFmtId="0" fontId="2" fillId="3" borderId="0" xfId="0" applyFont="1" applyFill="1" applyProtection="1">
      <protection hidden="1"/>
    </xf>
    <xf numFmtId="0" fontId="3" fillId="3" borderId="0" xfId="0" applyFont="1" applyFill="1" applyAlignment="1" applyProtection="1">
      <alignment horizontal="center"/>
      <protection hidden="1"/>
    </xf>
    <xf numFmtId="0" fontId="4" fillId="3" borderId="0" xfId="0" applyFont="1" applyFill="1" applyAlignment="1" applyProtection="1">
      <alignment horizontal="center"/>
      <protection hidden="1"/>
    </xf>
    <xf numFmtId="0" fontId="2" fillId="0" borderId="14" xfId="0" applyFont="1" applyBorder="1" applyProtection="1">
      <protection hidden="1"/>
    </xf>
    <xf numFmtId="0" fontId="2" fillId="0" borderId="15" xfId="0" applyFont="1" applyBorder="1" applyProtection="1">
      <protection hidden="1"/>
    </xf>
    <xf numFmtId="164" fontId="2" fillId="4" borderId="1" xfId="0" applyNumberFormat="1" applyFont="1" applyFill="1" applyBorder="1" applyProtection="1">
      <protection locked="0"/>
    </xf>
    <xf numFmtId="165" fontId="2" fillId="4" borderId="1" xfId="0" applyNumberFormat="1" applyFont="1" applyFill="1" applyBorder="1" applyProtection="1">
      <protection locked="0"/>
    </xf>
    <xf numFmtId="0" fontId="2" fillId="4" borderId="1" xfId="0" applyFont="1" applyFill="1" applyBorder="1" applyProtection="1">
      <protection locked="0"/>
    </xf>
    <xf numFmtId="10" fontId="2" fillId="4" borderId="1" xfId="0" applyNumberFormat="1" applyFont="1" applyFill="1" applyBorder="1" applyProtection="1">
      <protection locked="0"/>
    </xf>
  </cellXfs>
  <cellStyles count="3">
    <cellStyle name="Hyperlink" xfId="2" builtinId="8"/>
    <cellStyle name="Normal" xfId="0" builtinId="0"/>
    <cellStyle name="Per cent" xfId="1" builtinId="5"/>
  </cellStyles>
  <dxfs count="2"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00B050"/>
        </patternFill>
      </fill>
    </dxf>
  </dxfs>
  <tableStyles count="0" defaultTableStyle="TableStyleMedium2" defaultPivotStyle="PivotStyleLight16"/>
  <colors>
    <mruColors>
      <color rgb="FFFFE93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381000</xdr:colOff>
      <xdr:row>13</xdr:row>
      <xdr:rowOff>228600</xdr:rowOff>
    </xdr:from>
    <xdr:to>
      <xdr:col>9</xdr:col>
      <xdr:colOff>3552936</xdr:colOff>
      <xdr:row>19</xdr:row>
      <xdr:rowOff>43974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897B3EB-EBB1-1B4D-8171-DE06A2D1F3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4511000" y="8077200"/>
          <a:ext cx="7210536" cy="3472974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3860800</xdr:colOff>
      <xdr:row>22</xdr:row>
      <xdr:rowOff>152400</xdr:rowOff>
    </xdr:from>
    <xdr:to>
      <xdr:col>11</xdr:col>
      <xdr:colOff>496131</xdr:colOff>
      <xdr:row>26</xdr:row>
      <xdr:rowOff>482600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B661785-6B81-9C4E-9CC5-3177B6C99AD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6535400" y="13258800"/>
          <a:ext cx="5906331" cy="28448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hyperlink" Target="https://tinyurl.com/37za5jbz" TargetMode="External"/><Relationship Id="rId1" Type="http://schemas.openxmlformats.org/officeDocument/2006/relationships/hyperlink" Target="https://tinyurl.com/4xtsdbbd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hyperlink" Target="https://tinyurl.com/37za5jbz" TargetMode="External"/><Relationship Id="rId1" Type="http://schemas.openxmlformats.org/officeDocument/2006/relationships/hyperlink" Target="https://tinyurl.com/4xtsdbb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085E83-2645-5E49-BAFE-CECB06F4BCFB}">
  <dimension ref="F2:S26"/>
  <sheetViews>
    <sheetView showGridLines="0" topLeftCell="C1" zoomScale="50" workbookViewId="0">
      <selection activeCell="J65" sqref="J65"/>
    </sheetView>
  </sheetViews>
  <sheetFormatPr baseColWidth="10" defaultRowHeight="45"/>
  <cols>
    <col min="1" max="5" width="10.83203125" style="9"/>
    <col min="6" max="6" width="152.1640625" style="9" customWidth="1"/>
    <col min="7" max="7" width="54.1640625" style="9" customWidth="1"/>
    <col min="8" max="8" width="54.83203125" style="9" customWidth="1"/>
    <col min="9" max="9" width="52.83203125" style="9" customWidth="1"/>
    <col min="10" max="10" width="58" style="9" customWidth="1"/>
    <col min="11" max="11" width="10.83203125" style="9"/>
    <col min="12" max="13" width="55.1640625" style="9" customWidth="1"/>
    <col min="14" max="14" width="56.5" style="9" customWidth="1"/>
    <col min="15" max="15" width="58.83203125" style="9" customWidth="1"/>
    <col min="16" max="16384" width="10.83203125" style="9"/>
  </cols>
  <sheetData>
    <row r="2" spans="6:19" ht="46" thickBot="1"/>
    <row r="3" spans="6:19" ht="47" thickTop="1" thickBot="1">
      <c r="F3" s="10"/>
      <c r="G3" s="11" t="s">
        <v>32</v>
      </c>
      <c r="H3" s="11"/>
      <c r="I3" s="11"/>
      <c r="J3" s="11"/>
      <c r="L3" s="12" t="s">
        <v>33</v>
      </c>
      <c r="M3" s="12"/>
      <c r="N3" s="12"/>
      <c r="O3" s="12"/>
    </row>
    <row r="4" spans="6:19" ht="47" thickTop="1" thickBot="1">
      <c r="F4" s="13" t="s">
        <v>27</v>
      </c>
      <c r="G4" s="14">
        <v>2</v>
      </c>
      <c r="H4" s="14">
        <v>5</v>
      </c>
      <c r="I4" s="14">
        <v>10</v>
      </c>
      <c r="J4" s="14">
        <v>20</v>
      </c>
      <c r="L4" s="14">
        <v>2</v>
      </c>
      <c r="M4" s="14">
        <v>5</v>
      </c>
      <c r="N4" s="14">
        <v>10</v>
      </c>
      <c r="O4" s="14">
        <v>20</v>
      </c>
    </row>
    <row r="5" spans="6:19" ht="47" thickTop="1" thickBot="1">
      <c r="F5" s="15" t="s">
        <v>60</v>
      </c>
      <c r="G5" s="39">
        <v>3000000</v>
      </c>
      <c r="H5" s="16">
        <f>G5</f>
        <v>3000000</v>
      </c>
      <c r="I5" s="16">
        <f>G5</f>
        <v>3000000</v>
      </c>
      <c r="J5" s="16">
        <f>G5</f>
        <v>3000000</v>
      </c>
      <c r="L5" s="16">
        <f>G5</f>
        <v>3000000</v>
      </c>
      <c r="M5" s="16">
        <f>G5</f>
        <v>3000000</v>
      </c>
      <c r="N5" s="16">
        <f>G5</f>
        <v>3000000</v>
      </c>
      <c r="O5" s="16">
        <f>G5</f>
        <v>3000000</v>
      </c>
    </row>
    <row r="6" spans="6:19" ht="47" thickTop="1" thickBot="1">
      <c r="F6" s="17" t="s">
        <v>34</v>
      </c>
      <c r="G6" s="38">
        <v>0.06</v>
      </c>
      <c r="H6" s="38">
        <v>0.05</v>
      </c>
      <c r="I6" s="38">
        <v>0.04</v>
      </c>
      <c r="J6" s="38">
        <v>0.04</v>
      </c>
      <c r="K6" s="18"/>
      <c r="L6" s="19">
        <f>G6</f>
        <v>0.06</v>
      </c>
      <c r="M6" s="19">
        <f>H6</f>
        <v>0.05</v>
      </c>
      <c r="N6" s="19">
        <f>I6</f>
        <v>0.04</v>
      </c>
      <c r="O6" s="19">
        <f>J6</f>
        <v>0.04</v>
      </c>
    </row>
    <row r="7" spans="6:19" ht="47" thickTop="1" thickBot="1">
      <c r="F7" s="17" t="s">
        <v>62</v>
      </c>
      <c r="G7" s="20">
        <f>FV(G6,G4,0,-G5)</f>
        <v>3370800.0000000005</v>
      </c>
      <c r="H7" s="20">
        <f t="shared" ref="H7:I7" si="0">FV(H6,H4,0,-H5)</f>
        <v>3828844.6875000005</v>
      </c>
      <c r="I7" s="20">
        <f t="shared" si="0"/>
        <v>4440732.8547550337</v>
      </c>
      <c r="J7" s="20">
        <f>FV(J6,J4,0,-J5)</f>
        <v>6573369.4291002639</v>
      </c>
      <c r="L7" s="16">
        <f>L5</f>
        <v>3000000</v>
      </c>
      <c r="M7" s="16">
        <f t="shared" ref="M7:O7" si="1">M5</f>
        <v>3000000</v>
      </c>
      <c r="N7" s="16">
        <f t="shared" si="1"/>
        <v>3000000</v>
      </c>
      <c r="O7" s="16">
        <f t="shared" si="1"/>
        <v>3000000</v>
      </c>
    </row>
    <row r="8" spans="6:19" ht="47" thickTop="1" thickBot="1">
      <c r="F8" s="17" t="s">
        <v>61</v>
      </c>
      <c r="G8" s="40">
        <v>7.0000000000000007E-2</v>
      </c>
      <c r="H8" s="21">
        <f>G8</f>
        <v>7.0000000000000007E-2</v>
      </c>
      <c r="I8" s="21">
        <f>G8</f>
        <v>7.0000000000000007E-2</v>
      </c>
      <c r="J8" s="21">
        <f>G8</f>
        <v>7.0000000000000007E-2</v>
      </c>
      <c r="K8" s="22"/>
      <c r="L8" s="21">
        <f>G8</f>
        <v>7.0000000000000007E-2</v>
      </c>
      <c r="M8" s="21">
        <f>G8</f>
        <v>7.0000000000000007E-2</v>
      </c>
      <c r="N8" s="21">
        <f>G8</f>
        <v>7.0000000000000007E-2</v>
      </c>
      <c r="O8" s="21">
        <f>G8</f>
        <v>7.0000000000000007E-2</v>
      </c>
      <c r="P8" s="22"/>
      <c r="Q8" s="22"/>
      <c r="R8" s="22"/>
      <c r="S8" s="22"/>
    </row>
    <row r="9" spans="6:19" ht="47" thickTop="1" thickBot="1">
      <c r="F9" s="17" t="s">
        <v>48</v>
      </c>
      <c r="G9" s="20">
        <f>FV(G8,G4,0,-G5)</f>
        <v>3434700</v>
      </c>
      <c r="H9" s="20">
        <f t="shared" ref="H9:J9" si="2">FV(H8,H4,0,-H5)</f>
        <v>4207655.1921000006</v>
      </c>
      <c r="I9" s="20">
        <f t="shared" si="2"/>
        <v>5901454.0718686972</v>
      </c>
      <c r="J9" s="20">
        <f t="shared" si="2"/>
        <v>11609053.387458539</v>
      </c>
      <c r="L9" s="20">
        <f>FV(L8,L4,0,-L5)</f>
        <v>3434700</v>
      </c>
      <c r="M9" s="20">
        <f t="shared" ref="M9:O9" si="3">FV(M8,M4,0,-M5)</f>
        <v>4207655.1921000006</v>
      </c>
      <c r="N9" s="20">
        <f t="shared" si="3"/>
        <v>5901454.0718686972</v>
      </c>
      <c r="O9" s="20">
        <f t="shared" si="3"/>
        <v>11609053.387458539</v>
      </c>
    </row>
    <row r="10" spans="6:19" ht="47" thickTop="1" thickBot="1">
      <c r="F10" s="23" t="s">
        <v>51</v>
      </c>
      <c r="G10" s="20">
        <f>G9-G7</f>
        <v>63899.999999999534</v>
      </c>
      <c r="H10" s="20">
        <f t="shared" ref="H10:J10" si="4">H9-H7</f>
        <v>378810.5046000001</v>
      </c>
      <c r="I10" s="20">
        <f t="shared" si="4"/>
        <v>1460721.2171136634</v>
      </c>
      <c r="J10" s="20">
        <f t="shared" si="4"/>
        <v>5035683.9583582748</v>
      </c>
      <c r="L10" s="20">
        <f>L9-L7</f>
        <v>434700</v>
      </c>
      <c r="M10" s="20">
        <f>M9-M7</f>
        <v>1207655.1921000006</v>
      </c>
      <c r="N10" s="20">
        <f>N9-N7</f>
        <v>2901454.0718686972</v>
      </c>
      <c r="O10" s="20">
        <f>O9-O7</f>
        <v>8609053.3874585386</v>
      </c>
    </row>
    <row r="11" spans="6:19" ht="47" thickTop="1" thickBot="1">
      <c r="F11" s="15" t="s">
        <v>35</v>
      </c>
      <c r="G11" s="24">
        <v>0.2</v>
      </c>
      <c r="H11" s="24">
        <v>0.2</v>
      </c>
      <c r="I11" s="24">
        <v>0.2</v>
      </c>
      <c r="J11" s="24">
        <v>0.2</v>
      </c>
      <c r="L11" s="19">
        <v>0.125</v>
      </c>
      <c r="M11" s="19">
        <v>0.125</v>
      </c>
      <c r="N11" s="19">
        <v>0.125</v>
      </c>
      <c r="O11" s="19">
        <v>0.125</v>
      </c>
    </row>
    <row r="12" spans="6:19" ht="47" thickTop="1" thickBot="1">
      <c r="F12" s="25" t="s">
        <v>59</v>
      </c>
      <c r="G12" s="26">
        <f>IF(G10&gt;0,G10*G11,0)</f>
        <v>12779.999999999907</v>
      </c>
      <c r="H12" s="26">
        <f>IF(H10&gt;0,H10*H11,0)</f>
        <v>75762.100920000026</v>
      </c>
      <c r="I12" s="26">
        <f>IF(I10&gt;0,I10*I11,0)</f>
        <v>292144.24342273269</v>
      </c>
      <c r="J12" s="26">
        <f>IF(J10&gt;0,J10*J11,0)</f>
        <v>1007136.791671655</v>
      </c>
      <c r="L12" s="26">
        <f>IF(L10&gt;0,L10*L11, "NIL")</f>
        <v>54337.5</v>
      </c>
      <c r="M12" s="26">
        <f>IF(M10&gt;0,M10*M11, "NIL")</f>
        <v>150956.89901250007</v>
      </c>
      <c r="N12" s="26">
        <f>IF(N10&gt;0,N10*N11, "NIL")</f>
        <v>362681.75898358715</v>
      </c>
      <c r="O12" s="26">
        <f>IF(O10&gt;0,O10*O11, "NIL")</f>
        <v>1076131.6734323173</v>
      </c>
    </row>
    <row r="13" spans="6:19" ht="46" thickTop="1"/>
    <row r="14" spans="6:19" ht="46" thickBot="1">
      <c r="H14" s="27"/>
    </row>
    <row r="15" spans="6:19" ht="49" thickTop="1" thickBot="1">
      <c r="F15" s="5" t="s">
        <v>63</v>
      </c>
      <c r="G15" s="4"/>
      <c r="H15" s="4"/>
      <c r="I15" s="28"/>
    </row>
    <row r="16" spans="6:19" ht="49" thickTop="1" thickBot="1">
      <c r="F16" s="6" t="s">
        <v>64</v>
      </c>
      <c r="G16" s="29" t="s">
        <v>65</v>
      </c>
      <c r="H16" s="30"/>
      <c r="I16" s="28"/>
    </row>
    <row r="17" spans="6:10" ht="49" thickTop="1" thickBot="1">
      <c r="F17" s="3" t="s">
        <v>66</v>
      </c>
      <c r="G17" s="31" t="s">
        <v>67</v>
      </c>
      <c r="H17" s="32"/>
      <c r="I17" s="28"/>
    </row>
    <row r="18" spans="6:10" ht="46" thickTop="1"/>
    <row r="19" spans="6:10" ht="46" thickBot="1"/>
    <row r="20" spans="6:10" ht="47" thickTop="1" thickBot="1">
      <c r="F20" s="33" t="s">
        <v>36</v>
      </c>
      <c r="G20" s="34">
        <v>2</v>
      </c>
      <c r="H20" s="34">
        <v>5</v>
      </c>
      <c r="I20" s="34">
        <v>10</v>
      </c>
      <c r="J20" s="34">
        <v>20</v>
      </c>
    </row>
    <row r="21" spans="6:10" ht="47" thickTop="1" thickBot="1">
      <c r="F21" s="35" t="s">
        <v>39</v>
      </c>
      <c r="G21" s="36">
        <f>L12-G12</f>
        <v>41557.500000000095</v>
      </c>
      <c r="H21" s="36">
        <f t="shared" ref="H21:J21" si="5">M12-H12</f>
        <v>75194.798092500045</v>
      </c>
      <c r="I21" s="36">
        <f t="shared" si="5"/>
        <v>70537.515560854459</v>
      </c>
      <c r="J21" s="36">
        <f t="shared" si="5"/>
        <v>68994.881760662305</v>
      </c>
    </row>
    <row r="22" spans="6:10" ht="46" thickTop="1"/>
    <row r="23" spans="6:10" ht="46" thickBot="1"/>
    <row r="24" spans="6:10" ht="47" thickTop="1" thickBot="1">
      <c r="F24" s="37" t="s">
        <v>38</v>
      </c>
      <c r="G24" s="37"/>
      <c r="H24" s="37"/>
      <c r="I24" s="37"/>
      <c r="J24" s="37"/>
    </row>
    <row r="25" spans="6:10" ht="47" thickTop="1" thickBot="1">
      <c r="F25" s="37" t="s">
        <v>37</v>
      </c>
      <c r="G25" s="37"/>
      <c r="H25" s="37"/>
      <c r="I25" s="37"/>
      <c r="J25" s="37"/>
    </row>
    <row r="26" spans="6:10" ht="46" thickTop="1"/>
  </sheetData>
  <sheetProtection algorithmName="SHA-512" hashValue="UIvV/jjLl/0K/HNeeeeSkMCvIK3YGTKA1NYyHTX7EpDid0rRuRonhk70+TbiTj0Ptw5Me3PLFe09CtUGaNR8Bw==" saltValue="u6TmsRONE754J9OUwZ8tiQ==" spinCount="100000" sheet="1" objects="1" scenarios="1"/>
  <mergeCells count="7">
    <mergeCell ref="G3:J3"/>
    <mergeCell ref="L3:O3"/>
    <mergeCell ref="F24:J24"/>
    <mergeCell ref="F25:J25"/>
    <mergeCell ref="G16:H16"/>
    <mergeCell ref="G17:H17"/>
    <mergeCell ref="F15:H15"/>
  </mergeCells>
  <conditionalFormatting sqref="G21:J21">
    <cfRule type="cellIs" dxfId="1" priority="1" operator="lessThan">
      <formula>0</formula>
    </cfRule>
    <cfRule type="cellIs" dxfId="0" priority="2" operator="greaterThan">
      <formula>0</formula>
    </cfRule>
  </conditionalFormatting>
  <hyperlinks>
    <hyperlink ref="G16" r:id="rId1" xr:uid="{01B8E6E7-C332-BD45-84F3-CFDEE7B73DD0}"/>
    <hyperlink ref="G17" r:id="rId2" xr:uid="{E4189047-1DCC-0246-A45F-AE3F26550942}"/>
  </hyperlinks>
  <pageMargins left="0.7" right="0.7" top="0.75" bottom="0.75" header="0.3" footer="0.3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00B018-98E5-A249-8357-81644BCA4B36}">
  <dimension ref="D1:AC53"/>
  <sheetViews>
    <sheetView showGridLines="0" tabSelected="1" topLeftCell="C1" zoomScale="50" workbookViewId="0">
      <selection activeCell="L60" sqref="L60"/>
    </sheetView>
  </sheetViews>
  <sheetFormatPr baseColWidth="10" defaultRowHeight="45"/>
  <cols>
    <col min="1" max="3" width="10.83203125" style="9"/>
    <col min="4" max="4" width="3.5" style="9" customWidth="1"/>
    <col min="5" max="5" width="10.83203125" style="9"/>
    <col min="6" max="6" width="118.5" style="9" customWidth="1"/>
    <col min="7" max="7" width="77.6640625" style="9" customWidth="1"/>
    <col min="8" max="11" width="10.83203125" style="9"/>
    <col min="12" max="12" width="117.6640625" style="9" customWidth="1"/>
    <col min="13" max="13" width="83.6640625" style="9" customWidth="1"/>
    <col min="14" max="14" width="10.83203125" style="9"/>
    <col min="15" max="15" width="3.83203125" style="9" customWidth="1"/>
    <col min="16" max="16" width="10.83203125" style="9"/>
    <col min="17" max="17" width="60.6640625" style="9" bestFit="1" customWidth="1"/>
    <col min="18" max="18" width="73.83203125" style="9" bestFit="1" customWidth="1"/>
    <col min="19" max="19" width="19.83203125" style="9" bestFit="1" customWidth="1"/>
    <col min="20" max="20" width="61.83203125" style="9" bestFit="1" customWidth="1"/>
    <col min="21" max="21" width="75.5" style="9" bestFit="1" customWidth="1"/>
    <col min="22" max="34" width="10.83203125" style="9"/>
    <col min="35" max="35" width="60.6640625" style="9" bestFit="1" customWidth="1"/>
    <col min="36" max="36" width="73.83203125" style="9" bestFit="1" customWidth="1"/>
    <col min="37" max="16384" width="10.83203125" style="9"/>
  </cols>
  <sheetData>
    <row r="1" spans="4:21" ht="46" thickBot="1"/>
    <row r="2" spans="4:21" ht="26" customHeight="1" thickBot="1">
      <c r="D2" s="41"/>
      <c r="E2" s="42"/>
      <c r="F2" s="42"/>
      <c r="G2" s="42"/>
      <c r="H2" s="42"/>
      <c r="I2" s="42"/>
      <c r="J2" s="42"/>
      <c r="K2" s="42"/>
      <c r="L2" s="42"/>
      <c r="M2" s="42"/>
      <c r="N2" s="42"/>
      <c r="O2" s="43"/>
    </row>
    <row r="3" spans="4:21" ht="47" thickTop="1" thickBot="1">
      <c r="D3" s="44"/>
      <c r="O3" s="45"/>
      <c r="T3" s="46" t="s">
        <v>0</v>
      </c>
      <c r="U3" s="46" t="s">
        <v>1</v>
      </c>
    </row>
    <row r="4" spans="4:21" ht="47" thickTop="1" thickBot="1">
      <c r="D4" s="44"/>
      <c r="F4" s="47" t="s">
        <v>40</v>
      </c>
      <c r="G4" s="47"/>
      <c r="L4" s="47" t="s">
        <v>41</v>
      </c>
      <c r="M4" s="47"/>
      <c r="O4" s="45"/>
      <c r="T4" s="48" t="s">
        <v>2</v>
      </c>
      <c r="U4" s="48">
        <v>100</v>
      </c>
    </row>
    <row r="5" spans="4:21" ht="47" thickTop="1" thickBot="1">
      <c r="D5" s="44"/>
      <c r="O5" s="45"/>
      <c r="T5" s="48" t="s">
        <v>3</v>
      </c>
      <c r="U5" s="48">
        <v>105</v>
      </c>
    </row>
    <row r="6" spans="4:21" ht="47" thickTop="1" thickBot="1">
      <c r="D6" s="44"/>
      <c r="F6" s="49" t="s">
        <v>47</v>
      </c>
      <c r="G6" s="67">
        <v>3000000</v>
      </c>
      <c r="L6" s="49" t="s">
        <v>58</v>
      </c>
      <c r="M6" s="67">
        <f>G6</f>
        <v>3000000</v>
      </c>
      <c r="O6" s="45"/>
      <c r="T6" s="48" t="s">
        <v>4</v>
      </c>
      <c r="U6" s="48">
        <v>109</v>
      </c>
    </row>
    <row r="7" spans="4:21" ht="47" thickTop="1" thickBot="1">
      <c r="D7" s="44"/>
      <c r="F7" s="49" t="s">
        <v>48</v>
      </c>
      <c r="G7" s="67">
        <v>6000000</v>
      </c>
      <c r="L7" s="49" t="s">
        <v>48</v>
      </c>
      <c r="M7" s="67">
        <f>G7</f>
        <v>6000000</v>
      </c>
      <c r="O7" s="45"/>
      <c r="T7" s="48" t="s">
        <v>5</v>
      </c>
      <c r="U7" s="48">
        <v>113</v>
      </c>
    </row>
    <row r="8" spans="4:21" ht="47" thickTop="1" thickBot="1">
      <c r="D8" s="44"/>
      <c r="F8" s="49" t="s">
        <v>49</v>
      </c>
      <c r="G8" s="68">
        <v>42461</v>
      </c>
      <c r="L8" s="49" t="s">
        <v>49</v>
      </c>
      <c r="M8" s="68">
        <f>G8</f>
        <v>42461</v>
      </c>
      <c r="O8" s="45"/>
      <c r="S8" s="50"/>
      <c r="T8" s="48" t="s">
        <v>6</v>
      </c>
      <c r="U8" s="48">
        <v>117</v>
      </c>
    </row>
    <row r="9" spans="4:21" ht="47" thickTop="1" thickBot="1">
      <c r="D9" s="44"/>
      <c r="F9" s="49" t="s">
        <v>50</v>
      </c>
      <c r="G9" s="68">
        <v>45495</v>
      </c>
      <c r="L9" s="49" t="s">
        <v>50</v>
      </c>
      <c r="M9" s="68">
        <f>G9</f>
        <v>45495</v>
      </c>
      <c r="O9" s="45"/>
      <c r="T9" s="48" t="s">
        <v>7</v>
      </c>
      <c r="U9" s="48">
        <v>122</v>
      </c>
    </row>
    <row r="10" spans="4:21" ht="47" thickTop="1" thickBot="1">
      <c r="D10" s="44"/>
      <c r="F10" s="49" t="s">
        <v>27</v>
      </c>
      <c r="G10" s="51">
        <f>YEARFRAC(G8,G9)</f>
        <v>8.3083333333333336</v>
      </c>
      <c r="L10" s="49" t="s">
        <v>27</v>
      </c>
      <c r="M10" s="51">
        <f>YEARFRAC(M8,M9)</f>
        <v>8.3083333333333336</v>
      </c>
      <c r="O10" s="45"/>
      <c r="T10" s="48" t="s">
        <v>8</v>
      </c>
      <c r="U10" s="48">
        <v>129</v>
      </c>
    </row>
    <row r="11" spans="4:21" ht="47" thickTop="1" thickBot="1">
      <c r="D11" s="44"/>
      <c r="O11" s="45"/>
      <c r="T11" s="48" t="s">
        <v>9</v>
      </c>
      <c r="U11" s="48">
        <v>137</v>
      </c>
    </row>
    <row r="12" spans="4:21" ht="47" thickTop="1" thickBot="1">
      <c r="D12" s="44"/>
      <c r="F12" s="52" t="s">
        <v>28</v>
      </c>
      <c r="G12" s="52"/>
      <c r="L12" s="52" t="s">
        <v>28</v>
      </c>
      <c r="M12" s="52"/>
      <c r="O12" s="45"/>
      <c r="T12" s="48" t="s">
        <v>10</v>
      </c>
      <c r="U12" s="48">
        <v>148</v>
      </c>
    </row>
    <row r="13" spans="4:21" ht="47" thickTop="1" thickBot="1">
      <c r="D13" s="44"/>
      <c r="F13" s="49" t="s">
        <v>51</v>
      </c>
      <c r="G13" s="16">
        <f>G7-G6</f>
        <v>3000000</v>
      </c>
      <c r="L13" s="49" t="s">
        <v>51</v>
      </c>
      <c r="M13" s="16">
        <f>M7-M6</f>
        <v>3000000</v>
      </c>
      <c r="O13" s="45"/>
      <c r="T13" s="48" t="s">
        <v>11</v>
      </c>
      <c r="U13" s="48">
        <v>167</v>
      </c>
    </row>
    <row r="14" spans="4:21" ht="47" thickTop="1" thickBot="1">
      <c r="D14" s="44"/>
      <c r="F14" s="49" t="s">
        <v>30</v>
      </c>
      <c r="G14" s="53" t="s">
        <v>42</v>
      </c>
      <c r="L14" s="49" t="s">
        <v>30</v>
      </c>
      <c r="M14" s="53" t="s">
        <v>42</v>
      </c>
      <c r="O14" s="45"/>
      <c r="T14" s="48" t="s">
        <v>12</v>
      </c>
      <c r="U14" s="48">
        <v>184</v>
      </c>
    </row>
    <row r="15" spans="4:21" ht="47" thickTop="1" thickBot="1">
      <c r="D15" s="44"/>
      <c r="F15" s="49" t="s">
        <v>52</v>
      </c>
      <c r="G15" s="26" t="str">
        <f>IF(G10&lt;2," AS PER TAX SLABS", "NA")</f>
        <v>NA</v>
      </c>
      <c r="L15" s="49" t="s">
        <v>52</v>
      </c>
      <c r="M15" s="14" t="str">
        <f>IF(M10&lt;2,"AS PER TAX SLABS", "NA")</f>
        <v>NA</v>
      </c>
      <c r="O15" s="45"/>
      <c r="T15" s="48" t="s">
        <v>13</v>
      </c>
      <c r="U15" s="48">
        <v>200</v>
      </c>
    </row>
    <row r="16" spans="4:21" ht="47" thickTop="1" thickBot="1">
      <c r="D16" s="44"/>
      <c r="O16" s="45"/>
      <c r="T16" s="48" t="s">
        <v>14</v>
      </c>
      <c r="U16" s="48">
        <v>220</v>
      </c>
    </row>
    <row r="17" spans="4:29" ht="47" thickTop="1" thickBot="1">
      <c r="D17" s="44"/>
      <c r="F17" s="52" t="s">
        <v>29</v>
      </c>
      <c r="G17" s="52"/>
      <c r="L17" s="52" t="s">
        <v>29</v>
      </c>
      <c r="M17" s="52"/>
      <c r="O17" s="45"/>
      <c r="T17" s="48" t="s">
        <v>15</v>
      </c>
      <c r="U17" s="48">
        <v>240</v>
      </c>
    </row>
    <row r="18" spans="4:29" ht="47" thickTop="1" thickBot="1">
      <c r="D18" s="44"/>
      <c r="F18" s="49" t="s">
        <v>53</v>
      </c>
      <c r="G18" s="69">
        <v>264</v>
      </c>
      <c r="L18" s="49" t="s">
        <v>51</v>
      </c>
      <c r="M18" s="54">
        <f>M7-M6</f>
        <v>3000000</v>
      </c>
      <c r="O18" s="45"/>
      <c r="T18" s="48" t="s">
        <v>16</v>
      </c>
      <c r="U18" s="48">
        <v>254</v>
      </c>
    </row>
    <row r="19" spans="4:29" ht="47" thickTop="1" thickBot="1">
      <c r="D19" s="44"/>
      <c r="F19" s="49" t="s">
        <v>54</v>
      </c>
      <c r="G19" s="69">
        <v>363</v>
      </c>
      <c r="L19" s="49" t="s">
        <v>31</v>
      </c>
      <c r="M19" s="70">
        <v>0.125</v>
      </c>
      <c r="O19" s="45"/>
      <c r="T19" s="48" t="s">
        <v>17</v>
      </c>
      <c r="U19" s="48">
        <v>264</v>
      </c>
    </row>
    <row r="20" spans="4:29" ht="47" thickTop="1" thickBot="1">
      <c r="D20" s="44"/>
      <c r="F20" s="49" t="s">
        <v>55</v>
      </c>
      <c r="G20" s="16">
        <f>G6*(G19/G18)</f>
        <v>4125000</v>
      </c>
      <c r="L20" s="49" t="s">
        <v>57</v>
      </c>
      <c r="M20" s="26">
        <f>IF(M10&gt;=2,M18*M19, "NA")</f>
        <v>375000</v>
      </c>
      <c r="O20" s="45"/>
      <c r="T20" s="48" t="s">
        <v>18</v>
      </c>
      <c r="U20" s="48">
        <v>272</v>
      </c>
    </row>
    <row r="21" spans="4:29" ht="47" thickTop="1" thickBot="1">
      <c r="D21" s="44"/>
      <c r="F21" s="49" t="s">
        <v>56</v>
      </c>
      <c r="G21" s="16">
        <f>G7-G20</f>
        <v>1875000</v>
      </c>
      <c r="L21" s="55"/>
      <c r="M21" s="56"/>
      <c r="O21" s="45"/>
      <c r="T21" s="48" t="s">
        <v>19</v>
      </c>
      <c r="U21" s="48">
        <v>280</v>
      </c>
    </row>
    <row r="22" spans="4:29" ht="47" thickTop="1" thickBot="1">
      <c r="D22" s="44"/>
      <c r="F22" s="49" t="s">
        <v>26</v>
      </c>
      <c r="G22" s="26">
        <f>IF(G10&gt;=2,G21*20%, "NA")</f>
        <v>375000</v>
      </c>
      <c r="M22" s="57"/>
      <c r="O22" s="45"/>
      <c r="T22" s="48" t="s">
        <v>20</v>
      </c>
      <c r="U22" s="48">
        <v>289</v>
      </c>
    </row>
    <row r="23" spans="4:29" ht="49" thickTop="1" thickBot="1">
      <c r="D23" s="44"/>
      <c r="L23" s="2" t="s">
        <v>63</v>
      </c>
      <c r="M23" s="1"/>
      <c r="O23" s="45"/>
      <c r="T23" s="48" t="s">
        <v>21</v>
      </c>
      <c r="U23" s="48">
        <v>301</v>
      </c>
    </row>
    <row r="24" spans="4:29" ht="49" thickTop="1" thickBot="1">
      <c r="D24" s="44"/>
      <c r="L24" s="8" t="s">
        <v>64</v>
      </c>
      <c r="M24" s="58" t="s">
        <v>65</v>
      </c>
      <c r="O24" s="45"/>
      <c r="T24" s="48" t="s">
        <v>22</v>
      </c>
      <c r="U24" s="48">
        <v>317</v>
      </c>
    </row>
    <row r="25" spans="4:29" ht="49" thickTop="1" thickBot="1">
      <c r="D25" s="44"/>
      <c r="L25" s="7" t="s">
        <v>66</v>
      </c>
      <c r="M25" s="58" t="s">
        <v>67</v>
      </c>
      <c r="O25" s="45"/>
      <c r="T25" s="48" t="s">
        <v>23</v>
      </c>
      <c r="U25" s="48">
        <v>331</v>
      </c>
    </row>
    <row r="26" spans="4:29" ht="47" thickTop="1" thickBot="1">
      <c r="D26" s="44"/>
      <c r="F26" s="9" t="s">
        <v>46</v>
      </c>
      <c r="O26" s="45"/>
      <c r="T26" s="48" t="s">
        <v>24</v>
      </c>
      <c r="U26" s="48">
        <v>348</v>
      </c>
    </row>
    <row r="27" spans="4:29" ht="47" thickTop="1" thickBot="1">
      <c r="D27" s="44"/>
      <c r="F27" s="59" t="s">
        <v>43</v>
      </c>
      <c r="G27" s="60"/>
      <c r="H27" s="60"/>
      <c r="I27" s="60"/>
      <c r="J27" s="60"/>
      <c r="K27" s="60"/>
      <c r="L27" s="60"/>
      <c r="M27" s="61"/>
      <c r="O27" s="45"/>
      <c r="T27" s="46" t="s">
        <v>25</v>
      </c>
      <c r="U27" s="46">
        <v>363</v>
      </c>
    </row>
    <row r="28" spans="4:29" ht="46" thickBot="1">
      <c r="D28" s="44"/>
      <c r="F28" s="59" t="s">
        <v>44</v>
      </c>
      <c r="G28" s="60"/>
      <c r="H28" s="60"/>
      <c r="I28" s="60"/>
      <c r="J28" s="60"/>
      <c r="K28" s="60"/>
      <c r="L28" s="60"/>
      <c r="M28" s="61"/>
      <c r="O28" s="45"/>
      <c r="W28" s="62"/>
      <c r="X28" s="63"/>
      <c r="Y28" s="63"/>
      <c r="Z28" s="62"/>
      <c r="AA28" s="62"/>
      <c r="AB28" s="62"/>
      <c r="AC28" s="62"/>
    </row>
    <row r="29" spans="4:29" ht="46" thickBot="1">
      <c r="D29" s="44"/>
      <c r="F29" s="59" t="s">
        <v>45</v>
      </c>
      <c r="G29" s="60"/>
      <c r="H29" s="60"/>
      <c r="I29" s="60"/>
      <c r="J29" s="60"/>
      <c r="K29" s="60"/>
      <c r="L29" s="60"/>
      <c r="M29" s="61"/>
      <c r="O29" s="45"/>
      <c r="W29" s="62"/>
      <c r="X29" s="64"/>
      <c r="Y29" s="64"/>
      <c r="Z29" s="62"/>
      <c r="AA29" s="62"/>
      <c r="AB29" s="62"/>
      <c r="AC29" s="62"/>
    </row>
    <row r="30" spans="4:29" ht="46" thickBot="1">
      <c r="D30" s="44"/>
      <c r="O30" s="45"/>
      <c r="W30" s="62"/>
      <c r="X30" s="64"/>
      <c r="Y30" s="64"/>
      <c r="Z30" s="62"/>
      <c r="AA30" s="62"/>
      <c r="AB30" s="62"/>
      <c r="AC30" s="62"/>
    </row>
    <row r="31" spans="4:29" ht="21" customHeight="1" thickBot="1">
      <c r="D31" s="65"/>
      <c r="E31" s="42"/>
      <c r="F31" s="42"/>
      <c r="G31" s="42"/>
      <c r="H31" s="42"/>
      <c r="I31" s="42"/>
      <c r="J31" s="42"/>
      <c r="K31" s="42"/>
      <c r="L31" s="42"/>
      <c r="M31" s="42"/>
      <c r="N31" s="42"/>
      <c r="O31" s="66"/>
      <c r="W31" s="62"/>
      <c r="X31" s="64"/>
      <c r="Y31" s="64"/>
      <c r="Z31" s="62"/>
      <c r="AA31" s="62"/>
      <c r="AB31" s="62"/>
      <c r="AC31" s="62"/>
    </row>
    <row r="32" spans="4:29">
      <c r="W32" s="62"/>
      <c r="X32" s="64"/>
      <c r="Y32" s="64"/>
      <c r="Z32" s="62"/>
      <c r="AA32" s="62"/>
      <c r="AB32" s="62"/>
      <c r="AC32" s="62"/>
    </row>
    <row r="33" spans="23:29">
      <c r="W33" s="62"/>
      <c r="X33" s="64"/>
      <c r="Y33" s="64"/>
      <c r="Z33" s="62"/>
      <c r="AA33" s="62"/>
      <c r="AB33" s="62"/>
      <c r="AC33" s="62"/>
    </row>
    <row r="34" spans="23:29">
      <c r="W34" s="62"/>
      <c r="X34" s="64"/>
      <c r="Y34" s="64"/>
      <c r="Z34" s="62"/>
      <c r="AA34" s="62"/>
      <c r="AB34" s="62"/>
      <c r="AC34" s="62"/>
    </row>
    <row r="35" spans="23:29">
      <c r="W35" s="62"/>
      <c r="X35" s="64"/>
      <c r="Y35" s="64"/>
      <c r="Z35" s="62"/>
      <c r="AA35" s="62"/>
      <c r="AB35" s="62"/>
      <c r="AC35" s="62"/>
    </row>
    <row r="36" spans="23:29">
      <c r="W36" s="62"/>
      <c r="X36" s="64"/>
      <c r="Y36" s="64"/>
      <c r="Z36" s="62"/>
      <c r="AA36" s="62"/>
      <c r="AB36" s="62"/>
      <c r="AC36" s="62"/>
    </row>
    <row r="37" spans="23:29">
      <c r="W37" s="62"/>
      <c r="X37" s="64"/>
      <c r="Y37" s="64"/>
      <c r="Z37" s="62"/>
      <c r="AA37" s="62"/>
      <c r="AB37" s="62"/>
      <c r="AC37" s="62"/>
    </row>
    <row r="38" spans="23:29">
      <c r="W38" s="62"/>
      <c r="X38" s="64"/>
      <c r="Y38" s="64"/>
      <c r="Z38" s="62"/>
      <c r="AA38" s="62"/>
      <c r="AB38" s="62"/>
      <c r="AC38" s="62"/>
    </row>
    <row r="39" spans="23:29">
      <c r="W39" s="62"/>
      <c r="X39" s="64"/>
      <c r="Y39" s="64"/>
      <c r="Z39" s="62"/>
      <c r="AA39" s="62"/>
      <c r="AB39" s="62"/>
      <c r="AC39" s="62"/>
    </row>
    <row r="40" spans="23:29">
      <c r="W40" s="62"/>
      <c r="X40" s="64"/>
      <c r="Y40" s="64"/>
      <c r="Z40" s="62"/>
      <c r="AA40" s="62"/>
      <c r="AB40" s="62"/>
      <c r="AC40" s="62"/>
    </row>
    <row r="41" spans="23:29">
      <c r="W41" s="62"/>
      <c r="X41" s="64"/>
      <c r="Y41" s="64"/>
      <c r="Z41" s="62"/>
      <c r="AA41" s="62"/>
      <c r="AB41" s="62"/>
      <c r="AC41" s="62"/>
    </row>
    <row r="42" spans="23:29">
      <c r="W42" s="62"/>
      <c r="X42" s="64"/>
      <c r="Y42" s="64"/>
      <c r="Z42" s="62"/>
      <c r="AA42" s="62"/>
      <c r="AB42" s="62"/>
      <c r="AC42" s="62"/>
    </row>
    <row r="43" spans="23:29">
      <c r="W43" s="62"/>
      <c r="X43" s="64"/>
      <c r="Y43" s="64"/>
      <c r="Z43" s="62"/>
      <c r="AA43" s="62"/>
      <c r="AB43" s="62"/>
      <c r="AC43" s="62"/>
    </row>
    <row r="44" spans="23:29">
      <c r="W44" s="62"/>
      <c r="X44" s="64"/>
      <c r="Y44" s="64"/>
      <c r="Z44" s="62"/>
      <c r="AA44" s="62"/>
      <c r="AB44" s="62"/>
      <c r="AC44" s="62"/>
    </row>
    <row r="45" spans="23:29">
      <c r="W45" s="62"/>
      <c r="X45" s="64"/>
      <c r="Y45" s="64"/>
      <c r="Z45" s="62"/>
      <c r="AA45" s="62"/>
      <c r="AB45" s="62"/>
      <c r="AC45" s="62"/>
    </row>
    <row r="46" spans="23:29">
      <c r="W46" s="62"/>
      <c r="X46" s="64"/>
      <c r="Y46" s="64"/>
      <c r="Z46" s="62"/>
      <c r="AA46" s="62"/>
      <c r="AB46" s="62"/>
      <c r="AC46" s="62"/>
    </row>
    <row r="47" spans="23:29">
      <c r="W47" s="62"/>
      <c r="X47" s="64"/>
      <c r="Y47" s="64"/>
      <c r="Z47" s="62"/>
      <c r="AA47" s="62"/>
      <c r="AB47" s="62"/>
      <c r="AC47" s="62"/>
    </row>
    <row r="48" spans="23:29">
      <c r="W48" s="62"/>
      <c r="X48" s="64"/>
      <c r="Y48" s="64"/>
      <c r="Z48" s="62"/>
      <c r="AA48" s="62"/>
      <c r="AB48" s="62"/>
      <c r="AC48" s="62"/>
    </row>
    <row r="49" spans="23:29">
      <c r="W49" s="62"/>
      <c r="X49" s="64"/>
      <c r="Y49" s="64"/>
      <c r="Z49" s="62"/>
      <c r="AA49" s="62"/>
      <c r="AB49" s="62"/>
      <c r="AC49" s="62"/>
    </row>
    <row r="50" spans="23:29">
      <c r="W50" s="62"/>
      <c r="X50" s="64"/>
      <c r="Y50" s="64"/>
      <c r="Z50" s="62"/>
      <c r="AA50" s="62"/>
      <c r="AB50" s="62"/>
      <c r="AC50" s="62"/>
    </row>
    <row r="51" spans="23:29">
      <c r="W51" s="62"/>
      <c r="X51" s="64"/>
      <c r="Y51" s="64"/>
      <c r="Z51" s="62"/>
      <c r="AA51" s="62"/>
      <c r="AB51" s="62"/>
      <c r="AC51" s="62"/>
    </row>
    <row r="52" spans="23:29">
      <c r="W52" s="62"/>
      <c r="X52" s="63"/>
      <c r="Y52" s="63"/>
      <c r="Z52" s="62"/>
      <c r="AA52" s="62"/>
      <c r="AB52" s="62"/>
      <c r="AC52" s="62"/>
    </row>
    <row r="53" spans="23:29">
      <c r="W53" s="62"/>
      <c r="X53" s="62"/>
      <c r="Y53" s="62"/>
      <c r="Z53" s="62"/>
      <c r="AA53" s="62"/>
      <c r="AB53" s="62"/>
      <c r="AC53" s="62"/>
    </row>
  </sheetData>
  <sheetProtection algorithmName="SHA-512" hashValue="qcnnmI0gll2kyiZ6XppuQ6uuJPVK0RG92iaem6KHXlMMMIjckdxuid7VLDnt2tsCSBZ7QyzcRchLb4BSIBG9tQ==" saltValue="2beuEm/DvFURsv1bnvXlMg==" spinCount="100000" sheet="1" objects="1" scenarios="1"/>
  <mergeCells count="13">
    <mergeCell ref="E31:N31"/>
    <mergeCell ref="O3:O30"/>
    <mergeCell ref="F27:M27"/>
    <mergeCell ref="F28:M28"/>
    <mergeCell ref="F29:M29"/>
    <mergeCell ref="L23:M23"/>
    <mergeCell ref="E2:N2"/>
    <mergeCell ref="F12:G12"/>
    <mergeCell ref="F17:G17"/>
    <mergeCell ref="F4:G4"/>
    <mergeCell ref="L4:M4"/>
    <mergeCell ref="L12:M12"/>
    <mergeCell ref="L17:M17"/>
  </mergeCells>
  <hyperlinks>
    <hyperlink ref="M24" r:id="rId1" xr:uid="{71F0273C-F9B4-CF41-BB7F-CCE2F423DC71}"/>
    <hyperlink ref="M25" r:id="rId2" xr:uid="{6B6E399D-9AFB-E647-AD40-D5F0618B7DA7}"/>
  </hyperlinks>
  <pageMargins left="0.7" right="0.7" top="0.75" bottom="0.75" header="0.3" footer="0.3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The impact of change</vt:lpstr>
      <vt:lpstr>Tax Calculation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Raise Basha Naik</dc:creator>
  <cp:lastModifiedBy>Raise Basha Naik</cp:lastModifiedBy>
  <dcterms:created xsi:type="dcterms:W3CDTF">2024-07-24T06:38:10Z</dcterms:created>
  <dcterms:modified xsi:type="dcterms:W3CDTF">2024-07-27T10:01:33Z</dcterms:modified>
</cp:coreProperties>
</file>