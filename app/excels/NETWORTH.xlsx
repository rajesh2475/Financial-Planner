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AD889B18-A3F7-E84F-AFDC-3E523DB16579}" xr6:coauthVersionLast="47" xr6:coauthVersionMax="47" xr10:uidLastSave="{00000000-0000-0000-0000-000000000000}"/>
  <bookViews>
    <workbookView xWindow="0" yWindow="760" windowWidth="34560" windowHeight="19860" xr2:uid="{9D334162-0274-3E41-BD89-312E5F290521}"/>
  </bookViews>
  <sheets>
    <sheet name="NET WOR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3" i="1" l="1"/>
  <c r="AK22" i="1"/>
  <c r="AK21" i="1"/>
  <c r="AK9" i="1"/>
  <c r="AK12" i="1" s="1"/>
  <c r="AK6" i="1"/>
  <c r="Q43" i="1" l="1"/>
  <c r="L41" i="1"/>
  <c r="L26" i="1"/>
  <c r="L43" i="1" l="1"/>
  <c r="P46" i="1" l="1"/>
  <c r="L50" i="1" l="1"/>
  <c r="Q50" i="1"/>
  <c r="Q48" i="1"/>
  <c r="L48" i="1"/>
</calcChain>
</file>

<file path=xl/sharedStrings.xml><?xml version="1.0" encoding="utf-8"?>
<sst xmlns="http://schemas.openxmlformats.org/spreadsheetml/2006/main" count="72" uniqueCount="69">
  <si>
    <t>ULIPs</t>
  </si>
  <si>
    <t>EPF</t>
  </si>
  <si>
    <t>PPF</t>
  </si>
  <si>
    <t>CASH</t>
  </si>
  <si>
    <t>FIXED DEPOSITS</t>
  </si>
  <si>
    <t xml:space="preserve">STOCKS </t>
  </si>
  <si>
    <t>COMMODITIES</t>
  </si>
  <si>
    <t>BIKE</t>
  </si>
  <si>
    <t>CAR</t>
  </si>
  <si>
    <t>FARM LAND</t>
  </si>
  <si>
    <t>PLOT</t>
  </si>
  <si>
    <t>FLAT</t>
  </si>
  <si>
    <t>HOUSE</t>
  </si>
  <si>
    <t>TRADITIONAL POLICIES</t>
  </si>
  <si>
    <t>SSY</t>
  </si>
  <si>
    <t>STOCKS OF UNLISTED COMPANIES</t>
  </si>
  <si>
    <t>LIABILITIES</t>
  </si>
  <si>
    <t>TOTAL LIQUID ASSETS</t>
  </si>
  <si>
    <t>TOTAL ASSETS</t>
  </si>
  <si>
    <t>LIQUID ASSETS</t>
  </si>
  <si>
    <t>PERSONAL LOAN</t>
  </si>
  <si>
    <t>CREDIT CARD LOAN</t>
  </si>
  <si>
    <t>HOME LOAN</t>
  </si>
  <si>
    <t>PLOT LOAN</t>
  </si>
  <si>
    <t>PREMIUMS PAYABLE</t>
  </si>
  <si>
    <t>CAR LOAN</t>
  </si>
  <si>
    <t>TWO WHEELER LOAN</t>
  </si>
  <si>
    <t>OTHER DEPOSITS</t>
  </si>
  <si>
    <t>ART/ ANTIQUES</t>
  </si>
  <si>
    <t>BUSINESS / PARTNERSHIP</t>
  </si>
  <si>
    <t>GOLD / SILVER / OTHER JEWELLERY</t>
  </si>
  <si>
    <t>FARM LOAN</t>
  </si>
  <si>
    <t>CREDIT CARDS DUE</t>
  </si>
  <si>
    <t>OTHER BILLS DUE</t>
  </si>
  <si>
    <t>CHITS</t>
  </si>
  <si>
    <t>OTHERS</t>
  </si>
  <si>
    <t>TOTAL LIABILITIES</t>
  </si>
  <si>
    <t>TOTAL NETWORTH</t>
  </si>
  <si>
    <t xml:space="preserve">TOTAL ILLIQUID ASSETS </t>
  </si>
  <si>
    <t>NAME</t>
  </si>
  <si>
    <t>OPEN ENDED MUTUAL FUNDS</t>
  </si>
  <si>
    <t>ILLIQUID ASSETS</t>
  </si>
  <si>
    <t>CLOSE ENDED MUTUAL FUNDS</t>
  </si>
  <si>
    <t>Factors</t>
  </si>
  <si>
    <t>Age</t>
  </si>
  <si>
    <t>ANNUAL INCOME</t>
  </si>
  <si>
    <t>PERSONAL DETAILS</t>
  </si>
  <si>
    <t>AGE IN YEARS</t>
  </si>
  <si>
    <t>CURRENT SALARY</t>
  </si>
  <si>
    <t>GROWTH IN SALARY</t>
  </si>
  <si>
    <t>NETWORTH AT THE AGE</t>
  </si>
  <si>
    <t>AVG NETWORTH REQUIRED FOR</t>
  </si>
  <si>
    <t>AVERAGE NETWORTH</t>
  </si>
  <si>
    <t>ASSETS TO NETWORTH</t>
  </si>
  <si>
    <t>FIXED ASSETS TO NETWORTH</t>
  </si>
  <si>
    <t>LAIBILITIES TO NETWORTH</t>
  </si>
  <si>
    <t>LIQUID ASSETS TO NETWORTH</t>
  </si>
  <si>
    <t>DEBT FUNDS</t>
  </si>
  <si>
    <t xml:space="preserve">BONDS / DEBENTURES </t>
  </si>
  <si>
    <t>CURRENT AGE</t>
  </si>
  <si>
    <t>CURRENT ANNUAL INCOME</t>
  </si>
  <si>
    <t>FORMULA = (AGE X SALARY)/10</t>
  </si>
  <si>
    <t>FACTOR BASED CALCULATION AS PER FIDELITY</t>
  </si>
  <si>
    <t xml:space="preserve">FORMULA BASED CALCULATION </t>
  </si>
  <si>
    <t>To Support Your Money Purse Channel Use the Links Below</t>
  </si>
  <si>
    <t>Compare Term Plan Here</t>
  </si>
  <si>
    <t>Compare Health Insurance Here</t>
  </si>
  <si>
    <t xml:space="preserve">https://tinyurl.com/4xtsdbbd </t>
  </si>
  <si>
    <t>https://tinyurl.com/37za5jbz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</si>
</sst>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36"/>
      <color theme="1"/>
      <name val="Arial Bold"/>
    </font>
    <font>
      <b/>
      <sz val="36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sz val="36"/>
      <color theme="0"/>
      <name val="Arial Bold"/>
    </font>
    <font>
      <sz val="40"/>
      <color theme="1"/>
      <name val="Arial Bold"/>
    </font>
    <font>
      <sz val="36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36"/>
      <color theme="0"/>
      <name val="Calibri (Body)"/>
    </font>
    <font>
      <b/>
      <u/>
      <sz val="36"/>
      <color theme="1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4" fillId="2" borderId="12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2" fillId="0" borderId="9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2" fillId="0" borderId="10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164" fontId="2" fillId="0" borderId="1" xfId="0" applyNumberFormat="1" applyFont="1" applyBorder="1" applyProtection="1"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164" fontId="2" fillId="0" borderId="1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left"/>
      <protection hidden="1"/>
    </xf>
    <xf numFmtId="164" fontId="2" fillId="0" borderId="0" xfId="0" applyNumberFormat="1" applyFont="1" applyProtection="1">
      <protection hidden="1"/>
    </xf>
    <xf numFmtId="9" fontId="2" fillId="0" borderId="1" xfId="1" applyFont="1" applyBorder="1" applyAlignment="1" applyProtection="1">
      <alignment horizontal="center" vertical="center"/>
      <protection hidden="1"/>
    </xf>
    <xf numFmtId="164" fontId="5" fillId="2" borderId="1" xfId="0" applyNumberFormat="1" applyFont="1" applyFill="1" applyBorder="1" applyAlignment="1" applyProtection="1">
      <alignment vertical="center"/>
      <protection hidden="1"/>
    </xf>
    <xf numFmtId="0" fontId="2" fillId="0" borderId="11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3" borderId="1" xfId="0" applyFont="1" applyFill="1" applyBorder="1" applyAlignment="1" applyProtection="1">
      <alignment horizontal="center"/>
      <protection locked="0" hidden="1"/>
    </xf>
    <xf numFmtId="1" fontId="2" fillId="3" borderId="1" xfId="0" applyNumberFormat="1" applyFont="1" applyFill="1" applyBorder="1" applyAlignment="1" applyProtection="1">
      <alignment horizontal="center"/>
      <protection locked="0" hidden="1"/>
    </xf>
    <xf numFmtId="164" fontId="2" fillId="3" borderId="1" xfId="0" applyNumberFormat="1" applyFont="1" applyFill="1" applyBorder="1" applyAlignment="1" applyProtection="1">
      <alignment horizontal="center"/>
      <protection locked="0" hidden="1"/>
    </xf>
    <xf numFmtId="164" fontId="2" fillId="3" borderId="1" xfId="0" applyNumberFormat="1" applyFont="1" applyFill="1" applyBorder="1" applyProtection="1">
      <protection locked="0" hidden="1"/>
    </xf>
    <xf numFmtId="0" fontId="2" fillId="3" borderId="1" xfId="0" applyFont="1" applyFill="1" applyBorder="1" applyProtection="1">
      <protection locked="0"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9" fillId="2" borderId="13" xfId="0" applyFont="1" applyFill="1" applyBorder="1" applyAlignment="1" applyProtection="1">
      <alignment horizontal="center"/>
      <protection hidden="1"/>
    </xf>
    <xf numFmtId="0" fontId="3" fillId="2" borderId="14" xfId="0" applyFont="1" applyFill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left"/>
      <protection hidden="1"/>
    </xf>
    <xf numFmtId="0" fontId="2" fillId="0" borderId="3" xfId="0" applyFont="1" applyBorder="1" applyAlignment="1" applyProtection="1">
      <alignment horizontal="left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left"/>
      <protection hidden="1"/>
    </xf>
    <xf numFmtId="1" fontId="2" fillId="0" borderId="1" xfId="0" applyNumberFormat="1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9" fontId="2" fillId="0" borderId="1" xfId="0" applyNumberFormat="1" applyFont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locked="0" hidden="1"/>
    </xf>
    <xf numFmtId="164" fontId="6" fillId="0" borderId="1" xfId="0" applyNumberFormat="1" applyFont="1" applyBorder="1" applyAlignment="1" applyProtection="1">
      <alignment horizontal="center"/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4" fillId="2" borderId="2" xfId="0" applyFont="1" applyFill="1" applyBorder="1" applyProtection="1">
      <protection hidden="1"/>
    </xf>
    <xf numFmtId="0" fontId="10" fillId="0" borderId="1" xfId="2" applyFont="1" applyBorder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2489200</xdr:colOff>
      <xdr:row>5</xdr:row>
      <xdr:rowOff>203200</xdr:rowOff>
    </xdr:from>
    <xdr:to>
      <xdr:col>16</xdr:col>
      <xdr:colOff>708136</xdr:colOff>
      <xdr:row>10</xdr:row>
      <xdr:rowOff>577374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E371F1-ABDD-3A4C-9F18-2C19E5B0F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2400" y="2743200"/>
          <a:ext cx="7210536" cy="3422174"/>
        </a:xfrm>
        <a:prstGeom prst="rect">
          <a:avLst/>
        </a:prstGeom>
      </xdr:spPr>
    </xdr:pic>
    <xdr:clientData/>
  </xdr:twoCellAnchor>
  <xdr:twoCellAnchor editAs="oneCell">
    <xdr:from>
      <xdr:col>34</xdr:col>
      <xdr:colOff>5842000</xdr:colOff>
      <xdr:row>12</xdr:row>
      <xdr:rowOff>580571</xdr:rowOff>
    </xdr:from>
    <xdr:to>
      <xdr:col>36</xdr:col>
      <xdr:colOff>3117507</xdr:colOff>
      <xdr:row>18</xdr:row>
      <xdr:rowOff>301603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C04DE8-5BAE-4047-B383-299225D0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62571" y="7366000"/>
          <a:ext cx="7217793" cy="3349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tinyurl.com/37za5jbz" TargetMode="External"/><Relationship Id="rId1" Type="http://schemas.openxmlformats.org/officeDocument/2006/relationships/hyperlink" Target="https://tinyurl.com/4xtsdb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9D2A-23D7-C24C-8920-00C948398C16}">
  <dimension ref="I3:AU54"/>
  <sheetViews>
    <sheetView showGridLines="0" tabSelected="1" topLeftCell="H10" zoomScale="50" workbookViewId="0">
      <selection activeCell="Z33" sqref="Z33"/>
    </sheetView>
  </sheetViews>
  <sheetFormatPr baseColWidth="10" defaultRowHeight="45"/>
  <cols>
    <col min="1" max="6" width="10.83203125" style="2"/>
    <col min="7" max="7" width="16.83203125" style="2" bestFit="1" customWidth="1"/>
    <col min="8" max="8" width="10.83203125" style="2"/>
    <col min="9" max="9" width="2.5" style="2" customWidth="1"/>
    <col min="10" max="10" width="10.83203125" style="2"/>
    <col min="11" max="11" width="119.6640625" style="2" customWidth="1"/>
    <col min="12" max="12" width="79.1640625" style="2" customWidth="1"/>
    <col min="13" max="15" width="10.83203125" style="2"/>
    <col min="16" max="16" width="118" style="2" customWidth="1"/>
    <col min="17" max="17" width="81.83203125" style="2" customWidth="1"/>
    <col min="18" max="18" width="10.83203125" style="2"/>
    <col min="19" max="19" width="2.83203125" style="2" customWidth="1"/>
    <col min="20" max="31" width="10.83203125" style="2"/>
    <col min="32" max="32" width="10.83203125" style="2" customWidth="1"/>
    <col min="33" max="33" width="2.1640625" style="2" customWidth="1"/>
    <col min="34" max="34" width="10.83203125" style="2"/>
    <col min="35" max="35" width="119.5" style="2" customWidth="1"/>
    <col min="36" max="36" width="10.83203125" style="2"/>
    <col min="37" max="37" width="42" style="2" customWidth="1"/>
    <col min="38" max="38" width="58.6640625" style="2" customWidth="1"/>
    <col min="39" max="39" width="10.83203125" style="2"/>
    <col min="40" max="40" width="2.1640625" style="2" customWidth="1"/>
    <col min="41" max="45" width="10.83203125" style="2"/>
    <col min="46" max="46" width="12" style="3" bestFit="1" customWidth="1"/>
    <col min="47" max="47" width="21.1640625" style="3" bestFit="1" customWidth="1"/>
    <col min="48" max="16384" width="10.83203125" style="2"/>
  </cols>
  <sheetData>
    <row r="3" spans="9:47" ht="46" thickBot="1"/>
    <row r="4" spans="9:47" ht="15" customHeight="1" thickTop="1" thickBot="1">
      <c r="I4" s="4"/>
      <c r="J4" s="5"/>
      <c r="K4" s="5"/>
      <c r="L4" s="5"/>
      <c r="M4" s="5"/>
      <c r="N4" s="5"/>
      <c r="O4" s="5"/>
      <c r="P4" s="5"/>
      <c r="Q4" s="5"/>
      <c r="R4" s="5"/>
      <c r="S4" s="6"/>
      <c r="AG4" s="23"/>
      <c r="AH4" s="30"/>
      <c r="AI4" s="24"/>
      <c r="AJ4" s="24"/>
      <c r="AK4" s="24"/>
      <c r="AL4" s="24"/>
      <c r="AM4" s="23"/>
      <c r="AN4" s="6"/>
    </row>
    <row r="5" spans="9:47" ht="47" thickTop="1" thickBot="1">
      <c r="I5" s="31"/>
      <c r="S5" s="37"/>
      <c r="AG5" s="24"/>
      <c r="AN5" s="31"/>
      <c r="AT5" s="2"/>
      <c r="AU5" s="2"/>
    </row>
    <row r="6" spans="9:47" ht="47" thickTop="1" thickBot="1">
      <c r="I6" s="31"/>
      <c r="S6" s="37"/>
      <c r="AG6" s="24"/>
      <c r="AI6" s="43" t="s">
        <v>51</v>
      </c>
      <c r="AJ6" s="43"/>
      <c r="AK6" s="44">
        <f>L8</f>
        <v>0</v>
      </c>
      <c r="AL6" s="44"/>
      <c r="AN6" s="24"/>
      <c r="AT6" s="2"/>
      <c r="AU6" s="2"/>
    </row>
    <row r="7" spans="9:47" ht="47" thickTop="1" thickBot="1">
      <c r="I7" s="31"/>
      <c r="K7" s="42" t="s">
        <v>46</v>
      </c>
      <c r="L7" s="42"/>
      <c r="S7" s="37"/>
      <c r="AG7" s="24"/>
      <c r="AN7" s="24"/>
      <c r="AS7" s="3"/>
    </row>
    <row r="8" spans="9:47" ht="47" thickTop="1" thickBot="1">
      <c r="I8" s="31"/>
      <c r="K8" s="7" t="s">
        <v>39</v>
      </c>
      <c r="L8" s="18"/>
      <c r="S8" s="37"/>
      <c r="AG8" s="24"/>
      <c r="AI8" s="32" t="s">
        <v>62</v>
      </c>
      <c r="AJ8" s="32"/>
      <c r="AK8" s="32"/>
      <c r="AL8" s="32"/>
      <c r="AN8" s="24"/>
      <c r="AS8" s="3"/>
    </row>
    <row r="9" spans="9:47" ht="49" thickTop="1" thickBot="1">
      <c r="I9" s="31"/>
      <c r="K9" s="7" t="s">
        <v>47</v>
      </c>
      <c r="L9" s="19"/>
      <c r="S9" s="37"/>
      <c r="AG9" s="24"/>
      <c r="AI9" s="34" t="s">
        <v>48</v>
      </c>
      <c r="AJ9" s="34"/>
      <c r="AK9" s="27">
        <f>L10</f>
        <v>0</v>
      </c>
      <c r="AL9" s="24"/>
      <c r="AN9" s="24"/>
      <c r="AS9" s="3"/>
      <c r="AT9" s="8" t="s">
        <v>44</v>
      </c>
      <c r="AU9" s="8" t="s">
        <v>43</v>
      </c>
    </row>
    <row r="10" spans="9:47" ht="49" thickTop="1" thickBot="1">
      <c r="I10" s="31"/>
      <c r="K10" s="7" t="s">
        <v>45</v>
      </c>
      <c r="L10" s="20"/>
      <c r="S10" s="37"/>
      <c r="AG10" s="24"/>
      <c r="AI10" s="28" t="s">
        <v>49</v>
      </c>
      <c r="AJ10" s="29"/>
      <c r="AK10" s="45">
        <v>0.08</v>
      </c>
      <c r="AL10" s="24"/>
      <c r="AN10" s="24"/>
      <c r="AS10" s="3"/>
      <c r="AT10" s="8">
        <v>30</v>
      </c>
      <c r="AU10" s="8">
        <v>1</v>
      </c>
    </row>
    <row r="11" spans="9:47" ht="49" thickTop="1" thickBot="1">
      <c r="I11" s="31"/>
      <c r="S11" s="37"/>
      <c r="AG11" s="24"/>
      <c r="AI11" s="28" t="s">
        <v>50</v>
      </c>
      <c r="AJ11" s="29"/>
      <c r="AK11" s="46">
        <v>40</v>
      </c>
      <c r="AL11" s="46"/>
      <c r="AN11" s="24"/>
      <c r="AS11" s="3"/>
      <c r="AT11" s="8">
        <v>35</v>
      </c>
      <c r="AU11" s="8">
        <v>2</v>
      </c>
    </row>
    <row r="12" spans="9:47" ht="53" thickTop="1" thickBot="1">
      <c r="I12" s="24"/>
      <c r="K12" s="38" t="s">
        <v>18</v>
      </c>
      <c r="L12" s="39"/>
      <c r="P12" s="32" t="s">
        <v>16</v>
      </c>
      <c r="Q12" s="32"/>
      <c r="S12" s="37"/>
      <c r="AG12" s="24"/>
      <c r="AI12" s="28" t="s">
        <v>52</v>
      </c>
      <c r="AJ12" s="29"/>
      <c r="AK12" s="47">
        <f>(FV(AK10,AK11-L9,0,-AK9,0)*IF(AK11=AT10,AU10,IF(AK11=AT11,AU11,IF(AK11=AT12,AU12,IF(AK11=AT13,AU13,IF(AK11=AT14,AU14,IF(AK11=AT15,AU15,IF(AK11=AT16,AU16,"NA"))))))))</f>
        <v>0</v>
      </c>
      <c r="AL12" s="47"/>
      <c r="AN12" s="24"/>
      <c r="AS12" s="3"/>
      <c r="AT12" s="8">
        <v>40</v>
      </c>
      <c r="AU12" s="8">
        <v>3</v>
      </c>
    </row>
    <row r="13" spans="9:47" ht="49" thickTop="1" thickBot="1">
      <c r="I13" s="24"/>
      <c r="K13" s="28" t="s">
        <v>19</v>
      </c>
      <c r="L13" s="29"/>
      <c r="P13" s="7" t="s">
        <v>20</v>
      </c>
      <c r="Q13" s="21"/>
      <c r="S13" s="37"/>
      <c r="AG13" s="24"/>
      <c r="AN13" s="24"/>
      <c r="AS13" s="3"/>
      <c r="AT13" s="8">
        <v>45</v>
      </c>
      <c r="AU13" s="8">
        <v>4.5</v>
      </c>
    </row>
    <row r="14" spans="9:47" ht="49" thickTop="1" thickBot="1">
      <c r="I14" s="24"/>
      <c r="K14" s="7" t="s">
        <v>3</v>
      </c>
      <c r="L14" s="21"/>
      <c r="P14" s="7" t="s">
        <v>21</v>
      </c>
      <c r="Q14" s="21"/>
      <c r="S14" s="37"/>
      <c r="AG14" s="24"/>
      <c r="AN14" s="24"/>
      <c r="AS14" s="3"/>
      <c r="AT14" s="8">
        <v>50</v>
      </c>
      <c r="AU14" s="8">
        <v>6</v>
      </c>
    </row>
    <row r="15" spans="9:47" ht="49" thickTop="1" thickBot="1">
      <c r="I15" s="24"/>
      <c r="K15" s="7" t="s">
        <v>4</v>
      </c>
      <c r="L15" s="21"/>
      <c r="P15" s="7" t="s">
        <v>22</v>
      </c>
      <c r="Q15" s="21"/>
      <c r="S15" s="37"/>
      <c r="AG15" s="24"/>
      <c r="AN15" s="24"/>
      <c r="AS15" s="3"/>
      <c r="AT15" s="8">
        <v>55</v>
      </c>
      <c r="AU15" s="8">
        <v>7</v>
      </c>
    </row>
    <row r="16" spans="9:47" ht="49" thickTop="1" thickBot="1">
      <c r="I16" s="24"/>
      <c r="K16" s="7" t="s">
        <v>58</v>
      </c>
      <c r="L16" s="21"/>
      <c r="P16" s="7" t="s">
        <v>31</v>
      </c>
      <c r="Q16" s="21"/>
      <c r="S16" s="37"/>
      <c r="AG16" s="24"/>
      <c r="AI16" s="40"/>
      <c r="AJ16" s="40"/>
      <c r="AK16" s="48"/>
      <c r="AL16" s="40"/>
      <c r="AN16" s="24"/>
      <c r="AS16" s="3"/>
      <c r="AT16" s="8">
        <v>60</v>
      </c>
      <c r="AU16" s="8">
        <v>8</v>
      </c>
    </row>
    <row r="17" spans="9:47" ht="47" thickTop="1" thickBot="1">
      <c r="I17" s="24"/>
      <c r="K17" s="7" t="s">
        <v>57</v>
      </c>
      <c r="L17" s="21"/>
      <c r="P17" s="7" t="s">
        <v>23</v>
      </c>
      <c r="Q17" s="21"/>
      <c r="S17" s="37"/>
      <c r="AG17" s="24"/>
      <c r="AN17" s="24"/>
      <c r="AS17" s="3"/>
    </row>
    <row r="18" spans="9:47" ht="47" thickTop="1" thickBot="1">
      <c r="I18" s="24"/>
      <c r="K18" s="7" t="s">
        <v>27</v>
      </c>
      <c r="L18" s="21"/>
      <c r="P18" s="7" t="s">
        <v>25</v>
      </c>
      <c r="Q18" s="21"/>
      <c r="S18" s="37"/>
      <c r="AG18" s="24"/>
      <c r="AN18" s="24"/>
      <c r="AS18" s="3"/>
    </row>
    <row r="19" spans="9:47" ht="47" thickTop="1" thickBot="1">
      <c r="I19" s="24"/>
      <c r="K19" s="7" t="s">
        <v>30</v>
      </c>
      <c r="L19" s="21"/>
      <c r="P19" s="7" t="s">
        <v>26</v>
      </c>
      <c r="Q19" s="21"/>
      <c r="S19" s="37"/>
      <c r="AG19" s="24"/>
      <c r="AI19" s="32" t="s">
        <v>63</v>
      </c>
      <c r="AJ19" s="32"/>
      <c r="AK19" s="32"/>
      <c r="AL19" s="32"/>
      <c r="AN19" s="24"/>
      <c r="AT19" s="2"/>
      <c r="AU19" s="2"/>
    </row>
    <row r="20" spans="9:47" ht="47" thickTop="1" thickBot="1">
      <c r="I20" s="24"/>
      <c r="K20" s="7" t="s">
        <v>40</v>
      </c>
      <c r="L20" s="21"/>
      <c r="P20" s="7" t="s">
        <v>24</v>
      </c>
      <c r="Q20" s="21"/>
      <c r="S20" s="37"/>
      <c r="AG20" s="24"/>
      <c r="AI20" s="33" t="s">
        <v>61</v>
      </c>
      <c r="AJ20" s="33"/>
      <c r="AK20" s="33"/>
      <c r="AL20" s="33"/>
      <c r="AN20" s="24"/>
      <c r="AT20" s="2"/>
      <c r="AU20" s="2"/>
    </row>
    <row r="21" spans="9:47" ht="47" thickTop="1" thickBot="1">
      <c r="I21" s="24"/>
      <c r="K21" s="7" t="s">
        <v>5</v>
      </c>
      <c r="L21" s="21"/>
      <c r="P21" s="7" t="s">
        <v>32</v>
      </c>
      <c r="Q21" s="21"/>
      <c r="S21" s="37"/>
      <c r="AG21" s="24"/>
      <c r="AI21" s="34" t="s">
        <v>59</v>
      </c>
      <c r="AJ21" s="34"/>
      <c r="AK21" s="35">
        <f>L9</f>
        <v>0</v>
      </c>
      <c r="AL21" s="24"/>
      <c r="AN21" s="24"/>
      <c r="AT21" s="2"/>
      <c r="AU21" s="2"/>
    </row>
    <row r="22" spans="9:47" ht="47" thickTop="1" thickBot="1">
      <c r="I22" s="24"/>
      <c r="K22" s="7" t="s">
        <v>6</v>
      </c>
      <c r="L22" s="21"/>
      <c r="P22" s="7" t="s">
        <v>33</v>
      </c>
      <c r="Q22" s="21"/>
      <c r="S22" s="37"/>
      <c r="AG22" s="24"/>
      <c r="AI22" s="34" t="s">
        <v>60</v>
      </c>
      <c r="AJ22" s="34"/>
      <c r="AK22" s="27">
        <f>L10</f>
        <v>0</v>
      </c>
      <c r="AL22" s="24"/>
      <c r="AN22" s="24"/>
      <c r="AT22" s="2"/>
      <c r="AU22" s="2"/>
    </row>
    <row r="23" spans="9:47" ht="47" thickTop="1" thickBot="1">
      <c r="I23" s="24"/>
      <c r="K23" s="7" t="s">
        <v>0</v>
      </c>
      <c r="L23" s="21"/>
      <c r="P23" s="7" t="s">
        <v>34</v>
      </c>
      <c r="Q23" s="21"/>
      <c r="S23" s="37"/>
      <c r="AG23" s="24"/>
      <c r="AI23" s="28" t="s">
        <v>52</v>
      </c>
      <c r="AJ23" s="29"/>
      <c r="AK23" s="27">
        <f>(AK21*AK22)/10</f>
        <v>0</v>
      </c>
      <c r="AL23" s="24"/>
      <c r="AN23" s="24"/>
    </row>
    <row r="24" spans="9:47" ht="47" thickTop="1" thickBot="1">
      <c r="I24" s="24"/>
      <c r="K24" s="7" t="s">
        <v>7</v>
      </c>
      <c r="L24" s="21"/>
      <c r="P24" s="7" t="s">
        <v>35</v>
      </c>
      <c r="Q24" s="21"/>
      <c r="S24" s="37"/>
      <c r="AG24" s="24"/>
      <c r="AN24" s="24"/>
    </row>
    <row r="25" spans="9:47" ht="47" thickTop="1" thickBot="1">
      <c r="I25" s="24"/>
      <c r="K25" s="7" t="s">
        <v>8</v>
      </c>
      <c r="L25" s="21"/>
      <c r="S25" s="37"/>
      <c r="AG25" s="24"/>
      <c r="AH25" s="24"/>
      <c r="AI25" s="24"/>
      <c r="AJ25" s="24"/>
      <c r="AK25" s="24"/>
      <c r="AL25" s="24"/>
      <c r="AM25" s="24"/>
      <c r="AN25" s="24"/>
    </row>
    <row r="26" spans="9:47" ht="47" thickTop="1" thickBot="1">
      <c r="I26" s="24"/>
      <c r="K26" s="7" t="s">
        <v>17</v>
      </c>
      <c r="L26" s="9">
        <f>SUM(L13:L25)</f>
        <v>0</v>
      </c>
      <c r="S26" s="37"/>
    </row>
    <row r="27" spans="9:47" ht="47" thickTop="1" thickBot="1">
      <c r="I27" s="24"/>
      <c r="K27" s="28" t="s">
        <v>41</v>
      </c>
      <c r="L27" s="29"/>
      <c r="S27" s="37"/>
    </row>
    <row r="28" spans="9:47" ht="47" thickTop="1" thickBot="1">
      <c r="I28" s="24"/>
      <c r="K28" s="7" t="s">
        <v>9</v>
      </c>
      <c r="L28" s="21"/>
      <c r="S28" s="37"/>
    </row>
    <row r="29" spans="9:47" ht="49" thickTop="1" thickBot="1">
      <c r="I29" s="24"/>
      <c r="K29" s="7" t="s">
        <v>10</v>
      </c>
      <c r="L29" s="21"/>
      <c r="P29" s="25" t="s">
        <v>64</v>
      </c>
      <c r="Q29" s="26"/>
      <c r="S29" s="37"/>
    </row>
    <row r="30" spans="9:47" ht="49" thickTop="1" thickBot="1">
      <c r="I30" s="24"/>
      <c r="K30" s="7" t="s">
        <v>11</v>
      </c>
      <c r="L30" s="21"/>
      <c r="P30" s="1" t="s">
        <v>65</v>
      </c>
      <c r="Q30" s="50" t="s">
        <v>67</v>
      </c>
      <c r="S30" s="37"/>
    </row>
    <row r="31" spans="9:47" ht="49" thickTop="1" thickBot="1">
      <c r="I31" s="24"/>
      <c r="K31" s="7" t="s">
        <v>12</v>
      </c>
      <c r="L31" s="21"/>
      <c r="P31" s="49" t="s">
        <v>66</v>
      </c>
      <c r="Q31" s="50" t="s">
        <v>68</v>
      </c>
      <c r="S31" s="37"/>
    </row>
    <row r="32" spans="9:47" ht="47" thickTop="1" thickBot="1">
      <c r="I32" s="24"/>
      <c r="K32" s="7" t="s">
        <v>13</v>
      </c>
      <c r="L32" s="21"/>
      <c r="S32" s="37"/>
    </row>
    <row r="33" spans="9:19" ht="47" thickTop="1" thickBot="1">
      <c r="I33" s="24"/>
      <c r="K33" s="7" t="s">
        <v>42</v>
      </c>
      <c r="L33" s="21"/>
      <c r="S33" s="37"/>
    </row>
    <row r="34" spans="9:19" ht="47" thickTop="1" thickBot="1">
      <c r="I34" s="24"/>
      <c r="K34" s="7" t="s">
        <v>1</v>
      </c>
      <c r="L34" s="21"/>
      <c r="S34" s="37"/>
    </row>
    <row r="35" spans="9:19" ht="47" thickTop="1" thickBot="1">
      <c r="I35" s="24"/>
      <c r="K35" s="7" t="s">
        <v>2</v>
      </c>
      <c r="L35" s="21"/>
      <c r="S35" s="37"/>
    </row>
    <row r="36" spans="9:19" ht="47" thickTop="1" thickBot="1">
      <c r="I36" s="24"/>
      <c r="K36" s="7" t="s">
        <v>14</v>
      </c>
      <c r="L36" s="21"/>
      <c r="S36" s="37"/>
    </row>
    <row r="37" spans="9:19" ht="47" thickTop="1" thickBot="1">
      <c r="I37" s="24"/>
      <c r="K37" s="7" t="s">
        <v>15</v>
      </c>
      <c r="L37" s="21"/>
      <c r="S37" s="37"/>
    </row>
    <row r="38" spans="9:19" ht="47" thickTop="1" thickBot="1">
      <c r="I38" s="24"/>
      <c r="K38" s="7" t="s">
        <v>28</v>
      </c>
      <c r="L38" s="22"/>
      <c r="S38" s="37"/>
    </row>
    <row r="39" spans="9:19" ht="47" thickTop="1" thickBot="1">
      <c r="I39" s="24"/>
      <c r="K39" s="7" t="s">
        <v>29</v>
      </c>
      <c r="L39" s="22"/>
      <c r="S39" s="37"/>
    </row>
    <row r="40" spans="9:19" ht="47" thickTop="1" thickBot="1">
      <c r="I40" s="24"/>
      <c r="K40" s="7" t="s">
        <v>35</v>
      </c>
      <c r="L40" s="22"/>
      <c r="S40" s="37"/>
    </row>
    <row r="41" spans="9:19" ht="47" thickTop="1" thickBot="1">
      <c r="I41" s="24"/>
      <c r="K41" s="7" t="s">
        <v>38</v>
      </c>
      <c r="L41" s="9">
        <f>SUM(L28:L40)</f>
        <v>0</v>
      </c>
      <c r="S41" s="37"/>
    </row>
    <row r="42" spans="9:19" ht="47" thickTop="1" thickBot="1">
      <c r="I42" s="24"/>
      <c r="S42" s="37"/>
    </row>
    <row r="43" spans="9:19" ht="47" thickTop="1" thickBot="1">
      <c r="I43" s="24"/>
      <c r="K43" s="10" t="s">
        <v>18</v>
      </c>
      <c r="L43" s="11">
        <f>L26+L41</f>
        <v>0</v>
      </c>
      <c r="P43" s="10" t="s">
        <v>36</v>
      </c>
      <c r="Q43" s="11">
        <f>SUM(Q13:Q24)</f>
        <v>0</v>
      </c>
      <c r="S43" s="37"/>
    </row>
    <row r="44" spans="9:19" ht="47" thickTop="1" thickBot="1">
      <c r="I44" s="24"/>
      <c r="S44" s="37"/>
    </row>
    <row r="45" spans="9:19" ht="47" thickTop="1" thickBot="1">
      <c r="I45" s="24"/>
      <c r="K45" s="40"/>
      <c r="L45" s="40"/>
      <c r="S45" s="37"/>
    </row>
    <row r="46" spans="9:19" ht="47" thickTop="1" thickBot="1">
      <c r="I46" s="24"/>
      <c r="L46" s="41" t="s">
        <v>37</v>
      </c>
      <c r="M46" s="41"/>
      <c r="N46" s="41"/>
      <c r="O46" s="41"/>
      <c r="P46" s="11">
        <f>L43-Q43</f>
        <v>0</v>
      </c>
      <c r="S46" s="37"/>
    </row>
    <row r="47" spans="9:19" ht="47" thickTop="1" thickBot="1">
      <c r="I47" s="24"/>
      <c r="L47" s="12"/>
      <c r="M47" s="12"/>
      <c r="N47" s="12"/>
      <c r="O47" s="12"/>
      <c r="P47" s="13"/>
      <c r="S47" s="37"/>
    </row>
    <row r="48" spans="9:19" ht="47" thickTop="1" thickBot="1">
      <c r="I48" s="24"/>
      <c r="K48" s="10" t="s">
        <v>53</v>
      </c>
      <c r="L48" s="14" t="e">
        <f>L43/P46</f>
        <v>#DIV/0!</v>
      </c>
      <c r="M48" s="12"/>
      <c r="N48" s="12"/>
      <c r="O48" s="12"/>
      <c r="P48" s="15" t="s">
        <v>55</v>
      </c>
      <c r="Q48" s="14" t="e">
        <f>Q43/P46</f>
        <v>#DIV/0!</v>
      </c>
      <c r="S48" s="37"/>
    </row>
    <row r="49" spans="9:19" ht="47" thickTop="1" thickBot="1">
      <c r="I49" s="24"/>
      <c r="S49" s="37"/>
    </row>
    <row r="50" spans="9:19" ht="47" thickTop="1" thickBot="1">
      <c r="I50" s="24"/>
      <c r="K50" s="10" t="s">
        <v>54</v>
      </c>
      <c r="L50" s="14" t="e">
        <f>L41/P46</f>
        <v>#DIV/0!</v>
      </c>
      <c r="P50" s="15" t="s">
        <v>56</v>
      </c>
      <c r="Q50" s="14" t="e">
        <f>L26/P46</f>
        <v>#DIV/0!</v>
      </c>
      <c r="S50" s="37"/>
    </row>
    <row r="51" spans="9:19" ht="47" thickTop="1" thickBot="1">
      <c r="I51" s="24"/>
      <c r="S51" s="37"/>
    </row>
    <row r="52" spans="9:19" ht="47" thickTop="1" thickBot="1">
      <c r="I52" s="36"/>
      <c r="S52" s="37"/>
    </row>
    <row r="53" spans="9:19" ht="17" customHeight="1" thickTop="1" thickBot="1">
      <c r="I53" s="16"/>
      <c r="J53" s="5"/>
      <c r="K53" s="5"/>
      <c r="L53" s="5"/>
      <c r="M53" s="5"/>
      <c r="N53" s="5"/>
      <c r="O53" s="5"/>
      <c r="P53" s="5"/>
      <c r="Q53" s="5"/>
      <c r="R53" s="5"/>
      <c r="S53" s="17"/>
    </row>
    <row r="54" spans="9:19" ht="46" thickTop="1"/>
  </sheetData>
  <sheetProtection algorithmName="SHA-512" hashValue="zO27VoFOX7daIvEIkkcjxYiaj8JZrzyxKcUfZXNSrLv/T4BhK6JF5IOf7lwHMTsEwPvrQs9PL3zZDrX4LfoiIg==" saltValue="h9FpzYTgYmeC9AM/vaEJhg==" spinCount="100000" sheet="1" objects="1" scenarios="1"/>
  <mergeCells count="35">
    <mergeCell ref="I5:I52"/>
    <mergeCell ref="S5:S52"/>
    <mergeCell ref="K12:L12"/>
    <mergeCell ref="P12:Q12"/>
    <mergeCell ref="K45:L45"/>
    <mergeCell ref="L46:O46"/>
    <mergeCell ref="K13:L13"/>
    <mergeCell ref="K27:L27"/>
    <mergeCell ref="K7:L7"/>
    <mergeCell ref="AN5:AN25"/>
    <mergeCell ref="AH25:AM25"/>
    <mergeCell ref="AI8:AL8"/>
    <mergeCell ref="AI19:AL19"/>
    <mergeCell ref="AI20:AL20"/>
    <mergeCell ref="AI21:AJ21"/>
    <mergeCell ref="AI22:AJ22"/>
    <mergeCell ref="AK21:AL21"/>
    <mergeCell ref="AK22:AL22"/>
    <mergeCell ref="AI6:AJ6"/>
    <mergeCell ref="AK6:AL6"/>
    <mergeCell ref="AI9:AJ9"/>
    <mergeCell ref="AI10:AJ10"/>
    <mergeCell ref="AK9:AL9"/>
    <mergeCell ref="AK10:AL10"/>
    <mergeCell ref="AI11:AJ11"/>
    <mergeCell ref="AG4:AG25"/>
    <mergeCell ref="P29:Q29"/>
    <mergeCell ref="AK23:AL23"/>
    <mergeCell ref="AI23:AJ23"/>
    <mergeCell ref="AH4:AM4"/>
    <mergeCell ref="AK11:AL11"/>
    <mergeCell ref="AI12:AJ12"/>
    <mergeCell ref="AK12:AL12"/>
    <mergeCell ref="AI16:AJ16"/>
    <mergeCell ref="AK16:AL16"/>
  </mergeCells>
  <dataValidations count="1">
    <dataValidation type="list" allowBlank="1" showInputMessage="1" showErrorMessage="1" sqref="AK11:AL11" xr:uid="{5F25D247-7252-9F4D-ADFA-DC866AFFB186}">
      <formula1>$AT$10:$AT$16</formula1>
    </dataValidation>
  </dataValidations>
  <hyperlinks>
    <hyperlink ref="Q30" r:id="rId1" xr:uid="{35516B4E-FF99-9446-AED7-1B37AC4C291D}"/>
    <hyperlink ref="Q31" r:id="rId2" xr:uid="{DA65AE38-F08D-204A-8BAA-EB052BE82A8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WORTH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2024-07-18T08:42:11Z</dcterms:created>
  <dcterms:modified xsi:type="dcterms:W3CDTF">2024-07-20T12:34:04Z</dcterms:modified>
</cp:coreProperties>
</file>