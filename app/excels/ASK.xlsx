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isebashanaik/Desktop/"/>
    </mc:Choice>
  </mc:AlternateContent>
  <xr:revisionPtr revIDLastSave="0" documentId="13_ncr:1_{CE54D38E-132B-5349-9F7E-CA30BA284711}" xr6:coauthVersionLast="47" xr6:coauthVersionMax="47" xr10:uidLastSave="{00000000-0000-0000-0000-000000000000}"/>
  <bookViews>
    <workbookView xWindow="40" yWindow="760" windowWidth="34520" windowHeight="19880" xr2:uid="{59FD12AB-B300-6A4B-BE0A-A77AFDF767F1}"/>
  </bookViews>
  <sheets>
    <sheet name="Sheet1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" i="6" l="1"/>
  <c r="J5" i="6"/>
  <c r="J6" i="6" s="1"/>
  <c r="J7" i="6" s="1"/>
  <c r="J8" i="6" s="1"/>
  <c r="J9" i="6" s="1"/>
  <c r="J10" i="6" s="1"/>
  <c r="J11" i="6" s="1"/>
  <c r="J12" i="6" s="1"/>
  <c r="J13" i="6" s="1"/>
  <c r="J14" i="6" s="1"/>
  <c r="J15" i="6" s="1"/>
  <c r="J16" i="6" s="1"/>
  <c r="J17" i="6" s="1"/>
  <c r="J18" i="6" s="1"/>
  <c r="J19" i="6" s="1"/>
  <c r="J20" i="6" s="1"/>
  <c r="J21" i="6" s="1"/>
  <c r="J22" i="6" s="1"/>
  <c r="J23" i="6" s="1"/>
  <c r="J24" i="6" s="1"/>
  <c r="J25" i="6" s="1"/>
  <c r="J26" i="6" s="1"/>
  <c r="J27" i="6" s="1"/>
  <c r="J28" i="6" s="1"/>
  <c r="J29" i="6" s="1"/>
  <c r="D23" i="6"/>
  <c r="K5" i="6" s="1"/>
  <c r="D15" i="6"/>
  <c r="D36" i="6"/>
  <c r="D39" i="6"/>
  <c r="D32" i="6"/>
  <c r="D35" i="6" s="1"/>
  <c r="D29" i="6"/>
  <c r="D40" i="6" l="1"/>
  <c r="L6" i="6"/>
  <c r="L7" i="6" s="1"/>
  <c r="L8" i="6" s="1"/>
  <c r="L9" i="6" s="1"/>
  <c r="L10" i="6" s="1"/>
  <c r="M5" i="6"/>
  <c r="K6" i="6" s="1"/>
  <c r="M6" i="6" l="1"/>
  <c r="K7" i="6" s="1"/>
  <c r="M7" i="6" s="1"/>
  <c r="K8" i="6" s="1"/>
  <c r="M8" i="6" s="1"/>
  <c r="K9" i="6" s="1"/>
  <c r="M9" i="6" s="1"/>
  <c r="K10" i="6" s="1"/>
  <c r="M10" i="6" s="1"/>
  <c r="K11" i="6" s="1"/>
  <c r="L11" i="6"/>
  <c r="L12" i="6" s="1"/>
  <c r="M11" i="6" l="1"/>
  <c r="K12" i="6" s="1"/>
  <c r="M12" i="6" s="1"/>
  <c r="K13" i="6" s="1"/>
  <c r="L13" i="6"/>
  <c r="M13" i="6" l="1"/>
  <c r="K14" i="6" s="1"/>
  <c r="L14" i="6"/>
  <c r="M14" i="6" l="1"/>
  <c r="K15" i="6" s="1"/>
  <c r="L15" i="6"/>
  <c r="L16" i="6" l="1"/>
  <c r="L17" i="6" s="1"/>
  <c r="M15" i="6"/>
  <c r="K16" i="6" s="1"/>
  <c r="M16" i="6" l="1"/>
  <c r="K17" i="6" s="1"/>
  <c r="L18" i="6" l="1"/>
  <c r="M17" i="6"/>
  <c r="K18" i="6" s="1"/>
  <c r="M18" i="6" l="1"/>
  <c r="K19" i="6" s="1"/>
  <c r="L19" i="6"/>
  <c r="M19" i="6" l="1"/>
  <c r="K20" i="6" s="1"/>
  <c r="L20" i="6"/>
  <c r="M20" i="6" l="1"/>
  <c r="K21" i="6" s="1"/>
  <c r="L21" i="6"/>
  <c r="L22" i="6" l="1"/>
  <c r="M21" i="6"/>
  <c r="K22" i="6" s="1"/>
  <c r="M22" i="6" l="1"/>
  <c r="K23" i="6" s="1"/>
  <c r="L23" i="6"/>
  <c r="M23" i="6" l="1"/>
  <c r="K24" i="6" s="1"/>
  <c r="L24" i="6"/>
  <c r="M24" i="6" l="1"/>
  <c r="K25" i="6" s="1"/>
  <c r="L25" i="6"/>
  <c r="L26" i="6" l="1"/>
  <c r="M25" i="6"/>
  <c r="K26" i="6" s="1"/>
  <c r="M26" i="6" l="1"/>
  <c r="K27" i="6" s="1"/>
  <c r="L27" i="6"/>
  <c r="L28" i="6" l="1"/>
  <c r="M27" i="6"/>
  <c r="K28" i="6" s="1"/>
  <c r="M28" i="6" l="1"/>
  <c r="K29" i="6" s="1"/>
  <c r="L29" i="6"/>
  <c r="M29" i="6" l="1"/>
</calcChain>
</file>

<file path=xl/sharedStrings.xml><?xml version="1.0" encoding="utf-8"?>
<sst xmlns="http://schemas.openxmlformats.org/spreadsheetml/2006/main" count="47" uniqueCount="39">
  <si>
    <t>AGE</t>
  </si>
  <si>
    <t>EXPECTED RETURN</t>
  </si>
  <si>
    <t>END VALUE</t>
  </si>
  <si>
    <t>EMI</t>
  </si>
  <si>
    <t>SSY</t>
  </si>
  <si>
    <t>DAUGHTER 1</t>
  </si>
  <si>
    <t>DAUGHTER 2</t>
  </si>
  <si>
    <t>NAME</t>
  </si>
  <si>
    <t>RETIREMENT AGE</t>
  </si>
  <si>
    <t>TERM IN YEARS</t>
  </si>
  <si>
    <t>HOME LOAN</t>
  </si>
  <si>
    <t>FROM 2023</t>
  </si>
  <si>
    <t>HOUSEHOLD EXPENSES</t>
  </si>
  <si>
    <t>SCHOOL FEES</t>
  </si>
  <si>
    <t>MF SIPs</t>
  </si>
  <si>
    <t>FOR BOTH</t>
  </si>
  <si>
    <t>TYPE OF LOAN</t>
  </si>
  <si>
    <t>TENURE</t>
  </si>
  <si>
    <t>SSY CORPUS CALCULATION</t>
  </si>
  <si>
    <t>MONTHLY</t>
  </si>
  <si>
    <t>END CORPUS</t>
  </si>
  <si>
    <t>SSY+SIP CORPUS CALCULATION</t>
  </si>
  <si>
    <t>END CORPUS SSY</t>
  </si>
  <si>
    <t>END CORPUS OF SIP</t>
  </si>
  <si>
    <t>TOTAL END VALUE</t>
  </si>
  <si>
    <t>BEGIN VALUE</t>
  </si>
  <si>
    <t>SIP INVESTMENT</t>
  </si>
  <si>
    <t>TOTAL LEFTOUT</t>
  </si>
  <si>
    <t>MONTHLY INCOME</t>
  </si>
  <si>
    <t>PLANNED SIP ADDITION</t>
  </si>
  <si>
    <t>CURRNET PORTFOLIO VALUE</t>
  </si>
  <si>
    <t>MUTUAL FUNDS</t>
  </si>
  <si>
    <t>STOCKS</t>
  </si>
  <si>
    <t>TOTAL VALUE</t>
  </si>
  <si>
    <t>SIP GROWTH RATE</t>
  </si>
  <si>
    <t>LEFTOUT POST SIP ADDITION</t>
  </si>
  <si>
    <t>LOAN AMOUNT</t>
  </si>
  <si>
    <t>15 YEARS</t>
  </si>
  <si>
    <t>Mr. ABC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</si>
</sst>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₹&quot;#,##0.00_);[Red]\(&quot;₹&quot;#,##0.00\)"/>
    <numFmt numFmtId="164" formatCode="&quot;₹&quot;#,##0.00"/>
  </numFmts>
  <fonts count="4" x14ac:knownFonts="1">
    <font>
      <sz val="12"/>
      <color theme="1"/>
      <name val="Aptos Narrow"/>
      <family val="2"/>
      <scheme val="minor"/>
    </font>
    <font>
      <sz val="36"/>
      <color theme="1"/>
      <name val="Aptos Narrow"/>
      <family val="2"/>
      <scheme val="minor"/>
    </font>
    <font>
      <sz val="36"/>
      <color theme="0"/>
      <name val="Aptos Narrow"/>
      <family val="2"/>
      <scheme val="minor"/>
    </font>
    <font>
      <b/>
      <sz val="36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54E19"/>
        <bgColor indexed="64"/>
      </patternFill>
    </fill>
  </fills>
  <borders count="5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1" fillId="0" borderId="1" xfId="0" applyFont="1" applyBorder="1"/>
    <xf numFmtId="164" fontId="1" fillId="0" borderId="1" xfId="0" applyNumberFormat="1" applyFont="1" applyBorder="1"/>
    <xf numFmtId="0" fontId="1" fillId="0" borderId="1" xfId="0" applyFont="1" applyBorder="1" applyAlignment="1">
      <alignment horizontal="center"/>
    </xf>
    <xf numFmtId="8" fontId="1" fillId="0" borderId="1" xfId="0" applyNumberFormat="1" applyFont="1" applyBorder="1"/>
    <xf numFmtId="10" fontId="1" fillId="0" borderId="1" xfId="0" applyNumberFormat="1" applyFont="1" applyBorder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9" fontId="1" fillId="0" borderId="1" xfId="0" applyNumberFormat="1" applyFont="1" applyBorder="1" applyAlignment="1">
      <alignment horizontal="center"/>
    </xf>
    <xf numFmtId="0" fontId="2" fillId="2" borderId="1" xfId="0" applyFont="1" applyFill="1" applyBorder="1"/>
    <xf numFmtId="2" fontId="1" fillId="0" borderId="1" xfId="0" applyNumberFormat="1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4" xfId="0" applyFont="1" applyBorder="1"/>
    <xf numFmtId="0" fontId="1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8" fontId="1" fillId="0" borderId="1" xfId="0" applyNumberFormat="1" applyFont="1" applyBorder="1" applyProtection="1">
      <protection hidden="1"/>
    </xf>
    <xf numFmtId="164" fontId="1" fillId="0" borderId="1" xfId="0" applyNumberFormat="1" applyFont="1" applyBorder="1" applyAlignment="1" applyProtection="1">
      <alignment horizontal="center"/>
      <protection hidden="1"/>
    </xf>
    <xf numFmtId="8" fontId="1" fillId="0" borderId="1" xfId="0" applyNumberFormat="1" applyFont="1" applyBorder="1" applyAlignment="1" applyProtection="1">
      <alignment horizontal="center"/>
      <protection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754E1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19362-F644-EB44-AF3A-9ADAE72C7B7B}">
  <dimension ref="C1:M41"/>
  <sheetViews>
    <sheetView showGridLines="0" tabSelected="1" zoomScale="63" workbookViewId="0">
      <selection activeCell="G20" sqref="G20"/>
    </sheetView>
  </sheetViews>
  <sheetFormatPr baseColWidth="10" defaultRowHeight="47" x14ac:dyDescent="0.55000000000000004"/>
  <cols>
    <col min="1" max="2" width="10.83203125" style="1"/>
    <col min="3" max="3" width="83" style="1" bestFit="1" customWidth="1"/>
    <col min="4" max="4" width="41.83203125" style="1" bestFit="1" customWidth="1"/>
    <col min="5" max="5" width="30.83203125" style="1" bestFit="1" customWidth="1"/>
    <col min="6" max="6" width="30.1640625" style="1" customWidth="1"/>
    <col min="7" max="7" width="30.33203125" style="1" bestFit="1" customWidth="1"/>
    <col min="8" max="9" width="10.83203125" style="1"/>
    <col min="10" max="10" width="48" style="1" bestFit="1" customWidth="1"/>
    <col min="11" max="11" width="47.6640625" style="1" bestFit="1" customWidth="1"/>
    <col min="12" max="12" width="49.83203125" style="1" bestFit="1" customWidth="1"/>
    <col min="13" max="13" width="52.33203125" style="1" customWidth="1"/>
    <col min="14" max="16384" width="10.83203125" style="1"/>
  </cols>
  <sheetData>
    <row r="1" spans="3:13" ht="48" thickBot="1" x14ac:dyDescent="0.6"/>
    <row r="2" spans="3:13" ht="49" thickTop="1" thickBot="1" x14ac:dyDescent="0.6">
      <c r="C2" s="2" t="s">
        <v>7</v>
      </c>
      <c r="D2" s="2" t="s">
        <v>38</v>
      </c>
      <c r="J2" s="8" t="s">
        <v>8</v>
      </c>
      <c r="K2" s="4">
        <v>60</v>
      </c>
    </row>
    <row r="3" spans="3:13" ht="49" thickTop="1" thickBot="1" x14ac:dyDescent="0.6">
      <c r="C3" s="2" t="s">
        <v>0</v>
      </c>
      <c r="D3" s="2">
        <v>35</v>
      </c>
      <c r="J3" s="7" t="s">
        <v>34</v>
      </c>
      <c r="K3" s="9">
        <v>0.05</v>
      </c>
      <c r="L3" s="7" t="s">
        <v>1</v>
      </c>
      <c r="M3" s="9">
        <v>0.12</v>
      </c>
    </row>
    <row r="4" spans="3:13" ht="49" thickTop="1" thickBot="1" x14ac:dyDescent="0.6">
      <c r="C4" s="2" t="s">
        <v>5</v>
      </c>
      <c r="D4" s="2">
        <v>5</v>
      </c>
      <c r="J4" s="7" t="s">
        <v>0</v>
      </c>
      <c r="K4" s="7" t="s">
        <v>25</v>
      </c>
      <c r="L4" s="7" t="s">
        <v>26</v>
      </c>
      <c r="M4" s="7" t="s">
        <v>2</v>
      </c>
    </row>
    <row r="5" spans="3:13" ht="49" thickTop="1" thickBot="1" x14ac:dyDescent="0.6">
      <c r="C5" s="2" t="s">
        <v>6</v>
      </c>
      <c r="D5" s="2">
        <v>2</v>
      </c>
      <c r="J5" s="4">
        <f>D3+1</f>
        <v>36</v>
      </c>
      <c r="K5" s="19">
        <f>D23</f>
        <v>690000</v>
      </c>
      <c r="L5" s="19">
        <f>D14+D16+D17</f>
        <v>25000</v>
      </c>
      <c r="M5" s="20">
        <f>FV(NOMINAL($M$3,12)/12,12,-L5,-K5,1)</f>
        <v>1091962.4477088319</v>
      </c>
    </row>
    <row r="6" spans="3:13" ht="49" thickTop="1" thickBot="1" x14ac:dyDescent="0.6">
      <c r="C6" s="2" t="s">
        <v>28</v>
      </c>
      <c r="D6" s="3">
        <v>140000</v>
      </c>
      <c r="J6" s="4">
        <f>IF(J5+1&lt;=$K$2,J5+1, "NA")</f>
        <v>37</v>
      </c>
      <c r="K6" s="20">
        <f>IF(J6= "NA",0,M5)</f>
        <v>1091962.4477088319</v>
      </c>
      <c r="L6" s="19">
        <f>IF(J6= "NA",0,L5*(1+$K$3))</f>
        <v>26250</v>
      </c>
      <c r="M6" s="20">
        <f>IF(J6= "NA",0,FV(NOMINAL($M$3,12)/12,12,-L6,-K6,1))</f>
        <v>1558118.5115281658</v>
      </c>
    </row>
    <row r="7" spans="3:13" ht="49" thickTop="1" thickBot="1" x14ac:dyDescent="0.6">
      <c r="J7" s="4">
        <f t="shared" ref="J7:J29" si="0">IF(J6+1&lt;=$K$2,J6+1, "NA")</f>
        <v>38</v>
      </c>
      <c r="K7" s="20">
        <f t="shared" ref="K7:K29" si="1">IF(J7= "NA",0,M6)</f>
        <v>1558118.5115281658</v>
      </c>
      <c r="L7" s="19">
        <f t="shared" ref="L7:L29" si="2">IF(J7= "NA",0,L6*(1+$K$3))</f>
        <v>27562.5</v>
      </c>
      <c r="M7" s="20">
        <f t="shared" ref="M7:M29" si="3">IF(J7= "NA",0,FV(NOMINAL($M$3,12)/12,12,-L7,-K7,1))</f>
        <v>2096969.331510534</v>
      </c>
    </row>
    <row r="8" spans="3:13" ht="49" thickTop="1" thickBot="1" x14ac:dyDescent="0.6">
      <c r="C8" s="2" t="s">
        <v>16</v>
      </c>
      <c r="D8" s="4" t="s">
        <v>36</v>
      </c>
      <c r="E8" s="4" t="s">
        <v>3</v>
      </c>
      <c r="F8" s="4" t="s">
        <v>17</v>
      </c>
      <c r="G8" s="12"/>
      <c r="J8" s="4">
        <f t="shared" si="0"/>
        <v>39</v>
      </c>
      <c r="K8" s="20">
        <f t="shared" si="1"/>
        <v>2096969.331510534</v>
      </c>
      <c r="L8" s="19">
        <f t="shared" si="2"/>
        <v>28940.625</v>
      </c>
      <c r="M8" s="20">
        <f t="shared" si="3"/>
        <v>2718076.0798207363</v>
      </c>
    </row>
    <row r="9" spans="3:13" ht="49" thickTop="1" thickBot="1" x14ac:dyDescent="0.6">
      <c r="C9" s="2" t="s">
        <v>10</v>
      </c>
      <c r="D9" s="3">
        <v>6000000</v>
      </c>
      <c r="E9" s="3">
        <v>60000</v>
      </c>
      <c r="F9" s="11" t="s">
        <v>37</v>
      </c>
      <c r="G9" s="13" t="s">
        <v>11</v>
      </c>
      <c r="J9" s="4">
        <f t="shared" si="0"/>
        <v>40</v>
      </c>
      <c r="K9" s="20">
        <f t="shared" si="1"/>
        <v>2718076.0798207363</v>
      </c>
      <c r="L9" s="19">
        <f t="shared" si="2"/>
        <v>30387.65625</v>
      </c>
      <c r="M9" s="20">
        <f t="shared" si="3"/>
        <v>3432189.1593546104</v>
      </c>
    </row>
    <row r="10" spans="3:13" ht="49" thickTop="1" thickBot="1" x14ac:dyDescent="0.6">
      <c r="J10" s="4">
        <f t="shared" si="0"/>
        <v>41</v>
      </c>
      <c r="K10" s="20">
        <f t="shared" si="1"/>
        <v>3432189.1593546104</v>
      </c>
      <c r="L10" s="19">
        <f t="shared" si="2"/>
        <v>31907.0390625</v>
      </c>
      <c r="M10" s="20">
        <f t="shared" si="3"/>
        <v>4251393.0059303204</v>
      </c>
    </row>
    <row r="11" spans="3:13" ht="49" thickTop="1" thickBot="1" x14ac:dyDescent="0.6">
      <c r="C11" s="2" t="s">
        <v>12</v>
      </c>
      <c r="D11" s="3">
        <v>25000</v>
      </c>
      <c r="J11" s="4">
        <f t="shared" si="0"/>
        <v>42</v>
      </c>
      <c r="K11" s="20">
        <f t="shared" si="1"/>
        <v>4251393.0059303204</v>
      </c>
      <c r="L11" s="19">
        <f t="shared" si="2"/>
        <v>33502.391015624999</v>
      </c>
      <c r="M11" s="20">
        <f t="shared" si="3"/>
        <v>5189268.3714677729</v>
      </c>
    </row>
    <row r="12" spans="3:13" ht="49" thickTop="1" thickBot="1" x14ac:dyDescent="0.6">
      <c r="C12" s="2" t="s">
        <v>4</v>
      </c>
      <c r="D12" s="3">
        <v>25000</v>
      </c>
      <c r="E12" s="1" t="s">
        <v>15</v>
      </c>
      <c r="J12" s="4">
        <f t="shared" si="0"/>
        <v>43</v>
      </c>
      <c r="K12" s="20">
        <f t="shared" si="1"/>
        <v>5189268.3714677729</v>
      </c>
      <c r="L12" s="19">
        <f t="shared" si="2"/>
        <v>35177.51056640625</v>
      </c>
      <c r="M12" s="20">
        <f t="shared" si="3"/>
        <v>6261074.1911110124</v>
      </c>
    </row>
    <row r="13" spans="3:13" ht="49" thickTop="1" thickBot="1" x14ac:dyDescent="0.6">
      <c r="C13" s="2" t="s">
        <v>13</v>
      </c>
      <c r="D13" s="3">
        <v>5000</v>
      </c>
      <c r="J13" s="4">
        <f t="shared" si="0"/>
        <v>44</v>
      </c>
      <c r="K13" s="20">
        <f t="shared" si="1"/>
        <v>6261074.1911110124</v>
      </c>
      <c r="L13" s="19">
        <f t="shared" si="2"/>
        <v>36936.386094726564</v>
      </c>
      <c r="M13" s="20">
        <f t="shared" si="3"/>
        <v>7483951.3898647968</v>
      </c>
    </row>
    <row r="14" spans="3:13" ht="49" thickTop="1" thickBot="1" x14ac:dyDescent="0.6">
      <c r="C14" s="2" t="s">
        <v>14</v>
      </c>
      <c r="D14" s="3">
        <v>10000</v>
      </c>
      <c r="J14" s="4">
        <f t="shared" si="0"/>
        <v>45</v>
      </c>
      <c r="K14" s="20">
        <f t="shared" si="1"/>
        <v>7483951.3898647968</v>
      </c>
      <c r="L14" s="19">
        <f t="shared" si="2"/>
        <v>38783.205399462895</v>
      </c>
      <c r="M14" s="20">
        <f t="shared" si="3"/>
        <v>8877151.2672600597</v>
      </c>
    </row>
    <row r="15" spans="3:13" ht="49" thickTop="1" thickBot="1" x14ac:dyDescent="0.6">
      <c r="C15" s="2" t="s">
        <v>27</v>
      </c>
      <c r="D15" s="3">
        <f>D6-(E9+D11+D12+D13+D14)</f>
        <v>15000</v>
      </c>
      <c r="J15" s="4">
        <f t="shared" si="0"/>
        <v>46</v>
      </c>
      <c r="K15" s="20">
        <f t="shared" si="1"/>
        <v>8877151.2672600597</v>
      </c>
      <c r="L15" s="19">
        <f t="shared" si="2"/>
        <v>40722.36566943604</v>
      </c>
      <c r="M15" s="20">
        <f t="shared" si="3"/>
        <v>10462291.415473331</v>
      </c>
    </row>
    <row r="16" spans="3:13" ht="49" thickTop="1" thickBot="1" x14ac:dyDescent="0.6">
      <c r="C16" s="2" t="s">
        <v>29</v>
      </c>
      <c r="D16" s="3">
        <v>10000</v>
      </c>
      <c r="J16" s="4">
        <f t="shared" si="0"/>
        <v>47</v>
      </c>
      <c r="K16" s="20">
        <f t="shared" si="1"/>
        <v>10462291.415473331</v>
      </c>
      <c r="L16" s="19">
        <f t="shared" si="2"/>
        <v>42758.483952907845</v>
      </c>
      <c r="M16" s="20">
        <f t="shared" si="3"/>
        <v>12263642.481279299</v>
      </c>
    </row>
    <row r="17" spans="3:13" ht="49" thickTop="1" thickBot="1" x14ac:dyDescent="0.6">
      <c r="C17" s="2" t="s">
        <v>35</v>
      </c>
      <c r="D17" s="3">
        <v>5000</v>
      </c>
      <c r="I17" s="14"/>
      <c r="J17" s="4">
        <f t="shared" si="0"/>
        <v>48</v>
      </c>
      <c r="K17" s="20">
        <f t="shared" si="1"/>
        <v>12263642.481279299</v>
      </c>
      <c r="L17" s="19">
        <f>IF(J17= "NA",0,L16*(1+$K$3))+E9</f>
        <v>104896.40815055324</v>
      </c>
      <c r="M17" s="20">
        <f t="shared" si="3"/>
        <v>15074439.354280638</v>
      </c>
    </row>
    <row r="18" spans="3:13" ht="49" thickTop="1" thickBot="1" x14ac:dyDescent="0.6">
      <c r="J18" s="4">
        <f t="shared" si="0"/>
        <v>49</v>
      </c>
      <c r="K18" s="20">
        <f t="shared" si="1"/>
        <v>15074439.354280638</v>
      </c>
      <c r="L18" s="19">
        <f t="shared" si="2"/>
        <v>110141.22855808091</v>
      </c>
      <c r="M18" s="20">
        <f t="shared" si="3"/>
        <v>18289489.840804532</v>
      </c>
    </row>
    <row r="19" spans="3:13" ht="49" thickTop="1" thickBot="1" x14ac:dyDescent="0.6">
      <c r="J19" s="4">
        <f t="shared" si="0"/>
        <v>50</v>
      </c>
      <c r="K19" s="20">
        <f t="shared" si="1"/>
        <v>18289489.840804532</v>
      </c>
      <c r="L19" s="19">
        <f t="shared" si="2"/>
        <v>115648.28998598496</v>
      </c>
      <c r="M19" s="20">
        <f t="shared" si="3"/>
        <v>21960652.273911808</v>
      </c>
    </row>
    <row r="20" spans="3:13" ht="49" thickTop="1" thickBot="1" x14ac:dyDescent="0.6">
      <c r="C20" s="15" t="s">
        <v>30</v>
      </c>
      <c r="D20" s="15"/>
      <c r="J20" s="4">
        <f>IF(J19+1&lt;=$K$2,J19+1, "NA")</f>
        <v>51</v>
      </c>
      <c r="K20" s="20">
        <f t="shared" si="1"/>
        <v>21960652.273911808</v>
      </c>
      <c r="L20" s="19">
        <f t="shared" si="2"/>
        <v>121430.70448528421</v>
      </c>
      <c r="M20" s="20">
        <f t="shared" si="3"/>
        <v>26146175.381602496</v>
      </c>
    </row>
    <row r="21" spans="3:13" ht="49" thickTop="1" thickBot="1" x14ac:dyDescent="0.6">
      <c r="C21" s="2" t="s">
        <v>31</v>
      </c>
      <c r="D21" s="3">
        <v>260000</v>
      </c>
      <c r="J21" s="4">
        <f t="shared" si="0"/>
        <v>52</v>
      </c>
      <c r="K21" s="20">
        <f t="shared" si="1"/>
        <v>26146175.381602496</v>
      </c>
      <c r="L21" s="19">
        <f t="shared" si="2"/>
        <v>127502.23970954842</v>
      </c>
      <c r="M21" s="20">
        <f t="shared" si="3"/>
        <v>30911473.503957137</v>
      </c>
    </row>
    <row r="22" spans="3:13" ht="49" thickTop="1" thickBot="1" x14ac:dyDescent="0.6">
      <c r="C22" s="2" t="s">
        <v>32</v>
      </c>
      <c r="D22" s="3">
        <v>430000</v>
      </c>
      <c r="J22" s="4">
        <f t="shared" si="0"/>
        <v>53</v>
      </c>
      <c r="K22" s="20">
        <f t="shared" si="1"/>
        <v>30911473.503957137</v>
      </c>
      <c r="L22" s="19">
        <f t="shared" si="2"/>
        <v>133877.35169502583</v>
      </c>
      <c r="M22" s="20">
        <f t="shared" si="3"/>
        <v>36329995.254822455</v>
      </c>
    </row>
    <row r="23" spans="3:13" ht="49" thickTop="1" thickBot="1" x14ac:dyDescent="0.6">
      <c r="C23" s="2" t="s">
        <v>33</v>
      </c>
      <c r="D23" s="3">
        <f>D21+D22</f>
        <v>690000</v>
      </c>
      <c r="J23" s="4">
        <f t="shared" si="0"/>
        <v>54</v>
      </c>
      <c r="K23" s="20">
        <f t="shared" si="1"/>
        <v>36329995.254822455</v>
      </c>
      <c r="L23" s="19">
        <f t="shared" si="2"/>
        <v>140571.21927977714</v>
      </c>
      <c r="M23" s="20">
        <f t="shared" si="3"/>
        <v>42484196.86231114</v>
      </c>
    </row>
    <row r="24" spans="3:13" ht="49" thickTop="1" thickBot="1" x14ac:dyDescent="0.6">
      <c r="J24" s="4">
        <f t="shared" si="0"/>
        <v>55</v>
      </c>
      <c r="K24" s="20">
        <f t="shared" si="1"/>
        <v>42484196.86231114</v>
      </c>
      <c r="L24" s="19">
        <f t="shared" si="2"/>
        <v>147599.780243766</v>
      </c>
      <c r="M24" s="20">
        <f t="shared" si="3"/>
        <v>49466632.771543972</v>
      </c>
    </row>
    <row r="25" spans="3:13" ht="49" thickTop="1" thickBot="1" x14ac:dyDescent="0.6">
      <c r="C25" s="16" t="s">
        <v>18</v>
      </c>
      <c r="D25" s="17"/>
      <c r="J25" s="4">
        <f t="shared" si="0"/>
        <v>56</v>
      </c>
      <c r="K25" s="20">
        <f t="shared" si="1"/>
        <v>49466632.771543972</v>
      </c>
      <c r="L25" s="19">
        <f t="shared" si="2"/>
        <v>154979.76925595431</v>
      </c>
      <c r="M25" s="20">
        <f t="shared" si="3"/>
        <v>57381177.604172528</v>
      </c>
    </row>
    <row r="26" spans="3:13" ht="49" thickTop="1" thickBot="1" x14ac:dyDescent="0.6">
      <c r="C26" s="2" t="s">
        <v>19</v>
      </c>
      <c r="D26" s="3">
        <v>12500</v>
      </c>
      <c r="J26" s="4">
        <f t="shared" si="0"/>
        <v>57</v>
      </c>
      <c r="K26" s="20">
        <f t="shared" si="1"/>
        <v>57381177.604172528</v>
      </c>
      <c r="L26" s="19">
        <f t="shared" si="2"/>
        <v>162728.75771875202</v>
      </c>
      <c r="M26" s="20">
        <f t="shared" si="3"/>
        <v>66344395.261718675</v>
      </c>
    </row>
    <row r="27" spans="3:13" ht="49" thickTop="1" thickBot="1" x14ac:dyDescent="0.6">
      <c r="C27" s="2" t="s">
        <v>9</v>
      </c>
      <c r="D27" s="2">
        <v>18</v>
      </c>
      <c r="J27" s="4">
        <f t="shared" si="0"/>
        <v>58</v>
      </c>
      <c r="K27" s="20">
        <f t="shared" si="1"/>
        <v>66344395.261718675</v>
      </c>
      <c r="L27" s="19">
        <f t="shared" si="2"/>
        <v>170865.19560468962</v>
      </c>
      <c r="M27" s="20">
        <f t="shared" si="3"/>
        <v>76487072.855422646</v>
      </c>
    </row>
    <row r="28" spans="3:13" ht="49" thickTop="1" thickBot="1" x14ac:dyDescent="0.6">
      <c r="C28" s="2" t="s">
        <v>1</v>
      </c>
      <c r="D28" s="6">
        <v>7.4999999999999997E-2</v>
      </c>
      <c r="J28" s="4">
        <f t="shared" si="0"/>
        <v>59</v>
      </c>
      <c r="K28" s="20">
        <f t="shared" si="1"/>
        <v>76487072.855422646</v>
      </c>
      <c r="L28" s="19">
        <f t="shared" si="2"/>
        <v>179408.45538492411</v>
      </c>
      <c r="M28" s="20">
        <f t="shared" si="3"/>
        <v>87955939.268485993</v>
      </c>
    </row>
    <row r="29" spans="3:13" ht="49" thickTop="1" thickBot="1" x14ac:dyDescent="0.6">
      <c r="C29" s="2" t="s">
        <v>20</v>
      </c>
      <c r="D29" s="18">
        <f>FV(NOMINAL(D28,4)/12,D27*12,-D26,0,1)</f>
        <v>5593291.5141298408</v>
      </c>
      <c r="J29" s="4">
        <f t="shared" si="0"/>
        <v>60</v>
      </c>
      <c r="K29" s="20">
        <f t="shared" si="1"/>
        <v>87955939.268485993</v>
      </c>
      <c r="L29" s="19">
        <f t="shared" si="2"/>
        <v>188378.87815417032</v>
      </c>
      <c r="M29" s="20">
        <f t="shared" si="3"/>
        <v>100915590.53463759</v>
      </c>
    </row>
    <row r="30" spans="3:13" ht="49" thickTop="1" thickBot="1" x14ac:dyDescent="0.6"/>
    <row r="31" spans="3:13" ht="49" thickTop="1" thickBot="1" x14ac:dyDescent="0.6">
      <c r="C31" s="16" t="s">
        <v>21</v>
      </c>
      <c r="D31" s="17"/>
    </row>
    <row r="32" spans="3:13" ht="49" thickTop="1" thickBot="1" x14ac:dyDescent="0.6">
      <c r="C32" s="2" t="s">
        <v>19</v>
      </c>
      <c r="D32" s="3">
        <f>D26/2</f>
        <v>6250</v>
      </c>
    </row>
    <row r="33" spans="3:4" ht="49" thickTop="1" thickBot="1" x14ac:dyDescent="0.6">
      <c r="C33" s="2" t="s">
        <v>9</v>
      </c>
      <c r="D33" s="2">
        <v>18</v>
      </c>
    </row>
    <row r="34" spans="3:4" ht="49" thickTop="1" thickBot="1" x14ac:dyDescent="0.6">
      <c r="C34" s="2" t="s">
        <v>1</v>
      </c>
      <c r="D34" s="6">
        <v>7.4999999999999997E-2</v>
      </c>
    </row>
    <row r="35" spans="3:4" ht="49" thickTop="1" thickBot="1" x14ac:dyDescent="0.6">
      <c r="C35" s="10" t="s">
        <v>22</v>
      </c>
      <c r="D35" s="18">
        <f>FV(NOMINAL(D34,4)/12,D33*12,-D32,0,1)</f>
        <v>2796645.7570649204</v>
      </c>
    </row>
    <row r="36" spans="3:4" ht="49" thickTop="1" thickBot="1" x14ac:dyDescent="0.6">
      <c r="C36" s="2" t="s">
        <v>19</v>
      </c>
      <c r="D36" s="3">
        <f>D26/2</f>
        <v>6250</v>
      </c>
    </row>
    <row r="37" spans="3:4" ht="49" thickTop="1" thickBot="1" x14ac:dyDescent="0.6">
      <c r="C37" s="2" t="s">
        <v>9</v>
      </c>
      <c r="D37" s="2">
        <v>18</v>
      </c>
    </row>
    <row r="38" spans="3:4" ht="49" thickTop="1" thickBot="1" x14ac:dyDescent="0.6">
      <c r="C38" s="2" t="s">
        <v>1</v>
      </c>
      <c r="D38" s="6">
        <v>0.12</v>
      </c>
    </row>
    <row r="39" spans="3:4" ht="49" thickTop="1" thickBot="1" x14ac:dyDescent="0.6">
      <c r="C39" s="10" t="s">
        <v>23</v>
      </c>
      <c r="D39" s="18">
        <f>FV(NOMINAL(D38,4)/12,D37*12,-D36,0,1)</f>
        <v>4505598.4955551792</v>
      </c>
    </row>
    <row r="40" spans="3:4" ht="49" thickTop="1" thickBot="1" x14ac:dyDescent="0.6">
      <c r="C40" s="2" t="s">
        <v>24</v>
      </c>
      <c r="D40" s="5">
        <f>D35+D39</f>
        <v>7302244.2526200991</v>
      </c>
    </row>
    <row r="41" spans="3:4" ht="48" thickTop="1" x14ac:dyDescent="0.55000000000000004"/>
  </sheetData>
  <sheetProtection algorithmName="SHA-512" hashValue="+GCtQtsSxX4XSxhmmyPuRzl/aG+qX6IdSxNWxzJCX5jMPPXningJM9U1jsNk7uNrJatglsS0xcRaBGvQYmO52A==" saltValue="1RsV7UGGKmna0jI/3cM7sA==" spinCount="100000" sheet="1" objects="1" scenarios="1"/>
  <mergeCells count="3">
    <mergeCell ref="C20:D20"/>
    <mergeCell ref="C25:D25"/>
    <mergeCell ref="C31:D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Raise Basha Naik</dc:creator>
  <cp:lastModifiedBy>Raise Basha Naik</cp:lastModifiedBy>
  <dcterms:created xsi:type="dcterms:W3CDTF">2025-06-05T12:12:45Z</dcterms:created>
  <dcterms:modified xsi:type="dcterms:W3CDTF">2025-07-19T09:31:39Z</dcterms:modified>
</cp:coreProperties>
</file>