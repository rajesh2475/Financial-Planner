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7085FCD3-3783-3B4D-BABA-C39ADA8AECA0}" xr6:coauthVersionLast="47" xr6:coauthVersionMax="47" xr10:uidLastSave="{00000000-0000-0000-0000-000000000000}"/>
  <bookViews>
    <workbookView xWindow="80" yWindow="660" windowWidth="34480" windowHeight="19680" xr2:uid="{B1B84AA6-28B0-0E49-8C1B-1EC61A93D8C6}"/>
  </bookViews>
  <sheets>
    <sheet name="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9" i="1" l="1"/>
  <c r="Q9" i="1" s="1"/>
  <c r="Q8" i="1"/>
  <c r="O8" i="1"/>
  <c r="K8" i="1"/>
  <c r="L8" i="1" s="1"/>
  <c r="J8" i="1"/>
  <c r="I8" i="1"/>
  <c r="I9" i="1" s="1"/>
  <c r="P7" i="1"/>
  <c r="R7" i="1" s="1"/>
  <c r="O7" i="1"/>
  <c r="L6" i="1"/>
  <c r="J9" i="1" l="1"/>
  <c r="I10" i="1"/>
  <c r="K9" i="1"/>
  <c r="L9" i="1" s="1"/>
  <c r="P8" i="1"/>
  <c r="R8" i="1"/>
  <c r="O10" i="1"/>
  <c r="P9" i="1"/>
  <c r="R9" i="1" s="1"/>
  <c r="O11" i="1" l="1"/>
  <c r="P10" i="1"/>
  <c r="Q10" i="1"/>
  <c r="K10" i="1"/>
  <c r="I11" i="1"/>
  <c r="J10" i="1"/>
  <c r="R10" i="1" l="1"/>
  <c r="I12" i="1"/>
  <c r="K11" i="1"/>
  <c r="L10" i="1"/>
  <c r="P11" i="1"/>
  <c r="O12" i="1"/>
  <c r="Q11" i="1"/>
  <c r="R11" i="1" s="1"/>
  <c r="Q12" i="1" l="1"/>
  <c r="O13" i="1"/>
  <c r="P12" i="1"/>
  <c r="K12" i="1"/>
  <c r="I13" i="1"/>
  <c r="J11" i="1"/>
  <c r="L11" i="1" s="1"/>
  <c r="J12" i="1" l="1"/>
  <c r="I14" i="1"/>
  <c r="K13" i="1"/>
  <c r="R12" i="1"/>
  <c r="L12" i="1"/>
  <c r="J13" i="1" s="1"/>
  <c r="P13" i="1"/>
  <c r="O14" i="1"/>
  <c r="Q13" i="1"/>
  <c r="R13" i="1" s="1"/>
  <c r="Q14" i="1" l="1"/>
  <c r="P14" i="1"/>
  <c r="O15" i="1"/>
  <c r="L13" i="1"/>
  <c r="J14" i="1"/>
  <c r="I15" i="1"/>
  <c r="K14" i="1"/>
  <c r="L14" i="1" s="1"/>
  <c r="K15" i="1" l="1"/>
  <c r="I16" i="1"/>
  <c r="J15" i="1"/>
  <c r="O16" i="1"/>
  <c r="Q15" i="1"/>
  <c r="R14" i="1"/>
  <c r="P15" i="1" s="1"/>
  <c r="R15" i="1" l="1"/>
  <c r="P16" i="1"/>
  <c r="O17" i="1"/>
  <c r="Q16" i="1"/>
  <c r="R16" i="1" s="1"/>
  <c r="K16" i="1"/>
  <c r="I17" i="1"/>
  <c r="L15" i="1"/>
  <c r="J16" i="1" s="1"/>
  <c r="K17" i="1" l="1"/>
  <c r="I18" i="1"/>
  <c r="L16" i="1"/>
  <c r="J17" i="1" s="1"/>
  <c r="Q17" i="1"/>
  <c r="O18" i="1"/>
  <c r="P17" i="1"/>
  <c r="O19" i="1" l="1"/>
  <c r="Q18" i="1"/>
  <c r="R17" i="1"/>
  <c r="P18" i="1" s="1"/>
  <c r="I19" i="1"/>
  <c r="K18" i="1"/>
  <c r="L17" i="1"/>
  <c r="J18" i="1" s="1"/>
  <c r="I20" i="1" l="1"/>
  <c r="K19" i="1"/>
  <c r="L18" i="1"/>
  <c r="J19" i="1" s="1"/>
  <c r="R18" i="1"/>
  <c r="Q19" i="1"/>
  <c r="P19" i="1"/>
  <c r="O20" i="1"/>
  <c r="R19" i="1" l="1"/>
  <c r="O21" i="1"/>
  <c r="Q20" i="1"/>
  <c r="P20" i="1"/>
  <c r="L19" i="1"/>
  <c r="K20" i="1"/>
  <c r="I21" i="1"/>
  <c r="J20" i="1"/>
  <c r="L20" i="1" l="1"/>
  <c r="J21" i="1"/>
  <c r="I22" i="1"/>
  <c r="K21" i="1"/>
  <c r="L21" i="1" s="1"/>
  <c r="R20" i="1"/>
  <c r="P21" i="1"/>
  <c r="O22" i="1"/>
  <c r="Q21" i="1"/>
  <c r="R21" i="1" s="1"/>
  <c r="Q22" i="1" l="1"/>
  <c r="O23" i="1"/>
  <c r="P22" i="1"/>
  <c r="K22" i="1"/>
  <c r="J22" i="1"/>
  <c r="I23" i="1"/>
  <c r="I24" i="1" l="1"/>
  <c r="K23" i="1"/>
  <c r="L22" i="1"/>
  <c r="J23" i="1" s="1"/>
  <c r="O24" i="1"/>
  <c r="Q23" i="1"/>
  <c r="R22" i="1"/>
  <c r="P23" i="1" s="1"/>
  <c r="Q24" i="1" l="1"/>
  <c r="O25" i="1"/>
  <c r="R23" i="1"/>
  <c r="P24" i="1" s="1"/>
  <c r="L23" i="1"/>
  <c r="J24" i="1"/>
  <c r="I25" i="1"/>
  <c r="K24" i="1"/>
  <c r="L24" i="1" s="1"/>
  <c r="K25" i="1" l="1"/>
  <c r="I26" i="1"/>
  <c r="J25" i="1"/>
  <c r="O26" i="1"/>
  <c r="Q25" i="1"/>
  <c r="R24" i="1"/>
  <c r="P25" i="1" s="1"/>
  <c r="R25" i="1" l="1"/>
  <c r="P26" i="1"/>
  <c r="O27" i="1"/>
  <c r="Q26" i="1"/>
  <c r="R26" i="1" s="1"/>
  <c r="I27" i="1"/>
  <c r="K26" i="1"/>
  <c r="L25" i="1"/>
  <c r="J26" i="1" s="1"/>
  <c r="L26" i="1" l="1"/>
  <c r="K27" i="1"/>
  <c r="J27" i="1"/>
  <c r="I28" i="1"/>
  <c r="Q27" i="1"/>
  <c r="P27" i="1"/>
  <c r="O28" i="1"/>
  <c r="I29" i="1" l="1"/>
  <c r="K28" i="1"/>
  <c r="Q28" i="1"/>
  <c r="O29" i="1"/>
  <c r="R27" i="1"/>
  <c r="P28" i="1" s="1"/>
  <c r="L27" i="1"/>
  <c r="J28" i="1" s="1"/>
  <c r="Q29" i="1" l="1"/>
  <c r="P29" i="1"/>
  <c r="O30" i="1"/>
  <c r="R28" i="1"/>
  <c r="L28" i="1"/>
  <c r="J29" i="1" s="1"/>
  <c r="I30" i="1"/>
  <c r="K29" i="1"/>
  <c r="K30" i="1" l="1"/>
  <c r="I31" i="1"/>
  <c r="J30" i="1"/>
  <c r="L29" i="1"/>
  <c r="Q30" i="1"/>
  <c r="P30" i="1"/>
  <c r="R29" i="1"/>
  <c r="R30" i="1" l="1"/>
  <c r="K31" i="1"/>
  <c r="J31" i="1"/>
  <c r="L30" i="1"/>
  <c r="L31" i="1" l="1"/>
  <c r="Q33" i="1" s="1"/>
  <c r="Q34" i="1" s="1"/>
</calcChain>
</file>

<file path=xl/sharedStrings.xml><?xml version="1.0" encoding="utf-8"?>
<sst xmlns="http://schemas.openxmlformats.org/spreadsheetml/2006/main" count="38" uniqueCount="34">
  <si>
    <t>Details</t>
  </si>
  <si>
    <t>EPF Value Calculation</t>
  </si>
  <si>
    <t>Investment calculation</t>
  </si>
  <si>
    <t xml:space="preserve">Name </t>
  </si>
  <si>
    <t>Not Disclosed</t>
  </si>
  <si>
    <t>Current Contribution</t>
  </si>
  <si>
    <t>Expected Growth</t>
  </si>
  <si>
    <t>SIP Top-up Rate</t>
  </si>
  <si>
    <t>Expected Return</t>
  </si>
  <si>
    <t>Age</t>
  </si>
  <si>
    <t>Return on Investment</t>
  </si>
  <si>
    <t>Planning to Retire by</t>
  </si>
  <si>
    <t>Begin Value</t>
  </si>
  <si>
    <t>SIP</t>
  </si>
  <si>
    <t>End Value</t>
  </si>
  <si>
    <t>Monthly Salary</t>
  </si>
  <si>
    <t>Contribution</t>
  </si>
  <si>
    <t>Given to Father</t>
  </si>
  <si>
    <t>invests in Gold &amp; Land</t>
  </si>
  <si>
    <t>Rent &amp; Food</t>
  </si>
  <si>
    <t>Transport &amp; exp</t>
  </si>
  <si>
    <t>Investment</t>
  </si>
  <si>
    <t>current EMI for PL</t>
  </si>
  <si>
    <t>Premium</t>
  </si>
  <si>
    <t>for 2cr Term Plan</t>
  </si>
  <si>
    <t>Investments</t>
  </si>
  <si>
    <t>Stocks + MF</t>
  </si>
  <si>
    <t>including pl 5lakhs</t>
  </si>
  <si>
    <t>EPF</t>
  </si>
  <si>
    <t>Goals &amp; Plans</t>
  </si>
  <si>
    <t>Planning to Retire by Age</t>
  </si>
  <si>
    <t>Corpus to be built</t>
  </si>
  <si>
    <t>Total Corpus Built</t>
  </si>
  <si>
    <t>Goal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</si>
</sst>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4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  <font>
      <b/>
      <sz val="3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54D18"/>
        <bgColor indexed="64"/>
      </patternFill>
    </fill>
    <fill>
      <patternFill patternType="solid">
        <fgColor rgb="FFF9E5B7"/>
        <bgColor indexed="64"/>
      </patternFill>
    </fill>
    <fill>
      <patternFill patternType="solid">
        <fgColor rgb="FFFAE6B7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Protection="1"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1" fillId="0" borderId="3" xfId="0" applyFont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1" fillId="0" borderId="3" xfId="0" applyFont="1" applyBorder="1" applyAlignment="1" applyProtection="1">
      <alignment horizontal="center"/>
      <protection hidden="1"/>
    </xf>
    <xf numFmtId="164" fontId="1" fillId="0" borderId="3" xfId="0" applyNumberFormat="1" applyFont="1" applyBorder="1" applyProtection="1"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164" fontId="1" fillId="0" borderId="3" xfId="0" applyNumberFormat="1" applyFont="1" applyBorder="1" applyAlignment="1" applyProtection="1">
      <alignment horizontal="center" vertical="center"/>
      <protection hidden="1"/>
    </xf>
    <xf numFmtId="8" fontId="1" fillId="0" borderId="3" xfId="0" applyNumberFormat="1" applyFont="1" applyBorder="1" applyAlignment="1" applyProtection="1">
      <alignment horizontal="center" vertic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0" fontId="1" fillId="0" borderId="0" xfId="0" applyFont="1" applyProtection="1">
      <protection locked="0"/>
    </xf>
    <xf numFmtId="0" fontId="1" fillId="3" borderId="3" xfId="0" applyFont="1" applyFill="1" applyBorder="1" applyProtection="1">
      <protection locked="0"/>
    </xf>
    <xf numFmtId="164" fontId="1" fillId="3" borderId="3" xfId="0" applyNumberFormat="1" applyFont="1" applyFill="1" applyBorder="1" applyAlignment="1" applyProtection="1">
      <alignment horizontal="center"/>
      <protection locked="0"/>
    </xf>
    <xf numFmtId="10" fontId="1" fillId="3" borderId="3" xfId="0" applyNumberFormat="1" applyFont="1" applyFill="1" applyBorder="1" applyAlignment="1" applyProtection="1">
      <alignment horizontal="center"/>
      <protection locked="0"/>
    </xf>
    <xf numFmtId="9" fontId="1" fillId="3" borderId="3" xfId="0" applyNumberFormat="1" applyFont="1" applyFill="1" applyBorder="1" applyAlignment="1" applyProtection="1">
      <alignment horizontal="center"/>
      <protection locked="0"/>
    </xf>
    <xf numFmtId="9" fontId="1" fillId="3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164" fontId="1" fillId="0" borderId="3" xfId="0" applyNumberFormat="1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4" borderId="3" xfId="0" applyFont="1" applyFill="1" applyBorder="1" applyProtection="1">
      <protection locked="0"/>
    </xf>
    <xf numFmtId="164" fontId="1" fillId="4" borderId="3" xfId="0" applyNumberFormat="1" applyFont="1" applyFill="1" applyBorder="1" applyProtection="1">
      <protection locked="0"/>
    </xf>
    <xf numFmtId="0" fontId="1" fillId="4" borderId="3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6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35AF-E7CF-5047-9C60-A2444B76FB15}">
  <dimension ref="D3:V35"/>
  <sheetViews>
    <sheetView showGridLines="0" tabSelected="1" topLeftCell="A2" zoomScale="50" workbookViewId="0">
      <selection activeCell="D53" sqref="D53"/>
    </sheetView>
  </sheetViews>
  <sheetFormatPr baseColWidth="10" defaultRowHeight="47" x14ac:dyDescent="0.55000000000000004"/>
  <cols>
    <col min="1" max="3" width="10.83203125" style="1"/>
    <col min="4" max="4" width="63.83203125" style="1" bestFit="1" customWidth="1"/>
    <col min="5" max="5" width="54.33203125" style="1" customWidth="1"/>
    <col min="6" max="6" width="56.1640625" style="1" bestFit="1" customWidth="1"/>
    <col min="7" max="8" width="10.83203125" style="1"/>
    <col min="9" max="9" width="57.83203125" style="1" bestFit="1" customWidth="1"/>
    <col min="10" max="10" width="44.6640625" style="1" bestFit="1" customWidth="1"/>
    <col min="11" max="11" width="54" style="1" customWidth="1"/>
    <col min="12" max="12" width="44.83203125" style="1" customWidth="1"/>
    <col min="13" max="14" width="10.83203125" style="1"/>
    <col min="15" max="15" width="41.83203125" style="1" bestFit="1" customWidth="1"/>
    <col min="16" max="16" width="54.5" style="1" customWidth="1"/>
    <col min="17" max="17" width="44.83203125" style="1" customWidth="1"/>
    <col min="18" max="18" width="52.83203125" style="1" customWidth="1"/>
    <col min="19" max="16384" width="10.83203125" style="1"/>
  </cols>
  <sheetData>
    <row r="3" spans="4:18" ht="48" thickBot="1" x14ac:dyDescent="0.6"/>
    <row r="4" spans="4:18" ht="49" thickTop="1" thickBot="1" x14ac:dyDescent="0.6">
      <c r="D4" s="19" t="s">
        <v>0</v>
      </c>
      <c r="E4" s="20"/>
      <c r="I4" s="17" t="s">
        <v>1</v>
      </c>
      <c r="J4" s="17"/>
      <c r="K4" s="17"/>
      <c r="L4" s="17"/>
      <c r="O4" s="17" t="s">
        <v>2</v>
      </c>
      <c r="P4" s="17"/>
      <c r="Q4" s="17"/>
      <c r="R4" s="17"/>
    </row>
    <row r="5" spans="4:18" ht="49" thickTop="1" thickBot="1" x14ac:dyDescent="0.6">
      <c r="D5" s="3" t="s">
        <v>3</v>
      </c>
      <c r="E5" s="3" t="s">
        <v>4</v>
      </c>
      <c r="I5" s="4" t="s">
        <v>5</v>
      </c>
      <c r="J5" s="13">
        <v>20000</v>
      </c>
      <c r="K5" s="4" t="s">
        <v>6</v>
      </c>
      <c r="L5" s="15">
        <v>0.06</v>
      </c>
      <c r="O5" s="4" t="s">
        <v>7</v>
      </c>
      <c r="P5" s="16">
        <v>0.05</v>
      </c>
      <c r="Q5" s="4" t="s">
        <v>8</v>
      </c>
      <c r="R5" s="16">
        <v>0.12</v>
      </c>
    </row>
    <row r="6" spans="4:18" ht="49" thickTop="1" thickBot="1" x14ac:dyDescent="0.6">
      <c r="D6" s="3" t="s">
        <v>9</v>
      </c>
      <c r="E6" s="23">
        <v>27</v>
      </c>
      <c r="I6" s="4" t="s">
        <v>10</v>
      </c>
      <c r="J6" s="14">
        <v>7.4999999999999997E-2</v>
      </c>
      <c r="K6" s="4" t="s">
        <v>11</v>
      </c>
      <c r="L6" s="5">
        <f>E19</f>
        <v>48</v>
      </c>
      <c r="O6" s="2" t="s">
        <v>9</v>
      </c>
      <c r="P6" s="2" t="s">
        <v>12</v>
      </c>
      <c r="Q6" s="2" t="s">
        <v>13</v>
      </c>
      <c r="R6" s="2" t="s">
        <v>14</v>
      </c>
    </row>
    <row r="7" spans="4:18" ht="49" thickTop="1" thickBot="1" x14ac:dyDescent="0.6">
      <c r="D7" s="3" t="s">
        <v>15</v>
      </c>
      <c r="E7" s="24">
        <v>110000</v>
      </c>
      <c r="I7" s="2" t="s">
        <v>9</v>
      </c>
      <c r="J7" s="2" t="s">
        <v>12</v>
      </c>
      <c r="K7" s="2" t="s">
        <v>16</v>
      </c>
      <c r="L7" s="2" t="s">
        <v>14</v>
      </c>
      <c r="O7" s="7">
        <f>E6</f>
        <v>27</v>
      </c>
      <c r="P7" s="8">
        <f>E15</f>
        <v>1500000</v>
      </c>
      <c r="Q7" s="25">
        <v>0</v>
      </c>
      <c r="R7" s="9">
        <f>FV(NOMINAL($R$5,12)/12,12,-Q7,-P7)</f>
        <v>1680000.0000000021</v>
      </c>
    </row>
    <row r="8" spans="4:18" ht="49" thickTop="1" thickBot="1" x14ac:dyDescent="0.6">
      <c r="D8" s="3" t="s">
        <v>17</v>
      </c>
      <c r="E8" s="24">
        <v>40000</v>
      </c>
      <c r="F8" s="1" t="s">
        <v>18</v>
      </c>
      <c r="I8" s="5">
        <f>E6</f>
        <v>27</v>
      </c>
      <c r="J8" s="10">
        <f>E16</f>
        <v>500000</v>
      </c>
      <c r="K8" s="10">
        <f>J5</f>
        <v>20000</v>
      </c>
      <c r="L8" s="10">
        <f>FV(NOMINAL($J$6,12)/12,12,-K8,-J8)</f>
        <v>785642.28180264891</v>
      </c>
      <c r="O8" s="7">
        <f>IF($E$19&gt;O7,O7+1, "NIL")</f>
        <v>28</v>
      </c>
      <c r="P8" s="9">
        <f>IF(O8= "NIL",0,R7)</f>
        <v>1680000.0000000021</v>
      </c>
      <c r="Q8" s="8">
        <f>E11</f>
        <v>45000</v>
      </c>
      <c r="R8" s="9">
        <f>FV(NOMINAL($R$5,12)/12,12,-Q8,-P8)</f>
        <v>2450692.4058759003</v>
      </c>
    </row>
    <row r="9" spans="4:18" ht="49" thickTop="1" thickBot="1" x14ac:dyDescent="0.6">
      <c r="D9" s="3" t="s">
        <v>19</v>
      </c>
      <c r="E9" s="24">
        <v>20000</v>
      </c>
      <c r="I9" s="7">
        <f>IF($E$19&gt;I8,I8+1, "NIL")</f>
        <v>28</v>
      </c>
      <c r="J9" s="9">
        <f>IF(I9= "NIL",0,L8)</f>
        <v>785642.28180264891</v>
      </c>
      <c r="K9" s="10">
        <f>IF(I9= "NIL",0,K8*(1+$L$5))</f>
        <v>21200</v>
      </c>
      <c r="L9" s="10">
        <f>FV(NOMINAL($J$6,12)/12,12,-K9,-J9)</f>
        <v>1107596.2716486554</v>
      </c>
      <c r="O9" s="7">
        <f t="shared" ref="O9:O30" si="0">IF($E$19&gt;O8,O8+1, "NIL")</f>
        <v>29</v>
      </c>
      <c r="P9" s="9">
        <f t="shared" ref="P9:P30" si="1">IF(O9= "NIL",0,R8)</f>
        <v>2450692.4058759003</v>
      </c>
      <c r="Q9" s="8">
        <f>IF(O9= "NIL",0,Q8*(1+$P$5))</f>
        <v>47250</v>
      </c>
      <c r="R9" s="9">
        <f t="shared" ref="R9:R30" si="2">FV(NOMINAL($R$5,12)/12,12,-Q9,-P9)</f>
        <v>3342322.5207507024</v>
      </c>
    </row>
    <row r="10" spans="4:18" ht="49" thickTop="1" thickBot="1" x14ac:dyDescent="0.6">
      <c r="D10" s="3" t="s">
        <v>20</v>
      </c>
      <c r="E10" s="24">
        <v>5000</v>
      </c>
      <c r="I10" s="7">
        <f t="shared" ref="I10:I30" si="3">IF($E$19&gt;I9,I9+1, "NIL")</f>
        <v>29</v>
      </c>
      <c r="J10" s="9">
        <f t="shared" ref="J10:J31" si="4">IF(I10= "NIL",0,L9)</f>
        <v>1107596.2716486554</v>
      </c>
      <c r="K10" s="10">
        <f t="shared" ref="K10:K31" si="5">IF(I10= "NIL",0,K9*(1+$L$5))</f>
        <v>22472</v>
      </c>
      <c r="L10" s="10">
        <f t="shared" ref="L10:L31" si="6">FV(NOMINAL($J$6,12)/12,12,-K10,-J10)</f>
        <v>1469478.6598557606</v>
      </c>
      <c r="O10" s="7">
        <f t="shared" si="0"/>
        <v>30</v>
      </c>
      <c r="P10" s="9">
        <f t="shared" si="1"/>
        <v>3342322.5207507024</v>
      </c>
      <c r="Q10" s="8">
        <f t="shared" ref="Q10:Q30" si="7">IF(O10= "NIL",0,Q9*(1+$P$5))</f>
        <v>49612.5</v>
      </c>
      <c r="R10" s="9">
        <f t="shared" si="2"/>
        <v>4370825.6007189658</v>
      </c>
    </row>
    <row r="11" spans="4:18" ht="49" thickTop="1" thickBot="1" x14ac:dyDescent="0.6">
      <c r="D11" s="3" t="s">
        <v>21</v>
      </c>
      <c r="E11" s="24">
        <v>45000</v>
      </c>
      <c r="F11" s="1" t="s">
        <v>22</v>
      </c>
      <c r="I11" s="7">
        <f t="shared" si="3"/>
        <v>30</v>
      </c>
      <c r="J11" s="9">
        <f t="shared" si="4"/>
        <v>1469478.6598557606</v>
      </c>
      <c r="K11" s="10">
        <f t="shared" si="5"/>
        <v>23820.32</v>
      </c>
      <c r="L11" s="10">
        <f t="shared" si="6"/>
        <v>1875230.987248406</v>
      </c>
      <c r="O11" s="7">
        <f t="shared" si="0"/>
        <v>31</v>
      </c>
      <c r="P11" s="9">
        <f t="shared" si="1"/>
        <v>4370825.6007189658</v>
      </c>
      <c r="Q11" s="8">
        <f t="shared" si="7"/>
        <v>52093.125</v>
      </c>
      <c r="R11" s="9">
        <f t="shared" si="2"/>
        <v>5554120.2691573314</v>
      </c>
    </row>
    <row r="12" spans="4:18" ht="49" thickTop="1" thickBot="1" x14ac:dyDescent="0.6">
      <c r="D12" s="3" t="s">
        <v>23</v>
      </c>
      <c r="E12" s="24">
        <v>1800</v>
      </c>
      <c r="F12" s="1" t="s">
        <v>24</v>
      </c>
      <c r="I12" s="7">
        <f t="shared" si="3"/>
        <v>31</v>
      </c>
      <c r="J12" s="9">
        <f t="shared" si="4"/>
        <v>1875230.987248406</v>
      </c>
      <c r="K12" s="10">
        <f t="shared" si="5"/>
        <v>25249.539199999999</v>
      </c>
      <c r="L12" s="10">
        <f t="shared" si="6"/>
        <v>2329147.2248697071</v>
      </c>
      <c r="O12" s="7">
        <f t="shared" si="0"/>
        <v>32</v>
      </c>
      <c r="P12" s="9">
        <f t="shared" si="1"/>
        <v>5554120.2691573314</v>
      </c>
      <c r="Q12" s="8">
        <f t="shared" si="7"/>
        <v>54697.78125</v>
      </c>
      <c r="R12" s="9">
        <f t="shared" si="2"/>
        <v>6912350.077625907</v>
      </c>
    </row>
    <row r="13" spans="4:18" ht="49" thickTop="1" thickBot="1" x14ac:dyDescent="0.6">
      <c r="I13" s="7">
        <f t="shared" si="3"/>
        <v>32</v>
      </c>
      <c r="J13" s="9">
        <f t="shared" si="4"/>
        <v>2329147.2248697071</v>
      </c>
      <c r="K13" s="10">
        <f t="shared" si="5"/>
        <v>26764.511552</v>
      </c>
      <c r="L13" s="10">
        <f t="shared" si="6"/>
        <v>2835903.6151272659</v>
      </c>
      <c r="O13" s="7">
        <f t="shared" si="0"/>
        <v>33</v>
      </c>
      <c r="P13" s="9">
        <f t="shared" si="1"/>
        <v>6912350.077625907</v>
      </c>
      <c r="Q13" s="8">
        <f t="shared" si="7"/>
        <v>57432.670312500006</v>
      </c>
      <c r="R13" s="9">
        <f t="shared" si="2"/>
        <v>8468154.2319191992</v>
      </c>
    </row>
    <row r="14" spans="4:18" ht="49" thickTop="1" thickBot="1" x14ac:dyDescent="0.6">
      <c r="D14" s="19" t="s">
        <v>25</v>
      </c>
      <c r="E14" s="20"/>
      <c r="I14" s="7">
        <f t="shared" si="3"/>
        <v>33</v>
      </c>
      <c r="J14" s="9">
        <f t="shared" si="4"/>
        <v>2835903.6151272659</v>
      </c>
      <c r="K14" s="10">
        <f t="shared" si="5"/>
        <v>28370.382245120003</v>
      </c>
      <c r="L14" s="10">
        <f t="shared" si="6"/>
        <v>3400590.9555576816</v>
      </c>
      <c r="O14" s="7">
        <f t="shared" si="0"/>
        <v>34</v>
      </c>
      <c r="P14" s="9">
        <f t="shared" si="1"/>
        <v>8468154.2319191992</v>
      </c>
      <c r="Q14" s="8">
        <f t="shared" si="7"/>
        <v>60304.303828125012</v>
      </c>
      <c r="R14" s="9">
        <f t="shared" si="2"/>
        <v>10246970.991976596</v>
      </c>
    </row>
    <row r="15" spans="4:18" ht="49" thickTop="1" thickBot="1" x14ac:dyDescent="0.6">
      <c r="D15" s="3" t="s">
        <v>26</v>
      </c>
      <c r="E15" s="24">
        <v>1500000</v>
      </c>
      <c r="F15" s="1" t="s">
        <v>27</v>
      </c>
      <c r="I15" s="7">
        <f t="shared" si="3"/>
        <v>34</v>
      </c>
      <c r="J15" s="9">
        <f t="shared" si="4"/>
        <v>3400590.9555576816</v>
      </c>
      <c r="K15" s="10">
        <f t="shared" si="5"/>
        <v>30072.605179827206</v>
      </c>
      <c r="L15" s="10">
        <f t="shared" si="6"/>
        <v>4028749.5206781309</v>
      </c>
      <c r="O15" s="7">
        <f t="shared" si="0"/>
        <v>35</v>
      </c>
      <c r="P15" s="9">
        <f t="shared" si="1"/>
        <v>10246970.991976596</v>
      </c>
      <c r="Q15" s="8">
        <f t="shared" si="7"/>
        <v>63319.519019531268</v>
      </c>
      <c r="R15" s="9">
        <f t="shared" si="2"/>
        <v>12277377.675852237</v>
      </c>
    </row>
    <row r="16" spans="4:18" ht="49" thickTop="1" thickBot="1" x14ac:dyDescent="0.6">
      <c r="D16" s="3" t="s">
        <v>28</v>
      </c>
      <c r="E16" s="24">
        <v>500000</v>
      </c>
      <c r="I16" s="7">
        <f t="shared" si="3"/>
        <v>35</v>
      </c>
      <c r="J16" s="9">
        <f t="shared" si="4"/>
        <v>4028749.5206781309</v>
      </c>
      <c r="K16" s="10">
        <f t="shared" si="5"/>
        <v>31876.961490616839</v>
      </c>
      <c r="L16" s="10">
        <f t="shared" si="6"/>
        <v>4726406.8327898309</v>
      </c>
      <c r="O16" s="7">
        <f t="shared" si="0"/>
        <v>36</v>
      </c>
      <c r="P16" s="9">
        <f t="shared" si="1"/>
        <v>12277377.675852237</v>
      </c>
      <c r="Q16" s="8">
        <f t="shared" si="7"/>
        <v>66485.494970507832</v>
      </c>
      <c r="R16" s="9">
        <f t="shared" si="2"/>
        <v>14591471.67003488</v>
      </c>
    </row>
    <row r="17" spans="4:22" ht="49" thickTop="1" thickBot="1" x14ac:dyDescent="0.6">
      <c r="I17" s="7">
        <f t="shared" si="3"/>
        <v>36</v>
      </c>
      <c r="J17" s="9">
        <f t="shared" si="4"/>
        <v>4726406.8327898309</v>
      </c>
      <c r="K17" s="10">
        <f t="shared" si="5"/>
        <v>33789.57918005385</v>
      </c>
      <c r="L17" s="10">
        <f t="shared" si="6"/>
        <v>5500118.5091935582</v>
      </c>
      <c r="O17" s="7">
        <f t="shared" si="0"/>
        <v>37</v>
      </c>
      <c r="P17" s="9">
        <f t="shared" si="1"/>
        <v>14591471.67003488</v>
      </c>
      <c r="Q17" s="8">
        <f t="shared" si="7"/>
        <v>69809.769719033226</v>
      </c>
      <c r="R17" s="9">
        <f t="shared" si="2"/>
        <v>17225297.377173461</v>
      </c>
    </row>
    <row r="18" spans="4:22" ht="49" thickTop="1" thickBot="1" x14ac:dyDescent="0.6">
      <c r="D18" s="19" t="s">
        <v>29</v>
      </c>
      <c r="E18" s="20"/>
      <c r="I18" s="7">
        <f t="shared" si="3"/>
        <v>37</v>
      </c>
      <c r="J18" s="9">
        <f t="shared" si="4"/>
        <v>5500118.5091935582</v>
      </c>
      <c r="K18" s="10">
        <f t="shared" si="5"/>
        <v>35816.953930857082</v>
      </c>
      <c r="L18" s="10">
        <f t="shared" si="6"/>
        <v>6357012.4311642349</v>
      </c>
      <c r="O18" s="7">
        <f t="shared" si="0"/>
        <v>38</v>
      </c>
      <c r="P18" s="9">
        <f t="shared" si="1"/>
        <v>17225297.377173461</v>
      </c>
      <c r="Q18" s="8">
        <f t="shared" si="7"/>
        <v>73300.258204984886</v>
      </c>
      <c r="R18" s="9">
        <f t="shared" si="2"/>
        <v>20219324.624505393</v>
      </c>
    </row>
    <row r="19" spans="4:22" ht="49" thickTop="1" thickBot="1" x14ac:dyDescent="0.6">
      <c r="D19" s="3" t="s">
        <v>30</v>
      </c>
      <c r="E19" s="12">
        <v>48</v>
      </c>
      <c r="I19" s="7">
        <f t="shared" si="3"/>
        <v>38</v>
      </c>
      <c r="J19" s="9">
        <f t="shared" si="4"/>
        <v>6357012.4311642349</v>
      </c>
      <c r="K19" s="10">
        <f t="shared" si="5"/>
        <v>37965.971166708507</v>
      </c>
      <c r="L19" s="10">
        <f t="shared" si="6"/>
        <v>7304836.4993095817</v>
      </c>
      <c r="O19" s="7">
        <f t="shared" si="0"/>
        <v>39</v>
      </c>
      <c r="P19" s="9">
        <f t="shared" si="1"/>
        <v>20219324.624505393</v>
      </c>
      <c r="Q19" s="8">
        <f t="shared" si="7"/>
        <v>76965.271115234136</v>
      </c>
      <c r="R19" s="9">
        <f t="shared" si="2"/>
        <v>23618984.71962072</v>
      </c>
    </row>
    <row r="20" spans="4:22" ht="49" thickTop="1" thickBot="1" x14ac:dyDescent="0.6">
      <c r="D20" s="3" t="s">
        <v>31</v>
      </c>
      <c r="E20" s="6">
        <v>100000000</v>
      </c>
      <c r="I20" s="7">
        <f t="shared" si="3"/>
        <v>39</v>
      </c>
      <c r="J20" s="9">
        <f t="shared" si="4"/>
        <v>7304836.4993095817</v>
      </c>
      <c r="K20" s="10">
        <f t="shared" si="5"/>
        <v>40243.92943671102</v>
      </c>
      <c r="L20" s="10">
        <f t="shared" si="6"/>
        <v>8352010.2607143112</v>
      </c>
      <c r="O20" s="7">
        <f t="shared" si="0"/>
        <v>40</v>
      </c>
      <c r="P20" s="9">
        <f t="shared" si="1"/>
        <v>23618984.71962072</v>
      </c>
      <c r="Q20" s="8">
        <f t="shared" si="7"/>
        <v>80813.534670995839</v>
      </c>
      <c r="R20" s="9">
        <f t="shared" si="2"/>
        <v>27475271.083158623</v>
      </c>
    </row>
    <row r="21" spans="4:22" ht="49" thickTop="1" thickBot="1" x14ac:dyDescent="0.6">
      <c r="I21" s="7">
        <f t="shared" si="3"/>
        <v>40</v>
      </c>
      <c r="J21" s="9">
        <f t="shared" si="4"/>
        <v>8352010.2607143112</v>
      </c>
      <c r="K21" s="10">
        <f t="shared" si="5"/>
        <v>42658.565202913684</v>
      </c>
      <c r="L21" s="10">
        <f t="shared" si="6"/>
        <v>9507680.7156617865</v>
      </c>
      <c r="O21" s="7">
        <f t="shared" si="0"/>
        <v>41</v>
      </c>
      <c r="P21" s="9">
        <f t="shared" si="1"/>
        <v>27475271.083158623</v>
      </c>
      <c r="Q21" s="8">
        <f t="shared" si="7"/>
        <v>84854.21140454564</v>
      </c>
      <c r="R21" s="9">
        <f t="shared" si="2"/>
        <v>31845412.220180247</v>
      </c>
    </row>
    <row r="22" spans="4:22" ht="49" thickTop="1" thickBot="1" x14ac:dyDescent="0.6">
      <c r="I22" s="7">
        <f t="shared" si="3"/>
        <v>41</v>
      </c>
      <c r="J22" s="9">
        <f t="shared" si="4"/>
        <v>9507680.7156617865</v>
      </c>
      <c r="K22" s="10">
        <f t="shared" si="5"/>
        <v>45218.079115088505</v>
      </c>
      <c r="L22" s="10">
        <f t="shared" si="6"/>
        <v>10781782.635853954</v>
      </c>
      <c r="O22" s="7">
        <f t="shared" si="0"/>
        <v>42</v>
      </c>
      <c r="P22" s="9">
        <f t="shared" si="1"/>
        <v>31845412.220180247</v>
      </c>
      <c r="Q22" s="8">
        <f t="shared" si="7"/>
        <v>89096.921974772922</v>
      </c>
      <c r="R22" s="9">
        <f t="shared" si="2"/>
        <v>36793625.723996602</v>
      </c>
    </row>
    <row r="23" spans="4:22" ht="49" thickTop="1" thickBot="1" x14ac:dyDescent="0.6">
      <c r="I23" s="7">
        <f t="shared" si="3"/>
        <v>42</v>
      </c>
      <c r="J23" s="9">
        <f t="shared" si="4"/>
        <v>10781782.635853954</v>
      </c>
      <c r="K23" s="10">
        <f t="shared" si="5"/>
        <v>47931.163861993817</v>
      </c>
      <c r="L23" s="10">
        <f t="shared" si="6"/>
        <v>12185103.752051586</v>
      </c>
      <c r="O23" s="7">
        <f t="shared" si="0"/>
        <v>43</v>
      </c>
      <c r="P23" s="9">
        <f t="shared" si="1"/>
        <v>36793625.723996602</v>
      </c>
      <c r="Q23" s="8">
        <f t="shared" si="7"/>
        <v>93551.768073511572</v>
      </c>
      <c r="R23" s="9">
        <f t="shared" si="2"/>
        <v>42391963.050140664</v>
      </c>
    </row>
    <row r="24" spans="4:22" ht="49" thickTop="1" thickBot="1" x14ac:dyDescent="0.6">
      <c r="I24" s="7">
        <f t="shared" si="3"/>
        <v>43</v>
      </c>
      <c r="J24" s="9">
        <f t="shared" si="4"/>
        <v>12185103.752051586</v>
      </c>
      <c r="K24" s="10">
        <f t="shared" si="5"/>
        <v>50807.033693713449</v>
      </c>
      <c r="L24" s="10">
        <f t="shared" si="6"/>
        <v>13729355.197074557</v>
      </c>
      <c r="O24" s="7">
        <f t="shared" si="0"/>
        <v>44</v>
      </c>
      <c r="P24" s="9">
        <f t="shared" si="1"/>
        <v>42391963.050140664</v>
      </c>
      <c r="Q24" s="8">
        <f t="shared" si="7"/>
        <v>98229.356477187161</v>
      </c>
      <c r="R24" s="9">
        <f t="shared" si="2"/>
        <v>48721255.96738524</v>
      </c>
    </row>
    <row r="25" spans="4:22" ht="49" thickTop="1" thickBot="1" x14ac:dyDescent="0.6">
      <c r="I25" s="7">
        <f t="shared" si="3"/>
        <v>44</v>
      </c>
      <c r="J25" s="9">
        <f t="shared" si="4"/>
        <v>13729355.197074557</v>
      </c>
      <c r="K25" s="10">
        <f t="shared" si="5"/>
        <v>53855.455715336262</v>
      </c>
      <c r="L25" s="10">
        <f t="shared" si="6"/>
        <v>15427247.620291395</v>
      </c>
      <c r="O25" s="7">
        <f t="shared" si="0"/>
        <v>45</v>
      </c>
      <c r="P25" s="9">
        <f t="shared" si="1"/>
        <v>48721255.96738524</v>
      </c>
      <c r="Q25" s="8">
        <f t="shared" si="7"/>
        <v>103140.82430104652</v>
      </c>
      <c r="R25" s="9">
        <f t="shared" si="2"/>
        <v>55872176.902260549</v>
      </c>
    </row>
    <row r="26" spans="4:22" ht="49" thickTop="1" thickBot="1" x14ac:dyDescent="0.6">
      <c r="I26" s="7">
        <f t="shared" si="3"/>
        <v>45</v>
      </c>
      <c r="J26" s="9">
        <f t="shared" si="4"/>
        <v>15427247.620291395</v>
      </c>
      <c r="K26" s="10">
        <f t="shared" si="5"/>
        <v>57086.783058256442</v>
      </c>
      <c r="L26" s="10">
        <f t="shared" si="6"/>
        <v>17292573.422255669</v>
      </c>
      <c r="O26" s="7">
        <f t="shared" si="0"/>
        <v>46</v>
      </c>
      <c r="P26" s="9">
        <f t="shared" si="1"/>
        <v>55872176.902260549</v>
      </c>
      <c r="Q26" s="8">
        <f t="shared" si="7"/>
        <v>108297.86551609886</v>
      </c>
      <c r="R26" s="9">
        <f t="shared" si="2"/>
        <v>63946426.860260352</v>
      </c>
    </row>
    <row r="27" spans="4:22" ht="49" thickTop="1" thickBot="1" x14ac:dyDescent="0.6">
      <c r="I27" s="7">
        <f>IF($E$19&gt;I26,I26+1, "NIL")</f>
        <v>46</v>
      </c>
      <c r="J27" s="9">
        <f t="shared" si="4"/>
        <v>17292573.422255669</v>
      </c>
      <c r="K27" s="10">
        <f t="shared" si="5"/>
        <v>60511.990041751829</v>
      </c>
      <c r="L27" s="10">
        <f t="shared" si="6"/>
        <v>19340295.59319381</v>
      </c>
      <c r="O27" s="7">
        <f t="shared" si="0"/>
        <v>47</v>
      </c>
      <c r="P27" s="9">
        <f t="shared" si="1"/>
        <v>63946426.860260352</v>
      </c>
      <c r="Q27" s="8">
        <f t="shared" si="7"/>
        <v>113712.75879190381</v>
      </c>
      <c r="R27" s="9">
        <f t="shared" si="2"/>
        <v>73058066.249706566</v>
      </c>
    </row>
    <row r="28" spans="4:22" ht="49" thickTop="1" thickBot="1" x14ac:dyDescent="0.6">
      <c r="I28" s="7">
        <f t="shared" si="3"/>
        <v>47</v>
      </c>
      <c r="J28" s="9">
        <f t="shared" si="4"/>
        <v>19340295.59319381</v>
      </c>
      <c r="K28" s="10">
        <f t="shared" si="5"/>
        <v>64142.709444256943</v>
      </c>
      <c r="L28" s="10">
        <f t="shared" si="6"/>
        <v>21586643.676808447</v>
      </c>
      <c r="O28" s="7">
        <f t="shared" si="0"/>
        <v>48</v>
      </c>
      <c r="P28" s="9">
        <f t="shared" si="1"/>
        <v>73058066.249706566</v>
      </c>
      <c r="Q28" s="8">
        <f t="shared" si="7"/>
        <v>119398.396731499</v>
      </c>
      <c r="R28" s="9">
        <f t="shared" si="2"/>
        <v>83335005.774197087</v>
      </c>
    </row>
    <row r="29" spans="4:22" ht="49" thickTop="1" thickBot="1" x14ac:dyDescent="0.6">
      <c r="I29" s="7">
        <f t="shared" si="3"/>
        <v>48</v>
      </c>
      <c r="J29" s="9">
        <f t="shared" si="4"/>
        <v>21586643.676808447</v>
      </c>
      <c r="K29" s="10">
        <f t="shared" si="5"/>
        <v>67991.272010912362</v>
      </c>
      <c r="L29" s="10">
        <f t="shared" si="6"/>
        <v>24049217.421541691</v>
      </c>
      <c r="O29" s="7" t="str">
        <f t="shared" si="0"/>
        <v>NIL</v>
      </c>
      <c r="P29" s="9">
        <f t="shared" si="1"/>
        <v>0</v>
      </c>
      <c r="Q29" s="8">
        <f t="shared" si="7"/>
        <v>0</v>
      </c>
      <c r="R29" s="9">
        <f t="shared" si="2"/>
        <v>0</v>
      </c>
    </row>
    <row r="30" spans="4:22" ht="49" thickTop="1" thickBot="1" x14ac:dyDescent="0.6">
      <c r="I30" s="7" t="str">
        <f t="shared" si="3"/>
        <v>NIL</v>
      </c>
      <c r="J30" s="9">
        <f t="shared" si="4"/>
        <v>0</v>
      </c>
      <c r="K30" s="10">
        <f t="shared" si="5"/>
        <v>0</v>
      </c>
      <c r="L30" s="10">
        <f t="shared" si="6"/>
        <v>0</v>
      </c>
      <c r="O30" s="7" t="str">
        <f t="shared" si="0"/>
        <v>NIL</v>
      </c>
      <c r="P30" s="9">
        <f t="shared" si="1"/>
        <v>0</v>
      </c>
      <c r="Q30" s="8">
        <f t="shared" si="7"/>
        <v>0</v>
      </c>
      <c r="R30" s="9">
        <f t="shared" si="2"/>
        <v>0</v>
      </c>
      <c r="V30" s="11"/>
    </row>
    <row r="31" spans="4:22" ht="49" thickTop="1" thickBot="1" x14ac:dyDescent="0.6">
      <c r="I31" s="7" t="str">
        <f>IF($E$19&gt;I30,I30+1, "NIL")</f>
        <v>NIL</v>
      </c>
      <c r="J31" s="9">
        <f t="shared" si="4"/>
        <v>0</v>
      </c>
      <c r="K31" s="10">
        <f t="shared" si="5"/>
        <v>0</v>
      </c>
      <c r="L31" s="10">
        <f t="shared" si="6"/>
        <v>0</v>
      </c>
    </row>
    <row r="32" spans="4:22" ht="49" thickTop="1" thickBot="1" x14ac:dyDescent="0.6"/>
    <row r="33" spans="15:18" ht="49" thickTop="1" thickBot="1" x14ac:dyDescent="0.6">
      <c r="O33" s="17" t="s">
        <v>32</v>
      </c>
      <c r="P33" s="17"/>
      <c r="Q33" s="21">
        <f>MAX(L8:L31)+MAX(R7:R30)</f>
        <v>107384223.19573878</v>
      </c>
      <c r="R33" s="22"/>
    </row>
    <row r="34" spans="15:18" ht="49" thickTop="1" thickBot="1" x14ac:dyDescent="0.6">
      <c r="O34" s="17" t="s">
        <v>33</v>
      </c>
      <c r="P34" s="17"/>
      <c r="Q34" s="18" t="str">
        <f>IF(Q33&gt;=E20, "Goal Achieved", "Goal not Achieved")</f>
        <v>Goal Achieved</v>
      </c>
      <c r="R34" s="18"/>
    </row>
    <row r="35" spans="15:18" ht="48" thickTop="1" x14ac:dyDescent="0.55000000000000004"/>
  </sheetData>
  <sheetProtection algorithmName="SHA-512" hashValue="wN6o9klpD8jR8PIMfscr1i7g9iHwoD+aHeYccYvRHI+imUiLTwoHtT1RZZSgmce77tzoHM3oKs27B4QSKKiKcg==" saltValue="mwdAZ+4AZleXJy2qyEuRWQ==" spinCount="100000" sheet="1" objects="1" scenarios="1"/>
  <mergeCells count="9">
    <mergeCell ref="O34:P34"/>
    <mergeCell ref="Q34:R34"/>
    <mergeCell ref="D4:E4"/>
    <mergeCell ref="I4:L4"/>
    <mergeCell ref="O4:R4"/>
    <mergeCell ref="D14:E14"/>
    <mergeCell ref="D18:E18"/>
    <mergeCell ref="O33:P33"/>
    <mergeCell ref="Q33:R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2026-05-02T13:55:14Z</dcterms:created>
  <dcterms:modified xsi:type="dcterms:W3CDTF">2026-05-03T06:15:06Z</dcterms:modified>
</cp:coreProperties>
</file>