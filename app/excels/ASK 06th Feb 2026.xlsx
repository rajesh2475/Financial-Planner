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isebashanaik/Desktop/"/>
    </mc:Choice>
  </mc:AlternateContent>
  <xr:revisionPtr revIDLastSave="0" documentId="13_ncr:1_{819C02B5-0DA7-194B-8465-BD428D79E224}" xr6:coauthVersionLast="47" xr6:coauthVersionMax="47" xr10:uidLastSave="{00000000-0000-0000-0000-000000000000}"/>
  <bookViews>
    <workbookView xWindow="0" yWindow="660" windowWidth="34560" windowHeight="19860" xr2:uid="{BA0302AC-45D3-6142-AF2F-215B964161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1" l="1"/>
  <c r="X6" i="1"/>
  <c r="V7" i="1" s="1"/>
  <c r="X7" i="1" s="1"/>
  <c r="V8" i="1" s="1"/>
  <c r="W7" i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J6" i="1"/>
  <c r="J9" i="1" s="1"/>
  <c r="O7" i="1"/>
  <c r="O8" i="1" s="1"/>
  <c r="N6" i="1"/>
  <c r="R6" i="1" s="1"/>
  <c r="N7" i="1" s="1"/>
  <c r="R7" i="1" s="1"/>
  <c r="N8" i="1" s="1"/>
  <c r="J10" i="1" l="1"/>
  <c r="Q22" i="1" s="1"/>
  <c r="J11" i="1"/>
  <c r="J14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X8" i="1"/>
  <c r="V9" i="1" s="1"/>
  <c r="X9" i="1"/>
  <c r="V10" i="1" s="1"/>
  <c r="X10" i="1" s="1"/>
  <c r="V11" i="1" s="1"/>
  <c r="X11" i="1" s="1"/>
  <c r="V12" i="1" s="1"/>
  <c r="X12" i="1" s="1"/>
  <c r="V13" i="1" s="1"/>
  <c r="X13" i="1" s="1"/>
  <c r="V14" i="1" s="1"/>
  <c r="X14" i="1" s="1"/>
  <c r="V15" i="1" s="1"/>
  <c r="X15" i="1" s="1"/>
  <c r="V16" i="1" s="1"/>
  <c r="X16" i="1" s="1"/>
  <c r="V17" i="1" s="1"/>
  <c r="X17" i="1" s="1"/>
  <c r="V18" i="1" s="1"/>
  <c r="X18" i="1" s="1"/>
  <c r="V19" i="1" s="1"/>
  <c r="X19" i="1" s="1"/>
  <c r="V20" i="1" s="1"/>
  <c r="X20" i="1" s="1"/>
  <c r="V21" i="1" s="1"/>
  <c r="X21" i="1" s="1"/>
  <c r="V22" i="1" s="1"/>
  <c r="X22" i="1" s="1"/>
  <c r="V23" i="1" s="1"/>
  <c r="X23" i="1" s="1"/>
  <c r="V24" i="1" s="1"/>
  <c r="X24" i="1" s="1"/>
  <c r="V25" i="1" s="1"/>
  <c r="X25" i="1" s="1"/>
  <c r="V26" i="1" s="1"/>
  <c r="X26" i="1" s="1"/>
  <c r="V27" i="1" s="1"/>
  <c r="X27" i="1" s="1"/>
  <c r="V28" i="1" s="1"/>
  <c r="X28" i="1" s="1"/>
  <c r="V29" i="1" s="1"/>
  <c r="X29" i="1" s="1"/>
  <c r="V30" i="1" s="1"/>
  <c r="X30" i="1" s="1"/>
  <c r="V31" i="1" s="1"/>
  <c r="X31" i="1" s="1"/>
  <c r="V32" i="1" s="1"/>
  <c r="X32" i="1" s="1"/>
  <c r="V33" i="1" s="1"/>
  <c r="X33" i="1" s="1"/>
  <c r="V34" i="1" s="1"/>
  <c r="X34" i="1" s="1"/>
  <c r="R8" i="1"/>
  <c r="N9" i="1" s="1"/>
  <c r="O9" i="1"/>
  <c r="R9" i="1" l="1"/>
  <c r="N10" i="1" s="1"/>
  <c r="O10" i="1"/>
  <c r="O11" i="1" l="1"/>
  <c r="R10" i="1"/>
  <c r="N11" i="1" s="1"/>
  <c r="R11" i="1" l="1"/>
  <c r="N12" i="1" s="1"/>
  <c r="O12" i="1"/>
  <c r="R12" i="1" l="1"/>
  <c r="N13" i="1" s="1"/>
  <c r="O13" i="1"/>
  <c r="R13" i="1" l="1"/>
  <c r="N14" i="1" s="1"/>
  <c r="O14" i="1"/>
  <c r="R14" i="1" l="1"/>
  <c r="N15" i="1" s="1"/>
  <c r="O15" i="1"/>
  <c r="O16" i="1" l="1"/>
  <c r="R15" i="1"/>
  <c r="N16" i="1" s="1"/>
  <c r="R16" i="1" l="1"/>
  <c r="N17" i="1" s="1"/>
  <c r="O17" i="1"/>
  <c r="O18" i="1" l="1"/>
  <c r="R17" i="1"/>
  <c r="N18" i="1" s="1"/>
  <c r="R18" i="1" l="1"/>
  <c r="N19" i="1" s="1"/>
  <c r="O19" i="1"/>
  <c r="O20" i="1" l="1"/>
  <c r="R19" i="1"/>
  <c r="N20" i="1" s="1"/>
  <c r="O21" i="1" l="1"/>
  <c r="R20" i="1"/>
  <c r="N21" i="1" s="1"/>
  <c r="R21" i="1" l="1"/>
  <c r="N22" i="1" s="1"/>
  <c r="O22" i="1"/>
  <c r="R22" i="1" l="1"/>
  <c r="N23" i="1" s="1"/>
  <c r="O23" i="1"/>
  <c r="R23" i="1" l="1"/>
  <c r="N24" i="1"/>
  <c r="O24" i="1"/>
  <c r="R24" i="1" l="1"/>
  <c r="N25" i="1"/>
  <c r="R25" i="1" s="1"/>
  <c r="O25" i="1"/>
  <c r="N26" i="1" l="1"/>
  <c r="O26" i="1"/>
  <c r="R26" i="1" l="1"/>
  <c r="N27" i="1" s="1"/>
  <c r="R27" i="1" s="1"/>
  <c r="O27" i="1"/>
  <c r="O28" i="1" l="1"/>
  <c r="N28" i="1"/>
  <c r="R28" i="1" s="1"/>
  <c r="N29" i="1" l="1"/>
  <c r="O29" i="1"/>
  <c r="R29" i="1" l="1"/>
  <c r="N30" i="1"/>
  <c r="O30" i="1"/>
  <c r="R30" i="1" l="1"/>
  <c r="O31" i="1"/>
  <c r="N31" i="1"/>
  <c r="R31" i="1" s="1"/>
  <c r="N32" i="1" l="1"/>
  <c r="O32" i="1"/>
  <c r="R32" i="1" l="1"/>
  <c r="N33" i="1"/>
  <c r="O33" i="1"/>
  <c r="R33" i="1" l="1"/>
  <c r="O34" i="1"/>
  <c r="N34" i="1"/>
  <c r="R34" i="1" s="1"/>
  <c r="E17" i="1" s="1"/>
</calcChain>
</file>

<file path=xl/sharedStrings.xml><?xml version="1.0" encoding="utf-8"?>
<sst xmlns="http://schemas.openxmlformats.org/spreadsheetml/2006/main" count="49" uniqueCount="40">
  <si>
    <t>Name</t>
  </si>
  <si>
    <t>Age</t>
  </si>
  <si>
    <t>Monthly Take Home</t>
  </si>
  <si>
    <t>PF Contribution</t>
  </si>
  <si>
    <t>per anum</t>
  </si>
  <si>
    <t xml:space="preserve">Stocks </t>
  </si>
  <si>
    <t>Mutual Funds</t>
  </si>
  <si>
    <t>Monthly Expenses</t>
  </si>
  <si>
    <t>Health Insurance</t>
  </si>
  <si>
    <t>Term Insurance</t>
  </si>
  <si>
    <t>SIP</t>
  </si>
  <si>
    <t>step-up 6% - 8%</t>
  </si>
  <si>
    <t>Begin Value</t>
  </si>
  <si>
    <t>Withdrawal</t>
  </si>
  <si>
    <t>End Value</t>
  </si>
  <si>
    <t>Expected Return</t>
  </si>
  <si>
    <t>Step-Up</t>
  </si>
  <si>
    <t>Dream House Construction</t>
  </si>
  <si>
    <t>Current Age</t>
  </si>
  <si>
    <t>Goal Planned Age</t>
  </si>
  <si>
    <t>Time Left</t>
  </si>
  <si>
    <t>Current Cost</t>
  </si>
  <si>
    <t>Inflation</t>
  </si>
  <si>
    <t>Cost Required</t>
  </si>
  <si>
    <t>Down Payment 30%</t>
  </si>
  <si>
    <t>EMI</t>
  </si>
  <si>
    <t>Loan Amount</t>
  </si>
  <si>
    <t>Loan Tenure</t>
  </si>
  <si>
    <t>Interest Rate</t>
  </si>
  <si>
    <t>Aprox EMI</t>
  </si>
  <si>
    <t>Begin</t>
  </si>
  <si>
    <t>Corpus @ 50 years</t>
  </si>
  <si>
    <t>Viral Cric Clips</t>
  </si>
  <si>
    <t xml:space="preserve">Father Cash </t>
  </si>
  <si>
    <t xml:space="preserve">Option </t>
  </si>
  <si>
    <t>Total cost</t>
  </si>
  <si>
    <t>Expected Rental</t>
  </si>
  <si>
    <t>The Rental Yield</t>
  </si>
  <si>
    <t>House</t>
  </si>
  <si>
    <t>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</si>
</sst>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₹&quot;#,##0.00_);[Red]\(&quot;₹&quot;#,##0.00\)"/>
    <numFmt numFmtId="164" formatCode="&quot;₹&quot;#,##0.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54E19"/>
        <bgColor indexed="64"/>
      </patternFill>
    </fill>
    <fill>
      <patternFill patternType="solid">
        <fgColor rgb="FFFFD579"/>
        <bgColor indexed="64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Protection="1">
      <protection hidden="1"/>
    </xf>
    <xf numFmtId="0" fontId="2" fillId="0" borderId="1" xfId="0" applyFont="1" applyBorder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0" fontId="3" fillId="2" borderId="1" xfId="0" applyFont="1" applyFill="1" applyBorder="1" applyProtection="1">
      <protection hidden="1"/>
    </xf>
    <xf numFmtId="9" fontId="2" fillId="0" borderId="1" xfId="0" applyNumberFormat="1" applyFont="1" applyBorder="1" applyAlignment="1" applyProtection="1">
      <alignment horizontal="center"/>
      <protection hidden="1"/>
    </xf>
    <xf numFmtId="9" fontId="2" fillId="0" borderId="0" xfId="0" applyNumberFormat="1" applyFont="1" applyAlignment="1" applyProtection="1">
      <alignment horizontal="center"/>
      <protection hidden="1"/>
    </xf>
    <xf numFmtId="0" fontId="3" fillId="2" borderId="2" xfId="0" applyFont="1" applyFill="1" applyBorder="1" applyProtection="1">
      <protection hidden="1"/>
    </xf>
    <xf numFmtId="9" fontId="2" fillId="0" borderId="2" xfId="0" applyNumberFormat="1" applyFont="1" applyBorder="1" applyAlignment="1" applyProtection="1">
      <alignment horizontal="center"/>
      <protection hidden="1"/>
    </xf>
    <xf numFmtId="164" fontId="2" fillId="0" borderId="1" xfId="0" applyNumberFormat="1" applyFont="1" applyBorder="1" applyProtection="1">
      <protection hidden="1"/>
    </xf>
    <xf numFmtId="0" fontId="3" fillId="2" borderId="1" xfId="0" applyFont="1" applyFill="1" applyBorder="1" applyAlignment="1" applyProtection="1">
      <alignment horizontal="center"/>
      <protection hidden="1"/>
    </xf>
    <xf numFmtId="164" fontId="2" fillId="0" borderId="1" xfId="0" applyNumberFormat="1" applyFont="1" applyBorder="1" applyAlignment="1" applyProtection="1">
      <alignment horizontal="center"/>
      <protection hidden="1"/>
    </xf>
    <xf numFmtId="8" fontId="2" fillId="0" borderId="1" xfId="0" applyNumberFormat="1" applyFont="1" applyBorder="1" applyProtection="1">
      <protection hidden="1"/>
    </xf>
    <xf numFmtId="9" fontId="2" fillId="0" borderId="1" xfId="0" applyNumberFormat="1" applyFont="1" applyBorder="1" applyProtection="1">
      <protection hidden="1"/>
    </xf>
    <xf numFmtId="10" fontId="2" fillId="0" borderId="1" xfId="1" applyNumberFormat="1" applyFont="1" applyBorder="1" applyProtection="1">
      <protection hidden="1"/>
    </xf>
    <xf numFmtId="0" fontId="2" fillId="3" borderId="1" xfId="0" applyFont="1" applyFill="1" applyBorder="1" applyProtection="1">
      <protection locked="0"/>
    </xf>
    <xf numFmtId="10" fontId="2" fillId="3" borderId="1" xfId="0" applyNumberFormat="1" applyFont="1" applyFill="1" applyBorder="1" applyProtection="1">
      <protection locked="0"/>
    </xf>
    <xf numFmtId="164" fontId="2" fillId="3" borderId="1" xfId="0" applyNumberFormat="1" applyFont="1" applyFill="1" applyBorder="1" applyProtection="1">
      <protection locked="0"/>
    </xf>
    <xf numFmtId="9" fontId="2" fillId="3" borderId="1" xfId="0" applyNumberFormat="1" applyFont="1" applyFill="1" applyBorder="1" applyAlignment="1" applyProtection="1">
      <alignment horizontal="center"/>
      <protection locked="0"/>
    </xf>
    <xf numFmtId="164" fontId="2" fillId="3" borderId="1" xfId="0" applyNumberFormat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FFD579"/>
      <color rgb="FF754E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1EE9B-939C-0648-BF60-B846D0C1E6B7}">
  <dimension ref="D2:X35"/>
  <sheetViews>
    <sheetView showGridLines="0" tabSelected="1" zoomScale="59" workbookViewId="0">
      <selection activeCell="AR60" sqref="AR60"/>
    </sheetView>
  </sheetViews>
  <sheetFormatPr baseColWidth="10" defaultRowHeight="47" x14ac:dyDescent="0.55000000000000004"/>
  <cols>
    <col min="1" max="3" width="10.83203125" style="1"/>
    <col min="4" max="4" width="50.33203125" style="1" bestFit="1" customWidth="1"/>
    <col min="5" max="5" width="59" style="1" customWidth="1"/>
    <col min="6" max="7" width="10.83203125" style="1"/>
    <col min="8" max="8" width="29" style="1" customWidth="1"/>
    <col min="9" max="9" width="51.6640625" style="1" customWidth="1"/>
    <col min="10" max="10" width="59.1640625" style="1" customWidth="1"/>
    <col min="11" max="12" width="10.83203125" style="1"/>
    <col min="13" max="13" width="17.33203125" style="1" customWidth="1"/>
    <col min="14" max="14" width="71" style="1" customWidth="1"/>
    <col min="15" max="15" width="53.1640625" style="1" customWidth="1"/>
    <col min="16" max="16" width="51.1640625" style="1" customWidth="1"/>
    <col min="17" max="17" width="58.33203125" style="1" customWidth="1"/>
    <col min="18" max="18" width="56.1640625" style="1" customWidth="1"/>
    <col min="19" max="19" width="21.1640625" style="1" customWidth="1"/>
    <col min="20" max="20" width="10.83203125" style="1"/>
    <col min="21" max="21" width="17" style="1" customWidth="1"/>
    <col min="22" max="22" width="61.83203125" style="1" customWidth="1"/>
    <col min="23" max="23" width="56.33203125" style="1" customWidth="1"/>
    <col min="24" max="24" width="60.6640625" style="1" customWidth="1"/>
    <col min="25" max="34" width="10.83203125" style="1"/>
    <col min="35" max="35" width="33.83203125" style="1" customWidth="1"/>
    <col min="36" max="16384" width="10.83203125" style="1"/>
  </cols>
  <sheetData>
    <row r="2" spans="4:24" ht="48" thickBot="1" x14ac:dyDescent="0.6"/>
    <row r="3" spans="4:24" ht="49" thickTop="1" thickBot="1" x14ac:dyDescent="0.6">
      <c r="D3" s="2" t="s">
        <v>0</v>
      </c>
      <c r="E3" s="2" t="s">
        <v>32</v>
      </c>
      <c r="I3" s="3" t="s">
        <v>17</v>
      </c>
      <c r="J3" s="3"/>
      <c r="N3" s="4" t="s">
        <v>15</v>
      </c>
      <c r="O3" s="18">
        <v>0.12</v>
      </c>
      <c r="P3" s="6"/>
      <c r="V3" s="4" t="s">
        <v>15</v>
      </c>
      <c r="W3" s="5">
        <v>7.0000000000000007E-2</v>
      </c>
    </row>
    <row r="4" spans="4:24" ht="49" thickTop="1" thickBot="1" x14ac:dyDescent="0.6">
      <c r="D4" s="2" t="s">
        <v>1</v>
      </c>
      <c r="E4" s="2">
        <v>22</v>
      </c>
      <c r="I4" s="2" t="s">
        <v>18</v>
      </c>
      <c r="J4" s="2">
        <v>22</v>
      </c>
      <c r="N4" s="4" t="s">
        <v>16</v>
      </c>
      <c r="O4" s="18">
        <v>0.06</v>
      </c>
      <c r="P4" s="6"/>
      <c r="V4" s="7" t="s">
        <v>16</v>
      </c>
      <c r="W4" s="8">
        <v>0.06</v>
      </c>
    </row>
    <row r="5" spans="4:24" ht="49" thickTop="1" thickBot="1" x14ac:dyDescent="0.6">
      <c r="D5" s="2" t="s">
        <v>2</v>
      </c>
      <c r="E5" s="9">
        <v>120000</v>
      </c>
      <c r="I5" s="2" t="s">
        <v>19</v>
      </c>
      <c r="J5" s="2">
        <v>38</v>
      </c>
      <c r="M5" s="10" t="s">
        <v>1</v>
      </c>
      <c r="N5" s="10" t="s">
        <v>12</v>
      </c>
      <c r="O5" s="10" t="s">
        <v>10</v>
      </c>
      <c r="P5" s="10" t="s">
        <v>25</v>
      </c>
      <c r="Q5" s="10" t="s">
        <v>13</v>
      </c>
      <c r="R5" s="10" t="s">
        <v>14</v>
      </c>
      <c r="U5" s="10" t="s">
        <v>1</v>
      </c>
      <c r="V5" s="10" t="s">
        <v>30</v>
      </c>
      <c r="W5" s="10" t="s">
        <v>3</v>
      </c>
      <c r="X5" s="10" t="s">
        <v>14</v>
      </c>
    </row>
    <row r="6" spans="4:24" ht="49" thickTop="1" thickBot="1" x14ac:dyDescent="0.6">
      <c r="D6" s="2" t="s">
        <v>3</v>
      </c>
      <c r="E6" s="9">
        <v>100000</v>
      </c>
      <c r="F6" s="1" t="s">
        <v>4</v>
      </c>
      <c r="I6" s="2" t="s">
        <v>20</v>
      </c>
      <c r="J6" s="2">
        <f>J5-J4</f>
        <v>16</v>
      </c>
      <c r="M6" s="2">
        <v>22</v>
      </c>
      <c r="N6" s="9">
        <f>E12+E13</f>
        <v>500000</v>
      </c>
      <c r="O6" s="9">
        <v>50000</v>
      </c>
      <c r="P6" s="11">
        <v>0</v>
      </c>
      <c r="Q6" s="19">
        <v>0</v>
      </c>
      <c r="R6" s="12">
        <f>FV(NOMINAL($O$3,12)/12,12,-O6,-N6)-Q6</f>
        <v>1192324.8954176623</v>
      </c>
      <c r="U6" s="2">
        <v>22</v>
      </c>
      <c r="V6" s="9">
        <v>0</v>
      </c>
      <c r="W6" s="9">
        <v>100000</v>
      </c>
      <c r="X6" s="9">
        <f>(V6+W6)*(1+$W$3)</f>
        <v>107000</v>
      </c>
    </row>
    <row r="7" spans="4:24" ht="49" thickTop="1" thickBot="1" x14ac:dyDescent="0.6">
      <c r="D7" s="2" t="s">
        <v>7</v>
      </c>
      <c r="E7" s="9">
        <v>30000</v>
      </c>
      <c r="I7" s="2" t="s">
        <v>21</v>
      </c>
      <c r="J7" s="17">
        <v>7000000</v>
      </c>
      <c r="M7" s="2">
        <v>23</v>
      </c>
      <c r="N7" s="12">
        <f>R6</f>
        <v>1192324.8954176623</v>
      </c>
      <c r="O7" s="9">
        <f>O6*(1+$O$4)</f>
        <v>53000</v>
      </c>
      <c r="P7" s="11">
        <v>0</v>
      </c>
      <c r="Q7" s="19">
        <v>0</v>
      </c>
      <c r="R7" s="12">
        <f>FV(NOMINAL($O$3,12)/12,12,-O7,-N7)-Q7</f>
        <v>2005668.272010505</v>
      </c>
      <c r="U7" s="2">
        <v>23</v>
      </c>
      <c r="V7" s="9">
        <f>X6</f>
        <v>107000</v>
      </c>
      <c r="W7" s="9">
        <f>W6*(1+$W$4)</f>
        <v>106000</v>
      </c>
      <c r="X7" s="9">
        <f t="shared" ref="X7:X34" si="0">(V7+W7)*(1+$W$3)</f>
        <v>227910</v>
      </c>
    </row>
    <row r="8" spans="4:24" ht="49" thickTop="1" thickBot="1" x14ac:dyDescent="0.6">
      <c r="D8" s="2" t="s">
        <v>8</v>
      </c>
      <c r="E8" s="9">
        <v>30000</v>
      </c>
      <c r="F8" s="1" t="s">
        <v>4</v>
      </c>
      <c r="I8" s="2" t="s">
        <v>22</v>
      </c>
      <c r="J8" s="13">
        <v>7.0000000000000007E-2</v>
      </c>
      <c r="M8" s="2">
        <v>24</v>
      </c>
      <c r="N8" s="12">
        <f t="shared" ref="N8:N34" si="1">R7</f>
        <v>2005668.272010505</v>
      </c>
      <c r="O8" s="9">
        <f t="shared" ref="O8:O34" si="2">O7*(1+$O$4)</f>
        <v>56180</v>
      </c>
      <c r="P8" s="11">
        <v>0</v>
      </c>
      <c r="Q8" s="19">
        <v>0</v>
      </c>
      <c r="R8" s="12">
        <f t="shared" ref="R8:R22" si="3">FV(NOMINAL($O$3,12)/12,12,-O8,-N8)-Q8</f>
        <v>2956828.7171430532</v>
      </c>
      <c r="U8" s="2">
        <v>24</v>
      </c>
      <c r="V8" s="9">
        <f t="shared" ref="V8:V34" si="4">X7</f>
        <v>227910</v>
      </c>
      <c r="W8" s="9">
        <f t="shared" ref="W8:W34" si="5">W7*(1+$W$4)</f>
        <v>112360</v>
      </c>
      <c r="X8" s="9">
        <f t="shared" si="0"/>
        <v>364088.9</v>
      </c>
    </row>
    <row r="9" spans="4:24" ht="49" thickTop="1" thickBot="1" x14ac:dyDescent="0.6">
      <c r="D9" s="2" t="s">
        <v>9</v>
      </c>
      <c r="E9" s="9">
        <v>20000</v>
      </c>
      <c r="F9" s="1" t="s">
        <v>4</v>
      </c>
      <c r="I9" s="2" t="s">
        <v>23</v>
      </c>
      <c r="J9" s="12">
        <f>FV(J8,J6,0,-J7)</f>
        <v>20665146.239957854</v>
      </c>
      <c r="M9" s="2">
        <v>25</v>
      </c>
      <c r="N9" s="12">
        <f t="shared" si="1"/>
        <v>2956828.7171430532</v>
      </c>
      <c r="O9" s="9">
        <f t="shared" si="2"/>
        <v>59550.8</v>
      </c>
      <c r="P9" s="11">
        <v>0</v>
      </c>
      <c r="Q9" s="19">
        <v>0</v>
      </c>
      <c r="R9" s="12">
        <f t="shared" si="3"/>
        <v>4064757.2308409857</v>
      </c>
      <c r="U9" s="2">
        <v>25</v>
      </c>
      <c r="V9" s="9">
        <f t="shared" si="4"/>
        <v>364088.9</v>
      </c>
      <c r="W9" s="9">
        <f t="shared" si="5"/>
        <v>119101.6</v>
      </c>
      <c r="X9" s="9">
        <f t="shared" si="0"/>
        <v>517013.83500000002</v>
      </c>
    </row>
    <row r="10" spans="4:24" ht="49" thickTop="1" thickBot="1" x14ac:dyDescent="0.6">
      <c r="I10" s="2" t="s">
        <v>24</v>
      </c>
      <c r="J10" s="12">
        <f>J9*30%</f>
        <v>6199543.8719873559</v>
      </c>
      <c r="M10" s="2">
        <v>26</v>
      </c>
      <c r="N10" s="12">
        <f t="shared" si="1"/>
        <v>4064757.2308409857</v>
      </c>
      <c r="O10" s="9">
        <f t="shared" si="2"/>
        <v>63123.848000000005</v>
      </c>
      <c r="P10" s="11">
        <v>0</v>
      </c>
      <c r="Q10" s="19">
        <v>5000000</v>
      </c>
      <c r="R10" s="12">
        <f t="shared" si="3"/>
        <v>350823.71024111751</v>
      </c>
      <c r="S10" s="1" t="s">
        <v>39</v>
      </c>
      <c r="U10" s="2">
        <v>26</v>
      </c>
      <c r="V10" s="9">
        <f t="shared" si="4"/>
        <v>517013.83500000002</v>
      </c>
      <c r="W10" s="9">
        <f t="shared" si="5"/>
        <v>126247.69600000001</v>
      </c>
      <c r="X10" s="9">
        <f t="shared" si="0"/>
        <v>688289.83817000012</v>
      </c>
    </row>
    <row r="11" spans="4:24" ht="49" thickTop="1" thickBot="1" x14ac:dyDescent="0.6">
      <c r="I11" s="2" t="s">
        <v>26</v>
      </c>
      <c r="J11" s="12">
        <f>J9-J10</f>
        <v>14465602.367970498</v>
      </c>
      <c r="M11" s="2">
        <v>27</v>
      </c>
      <c r="N11" s="12">
        <f t="shared" si="1"/>
        <v>350823.71024111751</v>
      </c>
      <c r="O11" s="9">
        <f t="shared" si="2"/>
        <v>66911.278880000013</v>
      </c>
      <c r="P11" s="11">
        <v>0</v>
      </c>
      <c r="Q11" s="19">
        <v>0</v>
      </c>
      <c r="R11" s="12">
        <f t="shared" si="3"/>
        <v>1239115.9038712122</v>
      </c>
      <c r="U11" s="2">
        <v>27</v>
      </c>
      <c r="V11" s="9">
        <f t="shared" si="4"/>
        <v>688289.83817000012</v>
      </c>
      <c r="W11" s="9">
        <f t="shared" si="5"/>
        <v>133822.55776000003</v>
      </c>
      <c r="X11" s="9">
        <f t="shared" si="0"/>
        <v>879660.26364510017</v>
      </c>
    </row>
    <row r="12" spans="4:24" ht="49" thickTop="1" thickBot="1" x14ac:dyDescent="0.6">
      <c r="D12" s="2" t="s">
        <v>5</v>
      </c>
      <c r="E12" s="9">
        <v>200000</v>
      </c>
      <c r="I12" s="2" t="s">
        <v>27</v>
      </c>
      <c r="J12" s="15">
        <v>10</v>
      </c>
      <c r="M12" s="2">
        <v>28</v>
      </c>
      <c r="N12" s="12">
        <f t="shared" si="1"/>
        <v>1239115.9038712122</v>
      </c>
      <c r="O12" s="9">
        <f t="shared" si="2"/>
        <v>70925.955612800011</v>
      </c>
      <c r="P12" s="11">
        <v>0</v>
      </c>
      <c r="Q12" s="19">
        <v>0</v>
      </c>
      <c r="R12" s="12">
        <f t="shared" si="3"/>
        <v>2284774.7616409892</v>
      </c>
      <c r="U12" s="2">
        <v>28</v>
      </c>
      <c r="V12" s="9">
        <f t="shared" si="4"/>
        <v>879660.26364510017</v>
      </c>
      <c r="W12" s="9">
        <f t="shared" si="5"/>
        <v>141851.91122560002</v>
      </c>
      <c r="X12" s="9">
        <f t="shared" si="0"/>
        <v>1093018.0271116493</v>
      </c>
    </row>
    <row r="13" spans="4:24" ht="49" thickTop="1" thickBot="1" x14ac:dyDescent="0.6">
      <c r="D13" s="2" t="s">
        <v>6</v>
      </c>
      <c r="E13" s="9">
        <v>300000</v>
      </c>
      <c r="I13" s="2" t="s">
        <v>28</v>
      </c>
      <c r="J13" s="16">
        <v>7.4999999999999997E-2</v>
      </c>
      <c r="M13" s="2">
        <v>29</v>
      </c>
      <c r="N13" s="12">
        <f t="shared" si="1"/>
        <v>2284774.7616409892</v>
      </c>
      <c r="O13" s="9">
        <f t="shared" si="2"/>
        <v>75181.512949568016</v>
      </c>
      <c r="P13" s="11">
        <v>0</v>
      </c>
      <c r="Q13" s="19">
        <v>0</v>
      </c>
      <c r="R13" s="12">
        <f t="shared" si="3"/>
        <v>3509730.5793014551</v>
      </c>
      <c r="U13" s="2">
        <v>29</v>
      </c>
      <c r="V13" s="9">
        <f t="shared" si="4"/>
        <v>1093018.0271116493</v>
      </c>
      <c r="W13" s="9">
        <f t="shared" si="5"/>
        <v>150363.02589913603</v>
      </c>
      <c r="X13" s="9">
        <f t="shared" si="0"/>
        <v>1330417.7267215403</v>
      </c>
    </row>
    <row r="14" spans="4:24" ht="49" thickTop="1" thickBot="1" x14ac:dyDescent="0.6">
      <c r="D14" s="2" t="s">
        <v>10</v>
      </c>
      <c r="E14" s="9">
        <v>50000</v>
      </c>
      <c r="F14" s="1" t="s">
        <v>11</v>
      </c>
      <c r="I14" s="2" t="s">
        <v>29</v>
      </c>
      <c r="J14" s="12">
        <f>PMT(J13/12,J12*12,-J11,0)</f>
        <v>171709.25926939002</v>
      </c>
      <c r="M14" s="2">
        <v>30</v>
      </c>
      <c r="N14" s="12">
        <f t="shared" si="1"/>
        <v>3509730.5793014551</v>
      </c>
      <c r="O14" s="9">
        <f t="shared" si="2"/>
        <v>79692.403726542107</v>
      </c>
      <c r="P14" s="11">
        <v>0</v>
      </c>
      <c r="Q14" s="19">
        <v>0</v>
      </c>
      <c r="R14" s="12">
        <f t="shared" si="3"/>
        <v>4938728.0658569913</v>
      </c>
      <c r="U14" s="2">
        <v>30</v>
      </c>
      <c r="V14" s="9">
        <f t="shared" si="4"/>
        <v>1330417.7267215403</v>
      </c>
      <c r="W14" s="9">
        <f t="shared" si="5"/>
        <v>159384.80745308421</v>
      </c>
      <c r="X14" s="9">
        <f t="shared" si="0"/>
        <v>1594088.7115668484</v>
      </c>
    </row>
    <row r="15" spans="4:24" ht="49" thickTop="1" thickBot="1" x14ac:dyDescent="0.6">
      <c r="M15" s="2">
        <v>31</v>
      </c>
      <c r="N15" s="12">
        <f t="shared" si="1"/>
        <v>4938728.0658569913</v>
      </c>
      <c r="O15" s="9">
        <f t="shared" si="2"/>
        <v>84473.947950134636</v>
      </c>
      <c r="P15" s="11">
        <v>0</v>
      </c>
      <c r="Q15" s="19">
        <v>0</v>
      </c>
      <c r="R15" s="12">
        <f t="shared" si="3"/>
        <v>6599675.0398215549</v>
      </c>
      <c r="U15" s="2">
        <v>31</v>
      </c>
      <c r="V15" s="9">
        <f t="shared" si="4"/>
        <v>1594088.7115668484</v>
      </c>
      <c r="W15" s="9">
        <f t="shared" si="5"/>
        <v>168947.89590026927</v>
      </c>
      <c r="X15" s="9">
        <f t="shared" si="0"/>
        <v>1886449.1699898161</v>
      </c>
    </row>
    <row r="16" spans="4:24" ht="49" thickTop="1" thickBot="1" x14ac:dyDescent="0.6">
      <c r="M16" s="2">
        <v>32</v>
      </c>
      <c r="N16" s="12">
        <f t="shared" si="1"/>
        <v>6599675.0398215549</v>
      </c>
      <c r="O16" s="9">
        <f t="shared" si="2"/>
        <v>89542.384827142712</v>
      </c>
      <c r="P16" s="11">
        <v>0</v>
      </c>
      <c r="Q16" s="19">
        <v>0</v>
      </c>
      <c r="R16" s="12">
        <f t="shared" si="3"/>
        <v>8524033.6270255707</v>
      </c>
      <c r="U16" s="2">
        <v>32</v>
      </c>
      <c r="V16" s="9">
        <f t="shared" si="4"/>
        <v>1886449.1699898161</v>
      </c>
      <c r="W16" s="9">
        <f t="shared" si="5"/>
        <v>179084.76965428542</v>
      </c>
      <c r="X16" s="9">
        <f t="shared" si="0"/>
        <v>2210121.3154191887</v>
      </c>
    </row>
    <row r="17" spans="4:24" ht="49" thickTop="1" thickBot="1" x14ac:dyDescent="0.6">
      <c r="D17" s="2" t="s">
        <v>31</v>
      </c>
      <c r="E17" s="12">
        <f>R34+X34</f>
        <v>108480126.90288304</v>
      </c>
      <c r="I17" s="3" t="s">
        <v>33</v>
      </c>
      <c r="J17" s="3"/>
      <c r="M17" s="2">
        <v>33</v>
      </c>
      <c r="N17" s="12">
        <f t="shared" si="1"/>
        <v>8524033.6270255707</v>
      </c>
      <c r="O17" s="9">
        <f t="shared" si="2"/>
        <v>94914.927916771281</v>
      </c>
      <c r="P17" s="11">
        <v>0</v>
      </c>
      <c r="Q17" s="19">
        <v>0</v>
      </c>
      <c r="R17" s="12">
        <f t="shared" si="3"/>
        <v>10747259.099639598</v>
      </c>
      <c r="U17" s="2">
        <v>33</v>
      </c>
      <c r="V17" s="9">
        <f t="shared" si="4"/>
        <v>2210121.3154191887</v>
      </c>
      <c r="W17" s="9">
        <f t="shared" si="5"/>
        <v>189829.85583354256</v>
      </c>
      <c r="X17" s="9">
        <f t="shared" si="0"/>
        <v>2567947.7532404223</v>
      </c>
    </row>
    <row r="18" spans="4:24" ht="49" thickTop="1" thickBot="1" x14ac:dyDescent="0.6">
      <c r="I18" s="2" t="s">
        <v>34</v>
      </c>
      <c r="J18" s="2">
        <v>2</v>
      </c>
      <c r="M18" s="2">
        <v>34</v>
      </c>
      <c r="N18" s="12">
        <f t="shared" si="1"/>
        <v>10747259.099639598</v>
      </c>
      <c r="O18" s="9">
        <f t="shared" si="2"/>
        <v>100609.82359177756</v>
      </c>
      <c r="P18" s="11">
        <v>0</v>
      </c>
      <c r="Q18" s="19">
        <v>0</v>
      </c>
      <c r="R18" s="12">
        <f t="shared" si="3"/>
        <v>13309292.115209568</v>
      </c>
      <c r="U18" s="2">
        <v>34</v>
      </c>
      <c r="V18" s="9">
        <f t="shared" si="4"/>
        <v>2567947.7532404223</v>
      </c>
      <c r="W18" s="9">
        <f t="shared" si="5"/>
        <v>201219.64718355512</v>
      </c>
      <c r="X18" s="9">
        <f t="shared" si="0"/>
        <v>2963009.1184536563</v>
      </c>
    </row>
    <row r="19" spans="4:24" ht="49" thickTop="1" thickBot="1" x14ac:dyDescent="0.6">
      <c r="I19" s="2" t="s">
        <v>35</v>
      </c>
      <c r="J19" s="9">
        <v>7000000</v>
      </c>
      <c r="M19" s="2">
        <v>35</v>
      </c>
      <c r="N19" s="12">
        <f t="shared" si="1"/>
        <v>13309292.115209568</v>
      </c>
      <c r="O19" s="9">
        <f t="shared" si="2"/>
        <v>106646.41300728422</v>
      </c>
      <c r="P19" s="11">
        <v>0</v>
      </c>
      <c r="Q19" s="19">
        <v>0</v>
      </c>
      <c r="R19" s="12">
        <f t="shared" si="3"/>
        <v>16255110.808064731</v>
      </c>
      <c r="U19" s="2">
        <v>35</v>
      </c>
      <c r="V19" s="9">
        <f t="shared" si="4"/>
        <v>2963009.1184536563</v>
      </c>
      <c r="W19" s="9">
        <f t="shared" si="5"/>
        <v>213292.82601456845</v>
      </c>
      <c r="X19" s="9">
        <f t="shared" si="0"/>
        <v>3398643.080581001</v>
      </c>
    </row>
    <row r="20" spans="4:24" ht="49" thickTop="1" thickBot="1" x14ac:dyDescent="0.6">
      <c r="I20" s="2" t="s">
        <v>36</v>
      </c>
      <c r="J20" s="9">
        <v>36000</v>
      </c>
      <c r="M20" s="2">
        <v>36</v>
      </c>
      <c r="N20" s="12">
        <f t="shared" si="1"/>
        <v>16255110.808064731</v>
      </c>
      <c r="O20" s="9">
        <f t="shared" si="2"/>
        <v>113045.19778772128</v>
      </c>
      <c r="P20" s="11">
        <v>0</v>
      </c>
      <c r="Q20" s="19">
        <v>0</v>
      </c>
      <c r="R20" s="12">
        <f t="shared" si="3"/>
        <v>19635349.962404318</v>
      </c>
      <c r="U20" s="2">
        <v>36</v>
      </c>
      <c r="V20" s="9">
        <f t="shared" si="4"/>
        <v>3398643.080581001</v>
      </c>
      <c r="W20" s="9">
        <f t="shared" si="5"/>
        <v>226090.39557544256</v>
      </c>
      <c r="X20" s="9">
        <f t="shared" si="0"/>
        <v>3878464.8194873948</v>
      </c>
    </row>
    <row r="21" spans="4:24" ht="49" thickTop="1" thickBot="1" x14ac:dyDescent="0.6">
      <c r="I21" s="2" t="s">
        <v>37</v>
      </c>
      <c r="J21" s="14">
        <f>(J20*12)/J19</f>
        <v>6.1714285714285715E-2</v>
      </c>
      <c r="M21" s="2">
        <v>37</v>
      </c>
      <c r="N21" s="12">
        <f t="shared" si="1"/>
        <v>19635349.962404318</v>
      </c>
      <c r="O21" s="9">
        <f t="shared" si="2"/>
        <v>119827.90965498456</v>
      </c>
      <c r="P21" s="11">
        <v>0</v>
      </c>
      <c r="Q21" s="19">
        <v>0</v>
      </c>
      <c r="R21" s="12">
        <f t="shared" si="3"/>
        <v>23506995.366706967</v>
      </c>
      <c r="U21" s="2">
        <v>37</v>
      </c>
      <c r="V21" s="9">
        <f t="shared" si="4"/>
        <v>3878464.8194873948</v>
      </c>
      <c r="W21" s="9">
        <f t="shared" si="5"/>
        <v>239655.81930996911</v>
      </c>
      <c r="X21" s="9">
        <f t="shared" si="0"/>
        <v>4406389.0835131798</v>
      </c>
    </row>
    <row r="22" spans="4:24" ht="49" thickTop="1" thickBot="1" x14ac:dyDescent="0.6">
      <c r="M22" s="2">
        <v>38</v>
      </c>
      <c r="N22" s="12">
        <f t="shared" si="1"/>
        <v>23506995.366706967</v>
      </c>
      <c r="O22" s="9">
        <f t="shared" si="2"/>
        <v>127017.58423428364</v>
      </c>
      <c r="P22" s="11">
        <v>0</v>
      </c>
      <c r="Q22" s="19">
        <f>J10</f>
        <v>6199543.8719873559</v>
      </c>
      <c r="R22" s="12">
        <f t="shared" si="3"/>
        <v>21734618.552067429</v>
      </c>
      <c r="S22" s="1" t="s">
        <v>38</v>
      </c>
      <c r="U22" s="2">
        <v>38</v>
      </c>
      <c r="V22" s="9">
        <f t="shared" si="4"/>
        <v>4406389.0835131798</v>
      </c>
      <c r="W22" s="9">
        <f t="shared" si="5"/>
        <v>254035.16846856728</v>
      </c>
      <c r="X22" s="9">
        <f t="shared" si="0"/>
        <v>4986653.9496204704</v>
      </c>
    </row>
    <row r="23" spans="4:24" ht="49" thickTop="1" thickBot="1" x14ac:dyDescent="0.6">
      <c r="M23" s="2">
        <v>39</v>
      </c>
      <c r="N23" s="12">
        <f t="shared" si="1"/>
        <v>21734618.552067429</v>
      </c>
      <c r="O23" s="9">
        <f t="shared" si="2"/>
        <v>134638.63928834067</v>
      </c>
      <c r="P23" s="11">
        <f>J14</f>
        <v>171709.25926939002</v>
      </c>
      <c r="Q23" s="19">
        <v>0</v>
      </c>
      <c r="R23" s="12">
        <f>FV(NOMINAL($O$3,12)/12,12,-(O23-P23),-N23)-Q23</f>
        <v>23873959.260263853</v>
      </c>
      <c r="U23" s="2">
        <v>39</v>
      </c>
      <c r="V23" s="9">
        <f t="shared" si="4"/>
        <v>4986653.9496204704</v>
      </c>
      <c r="W23" s="9">
        <f t="shared" si="5"/>
        <v>269277.27857668133</v>
      </c>
      <c r="X23" s="9">
        <f t="shared" si="0"/>
        <v>5623846.4141709525</v>
      </c>
    </row>
    <row r="24" spans="4:24" ht="49" thickTop="1" thickBot="1" x14ac:dyDescent="0.6">
      <c r="M24" s="2">
        <v>40</v>
      </c>
      <c r="N24" s="12">
        <f t="shared" si="1"/>
        <v>23873959.260263853</v>
      </c>
      <c r="O24" s="9">
        <f t="shared" si="2"/>
        <v>142716.95764564112</v>
      </c>
      <c r="P24" s="11">
        <f>P23</f>
        <v>171709.25926939002</v>
      </c>
      <c r="Q24" s="19">
        <v>0</v>
      </c>
      <c r="R24" s="12">
        <f t="shared" ref="R24:R34" si="6">FV(NOMINAL($O$3,12)/12,12,-(O24-P24),-N24)-Q24</f>
        <v>26372183.289652463</v>
      </c>
      <c r="U24" s="2">
        <v>40</v>
      </c>
      <c r="V24" s="9">
        <f t="shared" si="4"/>
        <v>5623846.4141709525</v>
      </c>
      <c r="W24" s="9">
        <f t="shared" si="5"/>
        <v>285433.91529128223</v>
      </c>
      <c r="X24" s="9">
        <f t="shared" si="0"/>
        <v>6322929.9525245912</v>
      </c>
    </row>
    <row r="25" spans="4:24" ht="49" thickTop="1" thickBot="1" x14ac:dyDescent="0.6">
      <c r="M25" s="2">
        <v>41</v>
      </c>
      <c r="N25" s="12">
        <f t="shared" si="1"/>
        <v>26372183.289652463</v>
      </c>
      <c r="O25" s="9">
        <f t="shared" si="2"/>
        <v>151279.97510437958</v>
      </c>
      <c r="P25" s="11">
        <f t="shared" ref="P25:P32" si="7">P24</f>
        <v>171709.25926939002</v>
      </c>
      <c r="Q25" s="19">
        <v>0</v>
      </c>
      <c r="R25" s="12">
        <f t="shared" si="6"/>
        <v>29278486.384948839</v>
      </c>
      <c r="U25" s="2">
        <v>41</v>
      </c>
      <c r="V25" s="9">
        <f t="shared" si="4"/>
        <v>6322929.9525245912</v>
      </c>
      <c r="W25" s="9">
        <f t="shared" si="5"/>
        <v>302559.95020875917</v>
      </c>
      <c r="X25" s="9">
        <f t="shared" si="0"/>
        <v>7089274.1959246853</v>
      </c>
    </row>
    <row r="26" spans="4:24" ht="49" thickTop="1" thickBot="1" x14ac:dyDescent="0.6">
      <c r="M26" s="2">
        <v>42</v>
      </c>
      <c r="N26" s="12">
        <f t="shared" si="1"/>
        <v>29278486.384948839</v>
      </c>
      <c r="O26" s="9">
        <f t="shared" si="2"/>
        <v>160356.77361064235</v>
      </c>
      <c r="P26" s="11">
        <f t="shared" si="7"/>
        <v>171709.25926939002</v>
      </c>
      <c r="Q26" s="19">
        <v>0</v>
      </c>
      <c r="R26" s="12">
        <f t="shared" si="6"/>
        <v>32648335.565004777</v>
      </c>
      <c r="U26" s="2">
        <v>42</v>
      </c>
      <c r="V26" s="9">
        <f t="shared" si="4"/>
        <v>7089274.1959246853</v>
      </c>
      <c r="W26" s="9">
        <f t="shared" si="5"/>
        <v>320713.54722128471</v>
      </c>
      <c r="X26" s="9">
        <f t="shared" si="0"/>
        <v>7928686.8851661878</v>
      </c>
    </row>
    <row r="27" spans="4:24" ht="49" thickTop="1" thickBot="1" x14ac:dyDescent="0.6">
      <c r="M27" s="2">
        <v>43</v>
      </c>
      <c r="N27" s="12">
        <f t="shared" si="1"/>
        <v>32648335.565004777</v>
      </c>
      <c r="O27" s="9">
        <f t="shared" si="2"/>
        <v>169978.18002728091</v>
      </c>
      <c r="P27" s="11">
        <f>P26</f>
        <v>171709.25926939002</v>
      </c>
      <c r="Q27" s="19">
        <v>0</v>
      </c>
      <c r="R27" s="12">
        <f t="shared" si="6"/>
        <v>36544243.74279087</v>
      </c>
      <c r="U27" s="2">
        <v>43</v>
      </c>
      <c r="V27" s="9">
        <f t="shared" si="4"/>
        <v>7928686.8851661878</v>
      </c>
      <c r="W27" s="9">
        <f t="shared" si="5"/>
        <v>339956.36005456181</v>
      </c>
      <c r="X27" s="9">
        <f t="shared" si="0"/>
        <v>8847448.2723862026</v>
      </c>
    </row>
    <row r="28" spans="4:24" ht="49" thickTop="1" thickBot="1" x14ac:dyDescent="0.6">
      <c r="M28" s="2">
        <v>44</v>
      </c>
      <c r="N28" s="12">
        <f t="shared" si="1"/>
        <v>36544243.74279087</v>
      </c>
      <c r="O28" s="9">
        <f t="shared" si="2"/>
        <v>180176.87082891777</v>
      </c>
      <c r="P28" s="11">
        <f t="shared" si="7"/>
        <v>171709.25926939002</v>
      </c>
      <c r="Q28" s="19">
        <v>0</v>
      </c>
      <c r="R28" s="12">
        <f t="shared" si="6"/>
        <v>41036638.62380214</v>
      </c>
      <c r="U28" s="2">
        <v>44</v>
      </c>
      <c r="V28" s="9">
        <f t="shared" si="4"/>
        <v>8847448.2723862026</v>
      </c>
      <c r="W28" s="9">
        <f t="shared" si="5"/>
        <v>360353.74165783555</v>
      </c>
      <c r="X28" s="9">
        <f t="shared" si="0"/>
        <v>9852348.1550271232</v>
      </c>
    </row>
    <row r="29" spans="4:24" ht="49" thickTop="1" thickBot="1" x14ac:dyDescent="0.6">
      <c r="M29" s="2">
        <v>45</v>
      </c>
      <c r="N29" s="12">
        <f t="shared" si="1"/>
        <v>41036638.62380214</v>
      </c>
      <c r="O29" s="9">
        <f t="shared" si="2"/>
        <v>190987.48307865285</v>
      </c>
      <c r="P29" s="11">
        <f t="shared" si="7"/>
        <v>171709.25926939002</v>
      </c>
      <c r="Q29" s="19">
        <v>0</v>
      </c>
      <c r="R29" s="12">
        <f t="shared" si="6"/>
        <v>46204837.275739059</v>
      </c>
      <c r="U29" s="2">
        <v>45</v>
      </c>
      <c r="V29" s="9">
        <f t="shared" si="4"/>
        <v>9852348.1550271232</v>
      </c>
      <c r="W29" s="9">
        <f t="shared" si="5"/>
        <v>381974.96615730569</v>
      </c>
      <c r="X29" s="9">
        <f t="shared" si="0"/>
        <v>10950725.739667339</v>
      </c>
    </row>
    <row r="30" spans="4:24" ht="49" thickTop="1" thickBot="1" x14ac:dyDescent="0.6">
      <c r="M30" s="2">
        <v>46</v>
      </c>
      <c r="N30" s="12">
        <f t="shared" si="1"/>
        <v>46204837.275739059</v>
      </c>
      <c r="O30" s="9">
        <f t="shared" si="2"/>
        <v>202446.73206337204</v>
      </c>
      <c r="P30" s="11">
        <f>P29</f>
        <v>171709.25926939002</v>
      </c>
      <c r="Q30" s="19">
        <v>0</v>
      </c>
      <c r="R30" s="12">
        <f t="shared" si="6"/>
        <v>52138139.134224974</v>
      </c>
      <c r="U30" s="2">
        <v>46</v>
      </c>
      <c r="V30" s="9">
        <f t="shared" si="4"/>
        <v>10950725.739667339</v>
      </c>
      <c r="W30" s="9">
        <f t="shared" si="5"/>
        <v>404893.46412674407</v>
      </c>
      <c r="X30" s="9">
        <f t="shared" si="0"/>
        <v>12150512.548059668</v>
      </c>
    </row>
    <row r="31" spans="4:24" ht="49" thickTop="1" thickBot="1" x14ac:dyDescent="0.6">
      <c r="M31" s="2">
        <v>47</v>
      </c>
      <c r="N31" s="12">
        <f t="shared" si="1"/>
        <v>52138139.134224974</v>
      </c>
      <c r="O31" s="9">
        <f t="shared" si="2"/>
        <v>214593.53598717437</v>
      </c>
      <c r="P31" s="11">
        <f t="shared" si="7"/>
        <v>171709.25926939002</v>
      </c>
      <c r="Q31" s="19">
        <v>0</v>
      </c>
      <c r="R31" s="12">
        <f t="shared" si="6"/>
        <v>58937051.746144749</v>
      </c>
      <c r="U31" s="2">
        <v>47</v>
      </c>
      <c r="V31" s="9">
        <f t="shared" si="4"/>
        <v>12150512.548059668</v>
      </c>
      <c r="W31" s="9">
        <f t="shared" si="5"/>
        <v>429187.07197434874</v>
      </c>
      <c r="X31" s="9">
        <f t="shared" si="0"/>
        <v>13460278.593436399</v>
      </c>
    </row>
    <row r="32" spans="4:24" ht="49" thickTop="1" thickBot="1" x14ac:dyDescent="0.6">
      <c r="M32" s="2">
        <v>48</v>
      </c>
      <c r="N32" s="12">
        <f t="shared" si="1"/>
        <v>58937051.746144749</v>
      </c>
      <c r="O32" s="9">
        <f t="shared" si="2"/>
        <v>227469.14814640486</v>
      </c>
      <c r="P32" s="11">
        <f t="shared" si="7"/>
        <v>171709.25926939002</v>
      </c>
      <c r="Q32" s="19">
        <v>0</v>
      </c>
      <c r="R32" s="12">
        <f t="shared" si="6"/>
        <v>66714665.273735382</v>
      </c>
      <c r="U32" s="2">
        <v>48</v>
      </c>
      <c r="V32" s="9">
        <f t="shared" si="4"/>
        <v>13460278.593436399</v>
      </c>
      <c r="W32" s="9">
        <f t="shared" si="5"/>
        <v>454938.29629280971</v>
      </c>
      <c r="X32" s="9">
        <f t="shared" si="0"/>
        <v>14889282.072010254</v>
      </c>
    </row>
    <row r="33" spans="13:24" ht="49" thickTop="1" thickBot="1" x14ac:dyDescent="0.6">
      <c r="M33" s="2">
        <v>49</v>
      </c>
      <c r="N33" s="12">
        <f t="shared" si="1"/>
        <v>66714665.273735382</v>
      </c>
      <c r="O33" s="9">
        <f t="shared" si="2"/>
        <v>241117.29703518917</v>
      </c>
      <c r="P33" s="11">
        <v>0</v>
      </c>
      <c r="Q33" s="19">
        <v>0</v>
      </c>
      <c r="R33" s="12">
        <f t="shared" si="6"/>
        <v>77769714.499207035</v>
      </c>
      <c r="U33" s="2">
        <v>49</v>
      </c>
      <c r="V33" s="9">
        <f t="shared" si="4"/>
        <v>14889282.072010254</v>
      </c>
      <c r="W33" s="9">
        <f t="shared" si="5"/>
        <v>482234.59407037834</v>
      </c>
      <c r="X33" s="9">
        <f t="shared" si="0"/>
        <v>16447522.832706278</v>
      </c>
    </row>
    <row r="34" spans="13:24" ht="49" thickTop="1" thickBot="1" x14ac:dyDescent="0.6">
      <c r="M34" s="2">
        <v>50</v>
      </c>
      <c r="N34" s="12">
        <f t="shared" si="1"/>
        <v>77769714.499207035</v>
      </c>
      <c r="O34" s="9">
        <f t="shared" si="2"/>
        <v>255584.33485730054</v>
      </c>
      <c r="P34" s="11">
        <v>0</v>
      </c>
      <c r="Q34" s="19">
        <v>0</v>
      </c>
      <c r="R34" s="12">
        <f t="shared" si="6"/>
        <v>90334326.995292693</v>
      </c>
      <c r="U34" s="2">
        <v>50</v>
      </c>
      <c r="V34" s="9">
        <f t="shared" si="4"/>
        <v>16447522.832706278</v>
      </c>
      <c r="W34" s="9">
        <f t="shared" si="5"/>
        <v>511168.66971460107</v>
      </c>
      <c r="X34" s="9">
        <f t="shared" si="0"/>
        <v>18145799.907590341</v>
      </c>
    </row>
    <row r="35" spans="13:24" ht="48" thickTop="1" x14ac:dyDescent="0.55000000000000004"/>
  </sheetData>
  <sheetProtection algorithmName="SHA-512" hashValue="mWTuDHUFpnh74xpiSQWV1rki3PLlFPZNVUYIWYrNIIUblbyGEVWiyLtTxb7gP03Hsxzld4IQP8RVArXcI0GIeQ==" saltValue="33VNYcccoa/phAVfT8YUdg==" spinCount="100000" sheet="1" objects="1" scenarios="1"/>
  <mergeCells count="2">
    <mergeCell ref="I3:J3"/>
    <mergeCell ref="I17:J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2026-02-06T06:44:24Z</dcterms:created>
  <dcterms:modified xsi:type="dcterms:W3CDTF">2026-02-15T01:59:10Z</dcterms:modified>
</cp:coreProperties>
</file>