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77F0E06B-140D-E54A-A153-2E0827522EDC}" xr6:coauthVersionLast="47" xr6:coauthVersionMax="47" xr10:uidLastSave="{00000000-0000-0000-0000-000000000000}"/>
  <bookViews>
    <workbookView xWindow="60" yWindow="760" windowWidth="34260" windowHeight="19880" xr2:uid="{8008C8BD-F914-484A-BAA5-6B55E8D092E5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3" l="1"/>
  <c r="K9" i="3" s="1"/>
  <c r="F8" i="3"/>
  <c r="E8" i="3"/>
  <c r="M7" i="3" l="1"/>
  <c r="K10" i="3"/>
  <c r="M8" i="3" l="1"/>
  <c r="M9" i="3" s="1"/>
  <c r="M10" i="3" s="1"/>
  <c r="K11" i="3"/>
  <c r="K12" i="3" l="1"/>
  <c r="M11" i="3"/>
  <c r="M12" i="3" l="1"/>
  <c r="K13" i="3"/>
  <c r="M13" i="3" l="1"/>
  <c r="K14" i="3"/>
  <c r="M14" i="3" l="1"/>
  <c r="K15" i="3"/>
  <c r="M15" i="3" l="1"/>
  <c r="K16" i="3"/>
  <c r="K17" i="3" l="1"/>
  <c r="M16" i="3"/>
  <c r="M17" i="3" l="1"/>
  <c r="K18" i="3"/>
  <c r="M18" i="3" l="1"/>
  <c r="K19" i="3"/>
  <c r="M19" i="3" l="1"/>
  <c r="K20" i="3"/>
  <c r="M20" i="3" l="1"/>
  <c r="K21" i="3"/>
  <c r="K22" i="3" l="1"/>
  <c r="N22" i="3" s="1"/>
  <c r="M21" i="3"/>
  <c r="L22" i="3" l="1"/>
  <c r="M22" i="3"/>
  <c r="K23" i="3"/>
  <c r="N23" i="3" s="1"/>
  <c r="L23" i="3" l="1"/>
  <c r="M23" i="3"/>
  <c r="K24" i="3"/>
  <c r="N24" i="3" s="1"/>
  <c r="M24" i="3" l="1"/>
  <c r="K25" i="3"/>
  <c r="N25" i="3" s="1"/>
  <c r="L24" i="3"/>
  <c r="L25" i="3" l="1"/>
  <c r="M25" i="3"/>
  <c r="K26" i="3"/>
  <c r="N26" i="3" s="1"/>
  <c r="K27" i="3" l="1"/>
  <c r="N27" i="3" s="1"/>
  <c r="L26" i="3"/>
  <c r="M26" i="3"/>
  <c r="L27" i="3" l="1"/>
  <c r="M27" i="3"/>
  <c r="K28" i="3"/>
  <c r="N28" i="3" s="1"/>
  <c r="L28" i="3" l="1"/>
  <c r="M28" i="3"/>
  <c r="K29" i="3"/>
  <c r="N29" i="3" s="1"/>
  <c r="M29" i="3" l="1"/>
  <c r="K30" i="3"/>
  <c r="N30" i="3" s="1"/>
  <c r="L29" i="3"/>
  <c r="L30" i="3" l="1"/>
  <c r="M30" i="3"/>
  <c r="K31" i="3"/>
  <c r="N31" i="3" s="1"/>
  <c r="L31" i="3" l="1"/>
  <c r="M31" i="3"/>
  <c r="N7" i="3"/>
  <c r="L8" i="3" s="1"/>
  <c r="N8" i="3" s="1"/>
  <c r="L9" i="3" s="1"/>
  <c r="N9" i="3" l="1"/>
  <c r="L10" i="3" s="1"/>
  <c r="N10" i="3" s="1"/>
  <c r="L11" i="3" s="1"/>
  <c r="N11" i="3" s="1"/>
  <c r="L12" i="3" s="1"/>
  <c r="N12" i="3" s="1"/>
  <c r="L13" i="3" s="1"/>
  <c r="N13" i="3" s="1"/>
  <c r="L14" i="3" s="1"/>
  <c r="N14" i="3" s="1"/>
  <c r="L15" i="3" s="1"/>
  <c r="N15" i="3" s="1"/>
  <c r="L16" i="3" s="1"/>
  <c r="N16" i="3" s="1"/>
  <c r="L17" i="3" s="1"/>
  <c r="N17" i="3" s="1"/>
  <c r="L18" i="3" s="1"/>
  <c r="N18" i="3" s="1"/>
  <c r="L19" i="3" s="1"/>
  <c r="N19" i="3" s="1"/>
  <c r="L20" i="3" s="1"/>
  <c r="N20" i="3" s="1"/>
  <c r="L21" i="3" s="1"/>
  <c r="N21" i="3" s="1"/>
  <c r="D11" i="3" s="1"/>
</calcChain>
</file>

<file path=xl/sharedStrings.xml><?xml version="1.0" encoding="utf-8"?>
<sst xmlns="http://schemas.openxmlformats.org/spreadsheetml/2006/main" count="22" uniqueCount="21">
  <si>
    <t>AVG GROWTH IN REAL ESTATE</t>
  </si>
  <si>
    <t>CURRENT COST OF THE HOUSE</t>
  </si>
  <si>
    <t>COST OF THE DREAM HOUSE AFTER</t>
  </si>
  <si>
    <t>EXPECTED RETURN</t>
  </si>
  <si>
    <t>YEAR</t>
  </si>
  <si>
    <t>BEGIN VALUE</t>
  </si>
  <si>
    <t>END VALUE</t>
  </si>
  <si>
    <t xml:space="preserve">NAME </t>
  </si>
  <si>
    <t>AGE</t>
  </si>
  <si>
    <r>
      <t>PLANNING TO BUY IN</t>
    </r>
    <r>
      <rPr>
        <sz val="20"/>
        <color theme="0"/>
        <rFont val="Aptos Narrow (Body)"/>
      </rPr>
      <t>(YEARS)</t>
    </r>
  </si>
  <si>
    <t>DAILY INVESTMENT</t>
  </si>
  <si>
    <t>STEP UP</t>
  </si>
  <si>
    <t>DAILY STEP-UP SIP AMOUNT DETERMINING</t>
  </si>
  <si>
    <t>DREAM HOUSE FUTURE PRICE CALCULATION</t>
  </si>
  <si>
    <t>TO SUPPORT OUR CHANNEL USE THE LINKS BELOW</t>
  </si>
  <si>
    <t>https://angel-one.onelink.me/Wjgr/8vxyj8iq</t>
  </si>
  <si>
    <t>LINK FOR ANGEL ONE</t>
  </si>
  <si>
    <t>https://tinyurl.com/y8sbw9w8</t>
  </si>
  <si>
    <t xml:space="preserve">LINK FOR UPSTOX </t>
  </si>
  <si>
    <t>https://zerodha.com/open-account?c=ZMPVNW</t>
  </si>
  <si>
    <t>LINK FOR ZERODHA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</si>
</sst>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7" x14ac:knownFonts="1"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theme="0"/>
      <name val="Aptos Narrow"/>
      <family val="2"/>
      <scheme val="minor"/>
    </font>
    <font>
      <sz val="20"/>
      <color theme="0"/>
      <name val="Aptos Narrow (Body)"/>
    </font>
    <font>
      <b/>
      <sz val="36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28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E3B7"/>
        <bgColor indexed="64"/>
      </patternFill>
    </fill>
    <fill>
      <patternFill patternType="solid">
        <fgColor rgb="FF754E19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6" fillId="0" borderId="3" xfId="1" applyFont="1" applyBorder="1" applyAlignment="1" applyProtection="1">
      <alignment horizontal="left"/>
      <protection hidden="1"/>
    </xf>
    <xf numFmtId="0" fontId="6" fillId="0" borderId="3" xfId="1" applyFont="1" applyBorder="1" applyAlignment="1" applyProtection="1">
      <protection hidden="1"/>
    </xf>
    <xf numFmtId="8" fontId="4" fillId="3" borderId="1" xfId="0" applyNumberFormat="1" applyFont="1" applyFill="1" applyBorder="1" applyAlignment="1" applyProtection="1">
      <alignment horizontal="center"/>
      <protection hidden="1"/>
    </xf>
    <xf numFmtId="0" fontId="4" fillId="3" borderId="1" xfId="0" applyFont="1" applyFill="1" applyBorder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/>
      <protection hidden="1"/>
    </xf>
    <xf numFmtId="0" fontId="4" fillId="3" borderId="2" xfId="0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left"/>
      <protection hidden="1"/>
    </xf>
    <xf numFmtId="0" fontId="4" fillId="3" borderId="2" xfId="0" applyFont="1" applyFill="1" applyBorder="1" applyAlignment="1" applyProtection="1">
      <alignment horizontal="left"/>
      <protection hidden="1"/>
    </xf>
    <xf numFmtId="0" fontId="4" fillId="3" borderId="1" xfId="0" applyFont="1" applyFill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164" fontId="1" fillId="0" borderId="1" xfId="0" applyNumberFormat="1" applyFont="1" applyBorder="1" applyAlignment="1" applyProtection="1">
      <alignment horizontal="center"/>
      <protection hidden="1"/>
    </xf>
    <xf numFmtId="8" fontId="1" fillId="0" borderId="1" xfId="0" applyNumberFormat="1" applyFont="1" applyBorder="1" applyAlignment="1" applyProtection="1">
      <alignment horizontal="center"/>
      <protection hidden="1"/>
    </xf>
    <xf numFmtId="164" fontId="1" fillId="0" borderId="0" xfId="0" applyNumberFormat="1" applyFont="1" applyProtection="1">
      <protection hidden="1"/>
    </xf>
    <xf numFmtId="0" fontId="2" fillId="3" borderId="3" xfId="0" applyFont="1" applyFill="1" applyBorder="1" applyProtection="1">
      <protection hidden="1"/>
    </xf>
    <xf numFmtId="0" fontId="2" fillId="3" borderId="2" xfId="0" applyFont="1" applyFill="1" applyBorder="1" applyAlignment="1" applyProtection="1">
      <alignment horizontal="left"/>
      <protection hidden="1"/>
    </xf>
    <xf numFmtId="8" fontId="1" fillId="0" borderId="1" xfId="0" applyNumberFormat="1" applyFont="1" applyBorder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10" fontId="1" fillId="0" borderId="0" xfId="0" applyNumberFormat="1" applyFont="1" applyProtection="1">
      <protection hidden="1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  <xf numFmtId="10" fontId="1" fillId="2" borderId="1" xfId="0" applyNumberFormat="1" applyFont="1" applyFill="1" applyBorder="1" applyProtection="1">
      <protection locked="0"/>
    </xf>
    <xf numFmtId="9" fontId="1" fillId="2" borderId="6" xfId="0" applyNumberFormat="1" applyFont="1" applyFill="1" applyBorder="1" applyProtection="1">
      <protection locked="0"/>
    </xf>
    <xf numFmtId="9" fontId="1" fillId="2" borderId="4" xfId="0" applyNumberFormat="1" applyFont="1" applyFill="1" applyBorder="1" applyProtection="1">
      <protection locked="0"/>
    </xf>
  </cellXfs>
  <cellStyles count="2">
    <cellStyle name="Hyperlink" xfId="1" builtinId="8"/>
    <cellStyle name="Normal" xfId="0" builtinId="0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754E19"/>
      <color rgb="FFF8E3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1012319</xdr:colOff>
      <xdr:row>2</xdr:row>
      <xdr:rowOff>73623</xdr:rowOff>
    </xdr:from>
    <xdr:to>
      <xdr:col>13</xdr:col>
      <xdr:colOff>3717970</xdr:colOff>
      <xdr:row>4</xdr:row>
      <xdr:rowOff>536414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73328-52D2-426C-5134-73BC8F746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25362" y="1306811"/>
          <a:ext cx="2705651" cy="1714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s://angel-one.onelink.me/Wjgr/8vxyj8iq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F66B-F911-C641-88F6-9AF41A9A1564}">
  <dimension ref="D1:S32"/>
  <sheetViews>
    <sheetView showGridLines="0" tabSelected="1" zoomScale="69" workbookViewId="0">
      <selection activeCell="M13" sqref="M13"/>
    </sheetView>
  </sheetViews>
  <sheetFormatPr baseColWidth="10" defaultRowHeight="47" x14ac:dyDescent="0.55000000000000004"/>
  <cols>
    <col min="1" max="3" width="10.83203125" style="5"/>
    <col min="4" max="4" width="91.6640625" style="5" customWidth="1"/>
    <col min="5" max="5" width="10.6640625" style="5" customWidth="1"/>
    <col min="6" max="6" width="70.5" style="5" customWidth="1"/>
    <col min="7" max="10" width="10.83203125" style="5"/>
    <col min="11" max="11" width="17.5" style="5" customWidth="1"/>
    <col min="12" max="12" width="50" style="5" customWidth="1"/>
    <col min="13" max="13" width="60.33203125" style="5" bestFit="1" customWidth="1"/>
    <col min="14" max="14" width="60.6640625" style="5" customWidth="1"/>
    <col min="15" max="16" width="10.83203125" style="5"/>
    <col min="17" max="17" width="27.5" style="5" customWidth="1"/>
    <col min="18" max="18" width="10.83203125" style="5"/>
    <col min="19" max="19" width="18" style="5" bestFit="1" customWidth="1"/>
    <col min="20" max="16384" width="10.83203125" style="5"/>
  </cols>
  <sheetData>
    <row r="1" spans="4:19" ht="48" thickBot="1" x14ac:dyDescent="0.6"/>
    <row r="2" spans="4:19" ht="49" thickTop="1" thickBot="1" x14ac:dyDescent="0.6">
      <c r="D2" s="6" t="s">
        <v>13</v>
      </c>
      <c r="E2" s="7"/>
      <c r="F2" s="8"/>
      <c r="K2" s="6" t="s">
        <v>12</v>
      </c>
      <c r="L2" s="7"/>
      <c r="M2" s="7"/>
      <c r="N2" s="8"/>
    </row>
    <row r="3" spans="4:19" ht="49" thickTop="1" thickBot="1" x14ac:dyDescent="0.6">
      <c r="D3" s="9" t="s">
        <v>7</v>
      </c>
      <c r="E3" s="9"/>
      <c r="F3" s="22"/>
      <c r="K3" s="10" t="s">
        <v>3</v>
      </c>
      <c r="L3" s="11"/>
      <c r="M3" s="26"/>
    </row>
    <row r="4" spans="4:19" ht="49" thickTop="1" thickBot="1" x14ac:dyDescent="0.6">
      <c r="D4" s="9" t="s">
        <v>8</v>
      </c>
      <c r="E4" s="9"/>
      <c r="F4" s="23"/>
      <c r="K4" s="10" t="s">
        <v>10</v>
      </c>
      <c r="L4" s="11"/>
      <c r="M4" s="24"/>
    </row>
    <row r="5" spans="4:19" ht="49" thickTop="1" thickBot="1" x14ac:dyDescent="0.6">
      <c r="D5" s="9" t="s">
        <v>1</v>
      </c>
      <c r="E5" s="9"/>
      <c r="F5" s="24"/>
      <c r="K5" s="10" t="s">
        <v>11</v>
      </c>
      <c r="L5" s="11"/>
      <c r="M5" s="27"/>
    </row>
    <row r="6" spans="4:19" ht="49" thickTop="1" thickBot="1" x14ac:dyDescent="0.6">
      <c r="D6" s="9" t="s">
        <v>0</v>
      </c>
      <c r="E6" s="9"/>
      <c r="F6" s="25"/>
      <c r="K6" s="12" t="s">
        <v>4</v>
      </c>
      <c r="L6" s="12" t="s">
        <v>5</v>
      </c>
      <c r="M6" s="12" t="s">
        <v>10</v>
      </c>
      <c r="N6" s="12" t="s">
        <v>6</v>
      </c>
    </row>
    <row r="7" spans="4:19" ht="49" thickTop="1" thickBot="1" x14ac:dyDescent="0.6">
      <c r="D7" s="9" t="s">
        <v>9</v>
      </c>
      <c r="E7" s="9"/>
      <c r="F7" s="23"/>
      <c r="K7" s="13">
        <v>1</v>
      </c>
      <c r="L7" s="14">
        <v>0</v>
      </c>
      <c r="M7" s="14">
        <f>M4</f>
        <v>0</v>
      </c>
      <c r="N7" s="15" t="e">
        <f t="shared" ref="N7:N31" si="0">IF(K7&gt;0,FV(NOMINAL($M$3,365)/365,365,-M7,-L7,1),0)</f>
        <v>#NUM!</v>
      </c>
      <c r="Q7" s="16"/>
    </row>
    <row r="8" spans="4:19" ht="49" thickTop="1" thickBot="1" x14ac:dyDescent="0.6">
      <c r="D8" s="17" t="s">
        <v>2</v>
      </c>
      <c r="E8" s="18">
        <f>F7</f>
        <v>0</v>
      </c>
      <c r="F8" s="19">
        <f>FV(F6,F7,0,-F5)</f>
        <v>0</v>
      </c>
      <c r="K8" s="13">
        <f t="shared" ref="K8:K31" si="1">IF(K7&gt;0,IF((K7+1)&gt;$F$7,0,K7+1),0)</f>
        <v>0</v>
      </c>
      <c r="L8" s="14">
        <f>IF(K8&gt;0,N7,0)</f>
        <v>0</v>
      </c>
      <c r="M8" s="14">
        <f t="shared" ref="M8:M31" si="2">IF(K8&gt;0,M7*(1+$M$5),0)</f>
        <v>0</v>
      </c>
      <c r="N8" s="15">
        <f t="shared" si="0"/>
        <v>0</v>
      </c>
      <c r="Q8" s="16"/>
    </row>
    <row r="9" spans="4:19" ht="49" thickTop="1" thickBot="1" x14ac:dyDescent="0.6">
      <c r="K9" s="13">
        <f t="shared" si="1"/>
        <v>0</v>
      </c>
      <c r="L9" s="14">
        <f t="shared" ref="L9:L31" si="3">IF(K9&gt;0,N8,0)</f>
        <v>0</v>
      </c>
      <c r="M9" s="14">
        <f t="shared" si="2"/>
        <v>0</v>
      </c>
      <c r="N9" s="15">
        <f t="shared" si="0"/>
        <v>0</v>
      </c>
      <c r="Q9" s="16"/>
    </row>
    <row r="10" spans="4:19" ht="49" thickTop="1" thickBot="1" x14ac:dyDescent="0.6">
      <c r="K10" s="13">
        <f t="shared" si="1"/>
        <v>0</v>
      </c>
      <c r="L10" s="14">
        <f t="shared" si="3"/>
        <v>0</v>
      </c>
      <c r="M10" s="14">
        <f t="shared" si="2"/>
        <v>0</v>
      </c>
      <c r="N10" s="15">
        <f t="shared" si="0"/>
        <v>0</v>
      </c>
      <c r="Q10" s="16"/>
    </row>
    <row r="11" spans="4:19" ht="49" thickTop="1" thickBot="1" x14ac:dyDescent="0.6">
      <c r="D11" s="20" t="str">
        <f>IF(N21&gt;F8, "DREAM HOUSE GOAL ACHIEVED", "DREAM HOUSE GOAL UNDER CONSTRUCTION")</f>
        <v>DREAM HOUSE GOAL UNDER CONSTRUCTION</v>
      </c>
      <c r="E11" s="20"/>
      <c r="F11" s="20"/>
      <c r="K11" s="13">
        <f t="shared" si="1"/>
        <v>0</v>
      </c>
      <c r="L11" s="14">
        <f t="shared" si="3"/>
        <v>0</v>
      </c>
      <c r="M11" s="14">
        <f t="shared" si="2"/>
        <v>0</v>
      </c>
      <c r="N11" s="15">
        <f t="shared" si="0"/>
        <v>0</v>
      </c>
      <c r="Q11" s="16"/>
    </row>
    <row r="12" spans="4:19" ht="49" thickTop="1" thickBot="1" x14ac:dyDescent="0.6">
      <c r="K12" s="13">
        <f t="shared" si="1"/>
        <v>0</v>
      </c>
      <c r="L12" s="14">
        <f t="shared" si="3"/>
        <v>0</v>
      </c>
      <c r="M12" s="14">
        <f t="shared" si="2"/>
        <v>0</v>
      </c>
      <c r="N12" s="15">
        <f t="shared" si="0"/>
        <v>0</v>
      </c>
      <c r="Q12" s="16"/>
    </row>
    <row r="13" spans="4:19" ht="49" thickTop="1" thickBot="1" x14ac:dyDescent="0.6">
      <c r="K13" s="13">
        <f t="shared" si="1"/>
        <v>0</v>
      </c>
      <c r="L13" s="14">
        <f t="shared" si="3"/>
        <v>0</v>
      </c>
      <c r="M13" s="14">
        <f t="shared" si="2"/>
        <v>0</v>
      </c>
      <c r="N13" s="15">
        <f t="shared" si="0"/>
        <v>0</v>
      </c>
      <c r="Q13" s="16"/>
    </row>
    <row r="14" spans="4:19" ht="49" thickTop="1" thickBot="1" x14ac:dyDescent="0.6">
      <c r="K14" s="13">
        <f t="shared" si="1"/>
        <v>0</v>
      </c>
      <c r="L14" s="14">
        <f t="shared" si="3"/>
        <v>0</v>
      </c>
      <c r="M14" s="14">
        <f t="shared" si="2"/>
        <v>0</v>
      </c>
      <c r="N14" s="15">
        <f t="shared" si="0"/>
        <v>0</v>
      </c>
      <c r="Q14" s="16"/>
    </row>
    <row r="15" spans="4:19" ht="49" thickTop="1" thickBot="1" x14ac:dyDescent="0.6">
      <c r="D15" s="4" t="s">
        <v>14</v>
      </c>
      <c r="E15" s="4"/>
      <c r="F15" s="4"/>
      <c r="K15" s="13">
        <f t="shared" si="1"/>
        <v>0</v>
      </c>
      <c r="L15" s="14">
        <f t="shared" si="3"/>
        <v>0</v>
      </c>
      <c r="M15" s="14">
        <f t="shared" si="2"/>
        <v>0</v>
      </c>
      <c r="N15" s="15">
        <f t="shared" si="0"/>
        <v>0</v>
      </c>
      <c r="Q15" s="16"/>
    </row>
    <row r="16" spans="4:19" ht="49" thickTop="1" thickBot="1" x14ac:dyDescent="0.6">
      <c r="D16" s="1" t="s">
        <v>15</v>
      </c>
      <c r="E16" s="3" t="s">
        <v>16</v>
      </c>
      <c r="F16" s="3"/>
      <c r="K16" s="13">
        <f t="shared" si="1"/>
        <v>0</v>
      </c>
      <c r="L16" s="14">
        <f t="shared" si="3"/>
        <v>0</v>
      </c>
      <c r="M16" s="14">
        <f t="shared" si="2"/>
        <v>0</v>
      </c>
      <c r="N16" s="15">
        <f t="shared" si="0"/>
        <v>0</v>
      </c>
      <c r="Q16" s="16"/>
      <c r="S16" s="21"/>
    </row>
    <row r="17" spans="4:17" ht="49" thickTop="1" thickBot="1" x14ac:dyDescent="0.6">
      <c r="D17" s="2" t="s">
        <v>17</v>
      </c>
      <c r="E17" s="3" t="s">
        <v>18</v>
      </c>
      <c r="F17" s="3"/>
      <c r="K17" s="13">
        <f t="shared" si="1"/>
        <v>0</v>
      </c>
      <c r="L17" s="14">
        <f t="shared" si="3"/>
        <v>0</v>
      </c>
      <c r="M17" s="14">
        <f t="shared" si="2"/>
        <v>0</v>
      </c>
      <c r="N17" s="15">
        <f t="shared" si="0"/>
        <v>0</v>
      </c>
      <c r="Q17" s="16"/>
    </row>
    <row r="18" spans="4:17" ht="49" thickTop="1" thickBot="1" x14ac:dyDescent="0.6">
      <c r="D18" s="1" t="s">
        <v>19</v>
      </c>
      <c r="E18" s="3" t="s">
        <v>20</v>
      </c>
      <c r="F18" s="3"/>
      <c r="K18" s="13">
        <f t="shared" si="1"/>
        <v>0</v>
      </c>
      <c r="L18" s="14">
        <f t="shared" si="3"/>
        <v>0</v>
      </c>
      <c r="M18" s="14">
        <f t="shared" si="2"/>
        <v>0</v>
      </c>
      <c r="N18" s="15">
        <f t="shared" si="0"/>
        <v>0</v>
      </c>
      <c r="Q18" s="16"/>
    </row>
    <row r="19" spans="4:17" ht="49" thickTop="1" thickBot="1" x14ac:dyDescent="0.6">
      <c r="K19" s="13">
        <f t="shared" si="1"/>
        <v>0</v>
      </c>
      <c r="L19" s="14">
        <f t="shared" si="3"/>
        <v>0</v>
      </c>
      <c r="M19" s="14">
        <f t="shared" si="2"/>
        <v>0</v>
      </c>
      <c r="N19" s="15">
        <f t="shared" si="0"/>
        <v>0</v>
      </c>
      <c r="Q19" s="16"/>
    </row>
    <row r="20" spans="4:17" ht="49" thickTop="1" thickBot="1" x14ac:dyDescent="0.6">
      <c r="K20" s="13">
        <f t="shared" si="1"/>
        <v>0</v>
      </c>
      <c r="L20" s="14">
        <f t="shared" si="3"/>
        <v>0</v>
      </c>
      <c r="M20" s="14">
        <f t="shared" si="2"/>
        <v>0</v>
      </c>
      <c r="N20" s="15">
        <f t="shared" si="0"/>
        <v>0</v>
      </c>
      <c r="Q20" s="16"/>
    </row>
    <row r="21" spans="4:17" ht="49" thickTop="1" thickBot="1" x14ac:dyDescent="0.6">
      <c r="K21" s="13">
        <f t="shared" si="1"/>
        <v>0</v>
      </c>
      <c r="L21" s="14">
        <f t="shared" si="3"/>
        <v>0</v>
      </c>
      <c r="M21" s="14">
        <f t="shared" si="2"/>
        <v>0</v>
      </c>
      <c r="N21" s="15">
        <f t="shared" si="0"/>
        <v>0</v>
      </c>
      <c r="Q21" s="16"/>
    </row>
    <row r="22" spans="4:17" ht="47" customHeight="1" thickTop="1" thickBot="1" x14ac:dyDescent="0.6">
      <c r="K22" s="13">
        <f t="shared" si="1"/>
        <v>0</v>
      </c>
      <c r="L22" s="14">
        <f t="shared" si="3"/>
        <v>0</v>
      </c>
      <c r="M22" s="14">
        <f t="shared" si="2"/>
        <v>0</v>
      </c>
      <c r="N22" s="15">
        <f t="shared" si="0"/>
        <v>0</v>
      </c>
    </row>
    <row r="23" spans="4:17" ht="49" thickTop="1" thickBot="1" x14ac:dyDescent="0.6">
      <c r="K23" s="13">
        <f t="shared" si="1"/>
        <v>0</v>
      </c>
      <c r="L23" s="14">
        <f t="shared" si="3"/>
        <v>0</v>
      </c>
      <c r="M23" s="14">
        <f t="shared" si="2"/>
        <v>0</v>
      </c>
      <c r="N23" s="15">
        <f t="shared" si="0"/>
        <v>0</v>
      </c>
    </row>
    <row r="24" spans="4:17" ht="49" thickTop="1" thickBot="1" x14ac:dyDescent="0.6">
      <c r="K24" s="13">
        <f t="shared" si="1"/>
        <v>0</v>
      </c>
      <c r="L24" s="14">
        <f t="shared" si="3"/>
        <v>0</v>
      </c>
      <c r="M24" s="14">
        <f t="shared" si="2"/>
        <v>0</v>
      </c>
      <c r="N24" s="15">
        <f t="shared" si="0"/>
        <v>0</v>
      </c>
    </row>
    <row r="25" spans="4:17" ht="49" thickTop="1" thickBot="1" x14ac:dyDescent="0.6">
      <c r="K25" s="13">
        <f t="shared" si="1"/>
        <v>0</v>
      </c>
      <c r="L25" s="14">
        <f t="shared" si="3"/>
        <v>0</v>
      </c>
      <c r="M25" s="14">
        <f t="shared" si="2"/>
        <v>0</v>
      </c>
      <c r="N25" s="15">
        <f t="shared" si="0"/>
        <v>0</v>
      </c>
    </row>
    <row r="26" spans="4:17" ht="49" thickTop="1" thickBot="1" x14ac:dyDescent="0.6">
      <c r="K26" s="13">
        <f t="shared" si="1"/>
        <v>0</v>
      </c>
      <c r="L26" s="14">
        <f t="shared" si="3"/>
        <v>0</v>
      </c>
      <c r="M26" s="14">
        <f t="shared" si="2"/>
        <v>0</v>
      </c>
      <c r="N26" s="15">
        <f t="shared" si="0"/>
        <v>0</v>
      </c>
    </row>
    <row r="27" spans="4:17" ht="49" thickTop="1" thickBot="1" x14ac:dyDescent="0.6">
      <c r="K27" s="13">
        <f t="shared" si="1"/>
        <v>0</v>
      </c>
      <c r="L27" s="14">
        <f t="shared" si="3"/>
        <v>0</v>
      </c>
      <c r="M27" s="14">
        <f t="shared" si="2"/>
        <v>0</v>
      </c>
      <c r="N27" s="15">
        <f t="shared" si="0"/>
        <v>0</v>
      </c>
    </row>
    <row r="28" spans="4:17" ht="49" thickTop="1" thickBot="1" x14ac:dyDescent="0.6">
      <c r="K28" s="13">
        <f t="shared" si="1"/>
        <v>0</v>
      </c>
      <c r="L28" s="14">
        <f t="shared" si="3"/>
        <v>0</v>
      </c>
      <c r="M28" s="14">
        <f t="shared" si="2"/>
        <v>0</v>
      </c>
      <c r="N28" s="15">
        <f t="shared" si="0"/>
        <v>0</v>
      </c>
    </row>
    <row r="29" spans="4:17" ht="49" thickTop="1" thickBot="1" x14ac:dyDescent="0.6">
      <c r="K29" s="13">
        <f t="shared" si="1"/>
        <v>0</v>
      </c>
      <c r="L29" s="14">
        <f t="shared" si="3"/>
        <v>0</v>
      </c>
      <c r="M29" s="14">
        <f t="shared" si="2"/>
        <v>0</v>
      </c>
      <c r="N29" s="15">
        <f t="shared" si="0"/>
        <v>0</v>
      </c>
    </row>
    <row r="30" spans="4:17" ht="49" thickTop="1" thickBot="1" x14ac:dyDescent="0.6">
      <c r="K30" s="13">
        <f t="shared" si="1"/>
        <v>0</v>
      </c>
      <c r="L30" s="14">
        <f t="shared" si="3"/>
        <v>0</v>
      </c>
      <c r="M30" s="14">
        <f t="shared" si="2"/>
        <v>0</v>
      </c>
      <c r="N30" s="15">
        <f t="shared" si="0"/>
        <v>0</v>
      </c>
    </row>
    <row r="31" spans="4:17" ht="49" thickTop="1" thickBot="1" x14ac:dyDescent="0.6">
      <c r="K31" s="13">
        <f t="shared" si="1"/>
        <v>0</v>
      </c>
      <c r="L31" s="14">
        <f t="shared" si="3"/>
        <v>0</v>
      </c>
      <c r="M31" s="14">
        <f t="shared" si="2"/>
        <v>0</v>
      </c>
      <c r="N31" s="15">
        <f t="shared" si="0"/>
        <v>0</v>
      </c>
    </row>
    <row r="32" spans="4:17" ht="48" thickTop="1" x14ac:dyDescent="0.55000000000000004"/>
  </sheetData>
  <sheetProtection algorithmName="SHA-512" hashValue="GQYUDXL92sOZEH7VWMTndZOIr3iJkJJ4VufY+sEQlPUP4X1uziSZAHK/P0owBbZa4bPKnPOXMItz2MLqLaYlgA==" saltValue="1BDWHG/9TBiWnApFFG9jRw==" spinCount="100000" sheet="1" objects="1" scenarios="1"/>
  <mergeCells count="15">
    <mergeCell ref="E16:F16"/>
    <mergeCell ref="E17:F17"/>
    <mergeCell ref="E18:F18"/>
    <mergeCell ref="D15:F15"/>
    <mergeCell ref="D11:F11"/>
    <mergeCell ref="D2:F2"/>
    <mergeCell ref="D3:E3"/>
    <mergeCell ref="D4:E4"/>
    <mergeCell ref="D6:E6"/>
    <mergeCell ref="D7:E7"/>
    <mergeCell ref="K2:N2"/>
    <mergeCell ref="K3:L3"/>
    <mergeCell ref="K4:L4"/>
    <mergeCell ref="K5:L5"/>
    <mergeCell ref="D5:E5"/>
  </mergeCells>
  <conditionalFormatting sqref="D11:F11">
    <cfRule type="cellIs" dxfId="1" priority="1" operator="equal">
      <formula>"DREAM HOUSE GOAL ACHIEVED"</formula>
    </cfRule>
    <cfRule type="cellIs" dxfId="0" priority="2" operator="equal">
      <formula>"DREAM HOUSE GOAL UNDER CONSTRUCTION"</formula>
    </cfRule>
  </conditionalFormatting>
  <hyperlinks>
    <hyperlink ref="D16" r:id="rId1" xr:uid="{954D462E-6A86-CA47-A9FA-078EE5D73C82}"/>
    <hyperlink ref="D17" r:id="rId2" xr:uid="{9E2CD323-270E-5147-8EAC-9AF94780D6B7}"/>
    <hyperlink ref="D18" r:id="rId3" xr:uid="{05610628-B4F6-0F4D-81D4-0EC9895F9342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2025-06-24T10:45:59Z</dcterms:created>
  <dcterms:modified xsi:type="dcterms:W3CDTF">2025-06-28T12:53:00Z</dcterms:modified>
</cp:coreProperties>
</file>