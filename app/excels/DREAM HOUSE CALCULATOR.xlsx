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4DB09070-4B49-104F-9093-BE70D6DDF143}" xr6:coauthVersionLast="47" xr6:coauthVersionMax="47" xr10:uidLastSave="{00000000-0000-0000-0000-000000000000}"/>
  <bookViews>
    <workbookView xWindow="60" yWindow="760" windowWidth="34260" windowHeight="19880" xr2:uid="{8008C8BD-F914-484A-BAA5-6B55E8D092E5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L7" i="4"/>
  <c r="M7" i="4" s="1"/>
  <c r="O8" i="4"/>
  <c r="O9" i="4" s="1"/>
  <c r="F8" i="4"/>
  <c r="F12" i="4" s="1"/>
  <c r="E8" i="4"/>
  <c r="Q7" i="4"/>
  <c r="R7" i="4" s="1"/>
  <c r="L8" i="4" l="1"/>
  <c r="K8" i="4"/>
  <c r="M8" i="4"/>
  <c r="J9" i="4"/>
  <c r="F14" i="4"/>
  <c r="O10" i="4"/>
  <c r="P8" i="4"/>
  <c r="Q8" i="4"/>
  <c r="J10" i="4" l="1"/>
  <c r="L9" i="4"/>
  <c r="K9" i="4"/>
  <c r="R8" i="4"/>
  <c r="Q9" i="4"/>
  <c r="Q10" i="4" s="1"/>
  <c r="F15" i="4"/>
  <c r="F18" i="4" s="1"/>
  <c r="O11" i="4"/>
  <c r="M9" i="4" l="1"/>
  <c r="K10" i="4" s="1"/>
  <c r="J11" i="4"/>
  <c r="L10" i="4"/>
  <c r="P9" i="4"/>
  <c r="R9" i="4" s="1"/>
  <c r="P10" i="4" s="1"/>
  <c r="R10" i="4" s="1"/>
  <c r="P11" i="4" s="1"/>
  <c r="Q11" i="4"/>
  <c r="O12" i="4"/>
  <c r="M10" i="4" l="1"/>
  <c r="K11" i="4" s="1"/>
  <c r="J12" i="4"/>
  <c r="L11" i="4"/>
  <c r="R11" i="4"/>
  <c r="P12" i="4" s="1"/>
  <c r="O13" i="4"/>
  <c r="Q12" i="4"/>
  <c r="M11" i="4" l="1"/>
  <c r="K12" i="4" s="1"/>
  <c r="L12" i="4"/>
  <c r="J13" i="4"/>
  <c r="R12" i="4"/>
  <c r="P13" i="4" s="1"/>
  <c r="O14" i="4"/>
  <c r="Q13" i="4"/>
  <c r="M12" i="4" l="1"/>
  <c r="K13" i="4" s="1"/>
  <c r="L13" i="4"/>
  <c r="J14" i="4"/>
  <c r="R13" i="4"/>
  <c r="P14" i="4" s="1"/>
  <c r="Q14" i="4"/>
  <c r="O15" i="4"/>
  <c r="M13" i="4" l="1"/>
  <c r="J15" i="4"/>
  <c r="L14" i="4"/>
  <c r="K14" i="4"/>
  <c r="R14" i="4"/>
  <c r="P15" i="4" s="1"/>
  <c r="O16" i="4"/>
  <c r="Q15" i="4"/>
  <c r="M14" i="4" l="1"/>
  <c r="K15" i="4" s="1"/>
  <c r="J16" i="4"/>
  <c r="L15" i="4"/>
  <c r="R15" i="4"/>
  <c r="P16" i="4" s="1"/>
  <c r="Q16" i="4"/>
  <c r="O17" i="4"/>
  <c r="M15" i="4" l="1"/>
  <c r="K16" i="4" s="1"/>
  <c r="J17" i="4"/>
  <c r="L16" i="4"/>
  <c r="R16" i="4"/>
  <c r="P17" i="4" s="1"/>
  <c r="O18" i="4"/>
  <c r="Q17" i="4"/>
  <c r="M16" i="4" l="1"/>
  <c r="L17" i="4"/>
  <c r="K17" i="4"/>
  <c r="J18" i="4"/>
  <c r="R17" i="4"/>
  <c r="P18" i="4" s="1"/>
  <c r="O19" i="4"/>
  <c r="Q18" i="4"/>
  <c r="M17" i="4" l="1"/>
  <c r="L18" i="4"/>
  <c r="J19" i="4"/>
  <c r="K18" i="4"/>
  <c r="M18" i="4" s="1"/>
  <c r="R18" i="4"/>
  <c r="P19" i="4" s="1"/>
  <c r="Q19" i="4"/>
  <c r="O20" i="4"/>
  <c r="J20" i="4" l="1"/>
  <c r="L19" i="4"/>
  <c r="K19" i="4"/>
  <c r="R19" i="4"/>
  <c r="P20" i="4" s="1"/>
  <c r="O21" i="4"/>
  <c r="Q20" i="4"/>
  <c r="M19" i="4" l="1"/>
  <c r="J21" i="4"/>
  <c r="K20" i="4"/>
  <c r="L20" i="4"/>
  <c r="M20" i="4" s="1"/>
  <c r="R20" i="4"/>
  <c r="P21" i="4" s="1"/>
  <c r="Q21" i="4"/>
  <c r="O22" i="4"/>
  <c r="J22" i="4" l="1"/>
  <c r="L21" i="4"/>
  <c r="K21" i="4"/>
  <c r="R21" i="4"/>
  <c r="P22" i="4" s="1"/>
  <c r="O23" i="4"/>
  <c r="Q22" i="4"/>
  <c r="M21" i="4" l="1"/>
  <c r="L22" i="4"/>
  <c r="K22" i="4"/>
  <c r="J23" i="4"/>
  <c r="R22" i="4"/>
  <c r="P23" i="4" s="1"/>
  <c r="O24" i="4"/>
  <c r="Q23" i="4"/>
  <c r="M22" i="4" l="1"/>
  <c r="L23" i="4"/>
  <c r="J24" i="4"/>
  <c r="K23" i="4"/>
  <c r="M23" i="4" s="1"/>
  <c r="R23" i="4"/>
  <c r="P24" i="4" s="1"/>
  <c r="Q24" i="4"/>
  <c r="O25" i="4"/>
  <c r="J25" i="4" l="1"/>
  <c r="L24" i="4"/>
  <c r="M24" i="4" s="1"/>
  <c r="K24" i="4"/>
  <c r="R24" i="4"/>
  <c r="P25" i="4" s="1"/>
  <c r="O26" i="4"/>
  <c r="Q25" i="4"/>
  <c r="J26" i="4" l="1"/>
  <c r="K25" i="4"/>
  <c r="L25" i="4"/>
  <c r="M25" i="4" s="1"/>
  <c r="R25" i="4"/>
  <c r="Q26" i="4"/>
  <c r="P26" i="4"/>
  <c r="O27" i="4"/>
  <c r="R27" i="4" s="1"/>
  <c r="J27" i="4" l="1"/>
  <c r="L26" i="4"/>
  <c r="K26" i="4"/>
  <c r="R26" i="4"/>
  <c r="O28" i="4"/>
  <c r="R28" i="4" s="1"/>
  <c r="Q27" i="4"/>
  <c r="P27" i="4"/>
  <c r="M26" i="4" l="1"/>
  <c r="M27" i="4"/>
  <c r="L27" i="4"/>
  <c r="K27" i="4"/>
  <c r="J28" i="4"/>
  <c r="O29" i="4"/>
  <c r="R29" i="4" s="1"/>
  <c r="Q28" i="4"/>
  <c r="P28" i="4"/>
  <c r="L28" i="4" l="1"/>
  <c r="J29" i="4"/>
  <c r="M28" i="4"/>
  <c r="K28" i="4"/>
  <c r="Q29" i="4"/>
  <c r="O30" i="4"/>
  <c r="R30" i="4" s="1"/>
  <c r="P29" i="4"/>
  <c r="J30" i="4" l="1"/>
  <c r="M29" i="4"/>
  <c r="L29" i="4"/>
  <c r="K29" i="4"/>
  <c r="O31" i="4"/>
  <c r="R31" i="4" s="1"/>
  <c r="Q30" i="4"/>
  <c r="P30" i="4"/>
  <c r="J31" i="4" l="1"/>
  <c r="K30" i="4"/>
  <c r="M30" i="4"/>
  <c r="L30" i="4"/>
  <c r="Q31" i="4"/>
  <c r="P31" i="4"/>
  <c r="M31" i="4" l="1"/>
  <c r="L31" i="4"/>
  <c r="K31" i="4"/>
</calcChain>
</file>

<file path=xl/sharedStrings.xml><?xml version="1.0" encoding="utf-8"?>
<sst xmlns="http://schemas.openxmlformats.org/spreadsheetml/2006/main" count="39" uniqueCount="31">
  <si>
    <t>AVG GROWTH IN REAL ESTATE</t>
  </si>
  <si>
    <t>CURRENT COST OF THE HOUSE</t>
  </si>
  <si>
    <t>COST OF THE DREAM HOUSE AFTER</t>
  </si>
  <si>
    <t>EXPECTED RETURN</t>
  </si>
  <si>
    <t>YEAR</t>
  </si>
  <si>
    <t>BEGIN VALUE</t>
  </si>
  <si>
    <t>END VALUE</t>
  </si>
  <si>
    <t xml:space="preserve">NAME </t>
  </si>
  <si>
    <t>AGE</t>
  </si>
  <si>
    <t>STEP UP</t>
  </si>
  <si>
    <t>DREAM HOUSE FUTURE PRICE CALCULATION</t>
  </si>
  <si>
    <t>COST OF THE HOUSE</t>
  </si>
  <si>
    <t>LOAN AMOUNT</t>
  </si>
  <si>
    <t>INTEREST RATE</t>
  </si>
  <si>
    <t>TENURE OPTED</t>
  </si>
  <si>
    <t>APROXIMATE EMI</t>
  </si>
  <si>
    <t>EMI CALCULATION</t>
  </si>
  <si>
    <r>
      <t>PLANNING TO BUY IN</t>
    </r>
    <r>
      <rPr>
        <b/>
        <sz val="20"/>
        <color theme="0"/>
        <rFont val="Aptos Narrow (Body)"/>
      </rPr>
      <t>(YEARS)</t>
    </r>
  </si>
  <si>
    <t>DOWN PAYMENT %</t>
  </si>
  <si>
    <t>DOWN PAYMENT AMOUNT</t>
  </si>
  <si>
    <t>MONTHLY INVESTMENT</t>
  </si>
  <si>
    <t>MONTHLY STEP-UP SIP AMOUNT DETERMINING FOR DREAM HOUSE</t>
  </si>
  <si>
    <t>MONTHLY STEP-UP SIP AMOUNT DETERMINING FOR DOWN PAYMENT</t>
  </si>
  <si>
    <t>SRINIVAS &amp; FAMILY</t>
  </si>
  <si>
    <t>TO SUPPORT OUR CHANNEL USE THE LINKS BELOW</t>
  </si>
  <si>
    <t>https://angel-one.onelink.me/Wjgr/8vxyj8iq</t>
  </si>
  <si>
    <t>LINK FOR ANGEL ONE</t>
  </si>
  <si>
    <t>https://tinyurl.com/y8sbw9w8</t>
  </si>
  <si>
    <t xml:space="preserve">LINK FOR UPSTOX </t>
  </si>
  <si>
    <t>https://zerodha.com/open-account?c=ZMPVNW</t>
  </si>
  <si>
    <t>LINK FOR ZERODHA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</si>
</sst>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7" x14ac:knownFonts="1"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0"/>
      <name val="Aptos Narrow"/>
      <scheme val="minor"/>
    </font>
    <font>
      <b/>
      <sz val="36"/>
      <color theme="0"/>
      <name val="Aptos Narrow"/>
      <family val="2"/>
      <scheme val="minor"/>
    </font>
    <font>
      <b/>
      <sz val="20"/>
      <color theme="0"/>
      <name val="Aptos Narrow (Body)"/>
    </font>
    <font>
      <u/>
      <sz val="12"/>
      <color theme="10"/>
      <name val="Aptos Narrow"/>
      <family val="2"/>
      <scheme val="minor"/>
    </font>
    <font>
      <u/>
      <sz val="28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E3B7"/>
        <bgColor indexed="64"/>
      </patternFill>
    </fill>
    <fill>
      <patternFill patternType="solid">
        <fgColor rgb="FF754E19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164" fontId="1" fillId="0" borderId="1" xfId="0" applyNumberFormat="1" applyFont="1" applyBorder="1" applyAlignment="1" applyProtection="1">
      <alignment horizontal="center"/>
      <protection hidden="1"/>
    </xf>
    <xf numFmtId="8" fontId="1" fillId="0" borderId="1" xfId="0" applyNumberFormat="1" applyFont="1" applyBorder="1" applyAlignment="1" applyProtection="1">
      <alignment horizontal="center"/>
      <protection hidden="1"/>
    </xf>
    <xf numFmtId="8" fontId="1" fillId="0" borderId="1" xfId="0" applyNumberFormat="1" applyFont="1" applyBorder="1" applyProtection="1">
      <protection hidden="1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10" fontId="1" fillId="2" borderId="1" xfId="0" applyNumberFormat="1" applyFont="1" applyFill="1" applyBorder="1" applyProtection="1">
      <protection locked="0"/>
    </xf>
    <xf numFmtId="9" fontId="1" fillId="2" borderId="5" xfId="0" applyNumberFormat="1" applyFont="1" applyFill="1" applyBorder="1" applyProtection="1">
      <protection locked="0"/>
    </xf>
    <xf numFmtId="9" fontId="1" fillId="2" borderId="4" xfId="0" applyNumberFormat="1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vertical="center"/>
      <protection hidden="1"/>
    </xf>
    <xf numFmtId="0" fontId="3" fillId="3" borderId="2" xfId="0" applyFont="1" applyFill="1" applyBorder="1" applyAlignment="1" applyProtection="1">
      <alignment horizontal="left" vertical="center"/>
      <protection hidden="1"/>
    </xf>
    <xf numFmtId="0" fontId="2" fillId="3" borderId="3" xfId="0" applyFont="1" applyFill="1" applyBorder="1" applyAlignment="1" applyProtection="1">
      <alignment horizontal="left" vertical="center"/>
      <protection hidden="1"/>
    </xf>
    <xf numFmtId="0" fontId="2" fillId="3" borderId="2" xfId="0" applyFont="1" applyFill="1" applyBorder="1" applyAlignment="1" applyProtection="1">
      <alignment horizontal="left"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 applyProtection="1">
      <alignment horizontal="left" vertical="center"/>
      <protection hidden="1"/>
    </xf>
    <xf numFmtId="0" fontId="2" fillId="3" borderId="2" xfId="0" applyFont="1" applyFill="1" applyBorder="1" applyAlignment="1" applyProtection="1">
      <alignment horizontal="left" vertical="center"/>
      <protection hidden="1"/>
    </xf>
    <xf numFmtId="0" fontId="3" fillId="3" borderId="1" xfId="0" applyFont="1" applyFill="1" applyBorder="1" applyAlignment="1" applyProtection="1">
      <alignment horizontal="left" vertic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6" fillId="0" borderId="3" xfId="1" applyFont="1" applyBorder="1" applyAlignment="1" applyProtection="1">
      <alignment horizontal="left"/>
      <protection hidden="1"/>
    </xf>
    <xf numFmtId="8" fontId="2" fillId="3" borderId="1" xfId="0" applyNumberFormat="1" applyFont="1" applyFill="1" applyBorder="1" applyAlignment="1" applyProtection="1">
      <alignment horizontal="center"/>
      <protection hidden="1"/>
    </xf>
    <xf numFmtId="0" fontId="6" fillId="0" borderId="3" xfId="1" applyFont="1" applyBorder="1" applyAlignment="1" applyProtection="1">
      <protection hidden="1"/>
    </xf>
    <xf numFmtId="0" fontId="2" fillId="3" borderId="3" xfId="0" applyFont="1" applyFill="1" applyBorder="1" applyAlignment="1" applyProtection="1">
      <alignment horizontal="center" vertical="center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8" fontId="1" fillId="2" borderId="1" xfId="0" applyNumberFormat="1" applyFont="1" applyFill="1" applyBorder="1" applyProtection="1">
      <protection locked="0"/>
    </xf>
    <xf numFmtId="9" fontId="1" fillId="2" borderId="1" xfId="0" applyNumberFormat="1" applyFont="1" applyFill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54E19"/>
      <color rgb="FFF8E3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1030997</xdr:colOff>
      <xdr:row>2</xdr:row>
      <xdr:rowOff>148330</xdr:rowOff>
    </xdr:from>
    <xdr:to>
      <xdr:col>17</xdr:col>
      <xdr:colOff>3156323</xdr:colOff>
      <xdr:row>4</xdr:row>
      <xdr:rowOff>488984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735D9-713D-0344-A2A9-F6B779E9B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49968" y="1380977"/>
          <a:ext cx="2125326" cy="1573301"/>
        </a:xfrm>
        <a:prstGeom prst="rect">
          <a:avLst/>
        </a:prstGeom>
      </xdr:spPr>
    </xdr:pic>
    <xdr:clientData/>
  </xdr:twoCellAnchor>
  <xdr:oneCellAnchor>
    <xdr:from>
      <xdr:col>12</xdr:col>
      <xdr:colOff>1382058</xdr:colOff>
      <xdr:row>2</xdr:row>
      <xdr:rowOff>110977</xdr:rowOff>
    </xdr:from>
    <xdr:ext cx="2125326" cy="1573301"/>
    <xdr:pic>
      <xdr:nvPicPr>
        <xdr:cNvPr id="3" name="Picture 2">
          <a:extLst>
            <a:ext uri="{FF2B5EF4-FFF2-40B4-BE49-F238E27FC236}">
              <a16:creationId xmlns:a16="http://schemas.microsoft.com/office/drawing/2014/main" id="{A51613F5-743F-4742-8138-6BAE00FBF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03382" y="1343624"/>
          <a:ext cx="2125326" cy="15733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s://angel-one.onelink.me/Wjgr/8vxyj8iq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6042-807B-2A44-98DB-53BF37D82493}">
  <dimension ref="D1:R32"/>
  <sheetViews>
    <sheetView showGridLines="0" tabSelected="1" zoomScale="68" workbookViewId="0">
      <selection activeCell="B10" sqref="B10"/>
    </sheetView>
  </sheetViews>
  <sheetFormatPr baseColWidth="10" defaultRowHeight="47" x14ac:dyDescent="0.55000000000000004"/>
  <cols>
    <col min="1" max="3" width="10.83203125" style="1"/>
    <col min="4" max="4" width="89.6640625" style="1" customWidth="1"/>
    <col min="5" max="5" width="10.6640625" style="1" customWidth="1"/>
    <col min="6" max="6" width="70.5" style="1" customWidth="1"/>
    <col min="7" max="9" width="10.83203125" style="1"/>
    <col min="10" max="10" width="17.5" style="1" customWidth="1"/>
    <col min="11" max="11" width="50" style="1" customWidth="1"/>
    <col min="12" max="12" width="63.1640625" style="1" bestFit="1" customWidth="1"/>
    <col min="13" max="13" width="60.6640625" style="1" customWidth="1"/>
    <col min="14" max="14" width="10.83203125" style="1"/>
    <col min="15" max="15" width="17.5" style="1" customWidth="1"/>
    <col min="16" max="16" width="50" style="1" customWidth="1"/>
    <col min="17" max="17" width="63.1640625" style="1" bestFit="1" customWidth="1"/>
    <col min="18" max="18" width="60.6640625" style="1" customWidth="1"/>
    <col min="19" max="16384" width="10.83203125" style="1"/>
  </cols>
  <sheetData>
    <row r="1" spans="4:18" ht="48" thickBot="1" x14ac:dyDescent="0.6"/>
    <row r="2" spans="4:18" ht="49" thickTop="1" thickBot="1" x14ac:dyDescent="0.6">
      <c r="D2" s="17" t="s">
        <v>10</v>
      </c>
      <c r="E2" s="17"/>
      <c r="F2" s="17"/>
      <c r="J2" s="17" t="s">
        <v>22</v>
      </c>
      <c r="K2" s="17"/>
      <c r="L2" s="17"/>
      <c r="M2" s="17"/>
      <c r="O2" s="17" t="s">
        <v>21</v>
      </c>
      <c r="P2" s="17"/>
      <c r="Q2" s="17"/>
      <c r="R2" s="17"/>
    </row>
    <row r="3" spans="4:18" ht="49" thickTop="1" thickBot="1" x14ac:dyDescent="0.6">
      <c r="D3" s="20" t="s">
        <v>7</v>
      </c>
      <c r="E3" s="20"/>
      <c r="F3" s="6" t="s">
        <v>23</v>
      </c>
      <c r="J3" s="18" t="s">
        <v>3</v>
      </c>
      <c r="K3" s="19"/>
      <c r="L3" s="10">
        <v>0.12</v>
      </c>
      <c r="O3" s="18" t="s">
        <v>3</v>
      </c>
      <c r="P3" s="19"/>
      <c r="Q3" s="10">
        <v>0.12</v>
      </c>
    </row>
    <row r="4" spans="4:18" ht="49" thickTop="1" thickBot="1" x14ac:dyDescent="0.6">
      <c r="D4" s="20" t="s">
        <v>8</v>
      </c>
      <c r="E4" s="20"/>
      <c r="F4" s="7">
        <v>30</v>
      </c>
      <c r="J4" s="18" t="s">
        <v>20</v>
      </c>
      <c r="K4" s="19"/>
      <c r="L4" s="8">
        <v>6000</v>
      </c>
      <c r="O4" s="18" t="s">
        <v>20</v>
      </c>
      <c r="P4" s="19"/>
      <c r="Q4" s="8">
        <v>30000</v>
      </c>
    </row>
    <row r="5" spans="4:18" ht="49" thickTop="1" thickBot="1" x14ac:dyDescent="0.6">
      <c r="D5" s="20" t="s">
        <v>1</v>
      </c>
      <c r="E5" s="20"/>
      <c r="F5" s="8">
        <v>5000000</v>
      </c>
      <c r="J5" s="18" t="s">
        <v>9</v>
      </c>
      <c r="K5" s="19"/>
      <c r="L5" s="11">
        <v>0.1</v>
      </c>
      <c r="O5" s="18" t="s">
        <v>9</v>
      </c>
      <c r="P5" s="19"/>
      <c r="Q5" s="11">
        <v>0.1</v>
      </c>
    </row>
    <row r="6" spans="4:18" ht="49" thickTop="1" thickBot="1" x14ac:dyDescent="0.6">
      <c r="D6" s="20" t="s">
        <v>0</v>
      </c>
      <c r="E6" s="20"/>
      <c r="F6" s="9">
        <v>7.0000000000000007E-2</v>
      </c>
      <c r="J6" s="12" t="s">
        <v>4</v>
      </c>
      <c r="K6" s="12" t="s">
        <v>5</v>
      </c>
      <c r="L6" s="12" t="s">
        <v>20</v>
      </c>
      <c r="M6" s="12" t="s">
        <v>6</v>
      </c>
      <c r="O6" s="12" t="s">
        <v>4</v>
      </c>
      <c r="P6" s="12" t="s">
        <v>5</v>
      </c>
      <c r="Q6" s="12" t="s">
        <v>20</v>
      </c>
      <c r="R6" s="12" t="s">
        <v>6</v>
      </c>
    </row>
    <row r="7" spans="4:18" ht="49" thickTop="1" thickBot="1" x14ac:dyDescent="0.6">
      <c r="D7" s="20" t="s">
        <v>17</v>
      </c>
      <c r="E7" s="20"/>
      <c r="F7" s="7">
        <v>10</v>
      </c>
      <c r="J7" s="2">
        <v>1</v>
      </c>
      <c r="K7" s="3">
        <v>0</v>
      </c>
      <c r="L7" s="3">
        <f>L4</f>
        <v>6000</v>
      </c>
      <c r="M7" s="4">
        <f>IF(J7&gt;0,FV(NOMINAL($Q$3,12)/12,12,-L7,-K7,1),0)</f>
        <v>76598.987450119414</v>
      </c>
      <c r="O7" s="2">
        <v>1</v>
      </c>
      <c r="P7" s="3">
        <v>0</v>
      </c>
      <c r="Q7" s="3">
        <f>Q4</f>
        <v>30000</v>
      </c>
      <c r="R7" s="4">
        <f>IF(O7&gt;0,FV(NOMINAL($Q$3,12)/12,12,-Q7,-P7,1),0)</f>
        <v>382994.93725059705</v>
      </c>
    </row>
    <row r="8" spans="4:18" ht="49" thickTop="1" thickBot="1" x14ac:dyDescent="0.6">
      <c r="D8" s="13" t="s">
        <v>2</v>
      </c>
      <c r="E8" s="14">
        <f>F7</f>
        <v>10</v>
      </c>
      <c r="F8" s="5">
        <f>FV(F6,F7,0,-F5)</f>
        <v>9835756.7864478286</v>
      </c>
      <c r="J8" s="2">
        <f t="shared" ref="J8:J31" si="0">IF(J7&gt;0,IF((J7+1)&gt;$F$7,0,J7+1),0)</f>
        <v>2</v>
      </c>
      <c r="K8" s="3">
        <f>IF(J8&gt;0,M7,0)</f>
        <v>76598.987450119414</v>
      </c>
      <c r="L8" s="3">
        <f t="shared" ref="L8:L31" si="1">IF(J8&gt;0,L7*(1+$Q$5),0)</f>
        <v>6600.0000000000009</v>
      </c>
      <c r="M8" s="4">
        <f t="shared" ref="M8:M31" si="2">IF(J8&gt;0,FV(NOMINAL($Q$3,12)/12,12,-L8,-K8,1),0)</f>
        <v>170049.75213926521</v>
      </c>
      <c r="O8" s="2">
        <f t="shared" ref="O8:O31" si="3">IF(O7&gt;0,IF((O7+1)&gt;$F$7,0,O7+1),0)</f>
        <v>2</v>
      </c>
      <c r="P8" s="3">
        <f>IF(O8&gt;0,R7,0)</f>
        <v>382994.93725059705</v>
      </c>
      <c r="Q8" s="3">
        <f t="shared" ref="Q8:Q31" si="4">IF(O8&gt;0,Q7*(1+$Q$5),0)</f>
        <v>33000</v>
      </c>
      <c r="R8" s="4">
        <f t="shared" ref="R8:R31" si="5">IF(O8&gt;0,FV(NOMINAL($Q$3,12)/12,12,-Q8,-P8,1),0)</f>
        <v>850248.76069632603</v>
      </c>
    </row>
    <row r="9" spans="4:18" ht="49" thickTop="1" thickBot="1" x14ac:dyDescent="0.6">
      <c r="J9" s="2">
        <f t="shared" si="0"/>
        <v>3</v>
      </c>
      <c r="K9" s="3">
        <f t="shared" ref="K9:K31" si="6">IF(J9&gt;0,M8,0)</f>
        <v>170049.75213926521</v>
      </c>
      <c r="L9" s="3">
        <f t="shared" si="1"/>
        <v>7260.0000000000018</v>
      </c>
      <c r="M9" s="4">
        <f t="shared" si="2"/>
        <v>283140.49721062183</v>
      </c>
      <c r="O9" s="2">
        <f t="shared" si="3"/>
        <v>3</v>
      </c>
      <c r="P9" s="3">
        <f t="shared" ref="P9:P31" si="7">IF(O9&gt;0,R8,0)</f>
        <v>850248.76069632603</v>
      </c>
      <c r="Q9" s="3">
        <f t="shared" si="4"/>
        <v>36300</v>
      </c>
      <c r="R9" s="4">
        <f t="shared" si="5"/>
        <v>1415702.4860531089</v>
      </c>
    </row>
    <row r="10" spans="4:18" ht="49" thickTop="1" thickBot="1" x14ac:dyDescent="0.6">
      <c r="J10" s="2">
        <f t="shared" si="0"/>
        <v>4</v>
      </c>
      <c r="K10" s="3">
        <f t="shared" si="6"/>
        <v>283140.49721062183</v>
      </c>
      <c r="L10" s="3">
        <f t="shared" si="1"/>
        <v>7986.0000000000027</v>
      </c>
      <c r="M10" s="4">
        <f t="shared" si="2"/>
        <v>419070.60917200585</v>
      </c>
      <c r="O10" s="2">
        <f t="shared" si="3"/>
        <v>4</v>
      </c>
      <c r="P10" s="3">
        <f t="shared" si="7"/>
        <v>1415702.4860531089</v>
      </c>
      <c r="Q10" s="3">
        <f t="shared" si="4"/>
        <v>39930</v>
      </c>
      <c r="R10" s="4">
        <f t="shared" si="5"/>
        <v>2095353.0458600288</v>
      </c>
    </row>
    <row r="11" spans="4:18" ht="49" thickTop="1" thickBot="1" x14ac:dyDescent="0.6">
      <c r="D11" s="25" t="s">
        <v>16</v>
      </c>
      <c r="E11" s="26"/>
      <c r="F11" s="12"/>
      <c r="J11" s="2">
        <f t="shared" si="0"/>
        <v>5</v>
      </c>
      <c r="K11" s="3">
        <f t="shared" si="6"/>
        <v>419070.60917200585</v>
      </c>
      <c r="L11" s="3">
        <f t="shared" si="1"/>
        <v>8784.600000000004</v>
      </c>
      <c r="M11" s="4">
        <f t="shared" si="2"/>
        <v>581507.65979836695</v>
      </c>
      <c r="O11" s="2">
        <f t="shared" si="3"/>
        <v>5</v>
      </c>
      <c r="P11" s="3">
        <f t="shared" si="7"/>
        <v>2095353.0458600288</v>
      </c>
      <c r="Q11" s="3">
        <f t="shared" si="4"/>
        <v>43923</v>
      </c>
      <c r="R11" s="4">
        <f t="shared" si="5"/>
        <v>2907538.2989918343</v>
      </c>
    </row>
    <row r="12" spans="4:18" ht="49" thickTop="1" thickBot="1" x14ac:dyDescent="0.6">
      <c r="D12" s="15" t="s">
        <v>11</v>
      </c>
      <c r="E12" s="16"/>
      <c r="F12" s="27">
        <f>F8</f>
        <v>9835756.7864478286</v>
      </c>
      <c r="J12" s="2">
        <f t="shared" si="0"/>
        <v>6</v>
      </c>
      <c r="K12" s="3">
        <f t="shared" si="6"/>
        <v>581507.65979836695</v>
      </c>
      <c r="L12" s="3">
        <f t="shared" si="1"/>
        <v>9663.0600000000049</v>
      </c>
      <c r="M12" s="4">
        <f t="shared" si="2"/>
        <v>774652.01425246359</v>
      </c>
      <c r="O12" s="2">
        <f t="shared" si="3"/>
        <v>6</v>
      </c>
      <c r="P12" s="3">
        <f t="shared" si="7"/>
        <v>2907538.2989918343</v>
      </c>
      <c r="Q12" s="3">
        <f t="shared" si="4"/>
        <v>48315.3</v>
      </c>
      <c r="R12" s="4">
        <f t="shared" si="5"/>
        <v>3873260.0712623177</v>
      </c>
    </row>
    <row r="13" spans="4:18" ht="49" thickTop="1" thickBot="1" x14ac:dyDescent="0.6">
      <c r="D13" s="15" t="s">
        <v>18</v>
      </c>
      <c r="E13" s="16"/>
      <c r="F13" s="28">
        <v>0.2</v>
      </c>
      <c r="J13" s="2">
        <f t="shared" si="0"/>
        <v>7</v>
      </c>
      <c r="K13" s="3">
        <f t="shared" si="6"/>
        <v>774652.01425246359</v>
      </c>
      <c r="L13" s="3">
        <f t="shared" si="1"/>
        <v>10629.366000000005</v>
      </c>
      <c r="M13" s="4">
        <f t="shared" si="2"/>
        <v>1003310.0347688814</v>
      </c>
      <c r="O13" s="2">
        <f t="shared" si="3"/>
        <v>7</v>
      </c>
      <c r="P13" s="3">
        <f t="shared" si="7"/>
        <v>3873260.0712623177</v>
      </c>
      <c r="Q13" s="3">
        <f t="shared" si="4"/>
        <v>53146.830000000009</v>
      </c>
      <c r="R13" s="4">
        <f t="shared" si="5"/>
        <v>5016550.1738444073</v>
      </c>
    </row>
    <row r="14" spans="4:18" ht="49" thickTop="1" thickBot="1" x14ac:dyDescent="0.6">
      <c r="D14" s="15" t="s">
        <v>19</v>
      </c>
      <c r="E14" s="16"/>
      <c r="F14" s="5">
        <f>F12*F13</f>
        <v>1967151.3572895657</v>
      </c>
      <c r="J14" s="2">
        <f t="shared" si="0"/>
        <v>8</v>
      </c>
      <c r="K14" s="3">
        <f t="shared" si="6"/>
        <v>1003310.0347688814</v>
      </c>
      <c r="L14" s="3">
        <f t="shared" si="1"/>
        <v>11692.302600000006</v>
      </c>
      <c r="M14" s="4">
        <f t="shared" si="2"/>
        <v>1272976.9956278817</v>
      </c>
      <c r="O14" s="2">
        <f t="shared" si="3"/>
        <v>8</v>
      </c>
      <c r="P14" s="3">
        <f t="shared" si="7"/>
        <v>5016550.1738444073</v>
      </c>
      <c r="Q14" s="3">
        <f t="shared" si="4"/>
        <v>58461.513000000014</v>
      </c>
      <c r="R14" s="4">
        <f t="shared" si="5"/>
        <v>6364884.9781394089</v>
      </c>
    </row>
    <row r="15" spans="4:18" ht="49" thickTop="1" thickBot="1" x14ac:dyDescent="0.6">
      <c r="D15" s="15" t="s">
        <v>12</v>
      </c>
      <c r="E15" s="16"/>
      <c r="F15" s="5">
        <f>F12-F14</f>
        <v>7868605.4291582629</v>
      </c>
      <c r="J15" s="2">
        <f t="shared" si="0"/>
        <v>9</v>
      </c>
      <c r="K15" s="3">
        <f t="shared" si="6"/>
        <v>1272976.9956278817</v>
      </c>
      <c r="L15" s="3">
        <f t="shared" si="1"/>
        <v>12861.532860000008</v>
      </c>
      <c r="M15" s="4">
        <f t="shared" si="2"/>
        <v>1589930.9674586358</v>
      </c>
      <c r="O15" s="2">
        <f t="shared" si="3"/>
        <v>9</v>
      </c>
      <c r="P15" s="3">
        <f t="shared" si="7"/>
        <v>6364884.9781394089</v>
      </c>
      <c r="Q15" s="3">
        <f t="shared" si="4"/>
        <v>64307.664300000019</v>
      </c>
      <c r="R15" s="4">
        <f t="shared" si="5"/>
        <v>7949654.8372931797</v>
      </c>
    </row>
    <row r="16" spans="4:18" ht="49" thickTop="1" thickBot="1" x14ac:dyDescent="0.6">
      <c r="D16" s="18" t="s">
        <v>13</v>
      </c>
      <c r="E16" s="19"/>
      <c r="F16" s="28">
        <v>0.08</v>
      </c>
      <c r="J16" s="2">
        <f t="shared" si="0"/>
        <v>10</v>
      </c>
      <c r="K16" s="3">
        <f t="shared" si="6"/>
        <v>1589930.9674586358</v>
      </c>
      <c r="L16" s="3">
        <f t="shared" si="1"/>
        <v>14147.686146000011</v>
      </c>
      <c r="M16" s="4">
        <f t="shared" si="2"/>
        <v>1961339.0891446217</v>
      </c>
      <c r="O16" s="2">
        <f t="shared" si="3"/>
        <v>10</v>
      </c>
      <c r="P16" s="3">
        <f t="shared" si="7"/>
        <v>7949654.8372931797</v>
      </c>
      <c r="Q16" s="3">
        <f t="shared" si="4"/>
        <v>70738.430730000022</v>
      </c>
      <c r="R16" s="4">
        <f t="shared" si="5"/>
        <v>9806695.4457231071</v>
      </c>
    </row>
    <row r="17" spans="4:18" ht="49" thickTop="1" thickBot="1" x14ac:dyDescent="0.6">
      <c r="D17" s="18" t="s">
        <v>14</v>
      </c>
      <c r="E17" s="19"/>
      <c r="F17" s="7">
        <v>25</v>
      </c>
      <c r="J17" s="2">
        <f t="shared" si="0"/>
        <v>0</v>
      </c>
      <c r="K17" s="3">
        <f t="shared" si="6"/>
        <v>0</v>
      </c>
      <c r="L17" s="3">
        <f t="shared" si="1"/>
        <v>0</v>
      </c>
      <c r="M17" s="4">
        <f t="shared" si="2"/>
        <v>0</v>
      </c>
      <c r="O17" s="2">
        <f t="shared" si="3"/>
        <v>0</v>
      </c>
      <c r="P17" s="3">
        <f t="shared" si="7"/>
        <v>0</v>
      </c>
      <c r="Q17" s="3">
        <f t="shared" si="4"/>
        <v>0</v>
      </c>
      <c r="R17" s="4">
        <f t="shared" si="5"/>
        <v>0</v>
      </c>
    </row>
    <row r="18" spans="4:18" ht="49" thickTop="1" thickBot="1" x14ac:dyDescent="0.6">
      <c r="D18" s="18" t="s">
        <v>15</v>
      </c>
      <c r="E18" s="19"/>
      <c r="F18" s="5">
        <f>PMT(F16/12,F17*12,-F15,0,0)</f>
        <v>60731.172940708166</v>
      </c>
      <c r="J18" s="2">
        <f t="shared" si="0"/>
        <v>0</v>
      </c>
      <c r="K18" s="3">
        <f t="shared" si="6"/>
        <v>0</v>
      </c>
      <c r="L18" s="3">
        <f t="shared" si="1"/>
        <v>0</v>
      </c>
      <c r="M18" s="4">
        <f t="shared" si="2"/>
        <v>0</v>
      </c>
      <c r="O18" s="2">
        <f t="shared" si="3"/>
        <v>0</v>
      </c>
      <c r="P18" s="3">
        <f t="shared" si="7"/>
        <v>0</v>
      </c>
      <c r="Q18" s="3">
        <f t="shared" si="4"/>
        <v>0</v>
      </c>
      <c r="R18" s="4">
        <f t="shared" si="5"/>
        <v>0</v>
      </c>
    </row>
    <row r="19" spans="4:18" ht="49" thickTop="1" thickBot="1" x14ac:dyDescent="0.6">
      <c r="J19" s="2">
        <f t="shared" si="0"/>
        <v>0</v>
      </c>
      <c r="K19" s="3">
        <f t="shared" si="6"/>
        <v>0</v>
      </c>
      <c r="L19" s="3">
        <f t="shared" si="1"/>
        <v>0</v>
      </c>
      <c r="M19" s="4">
        <f t="shared" si="2"/>
        <v>0</v>
      </c>
      <c r="O19" s="2">
        <f t="shared" si="3"/>
        <v>0</v>
      </c>
      <c r="P19" s="3">
        <f t="shared" si="7"/>
        <v>0</v>
      </c>
      <c r="Q19" s="3">
        <f t="shared" si="4"/>
        <v>0</v>
      </c>
      <c r="R19" s="4">
        <f t="shared" si="5"/>
        <v>0</v>
      </c>
    </row>
    <row r="20" spans="4:18" ht="49" thickTop="1" thickBot="1" x14ac:dyDescent="0.6">
      <c r="J20" s="2">
        <f t="shared" si="0"/>
        <v>0</v>
      </c>
      <c r="K20" s="3">
        <f t="shared" si="6"/>
        <v>0</v>
      </c>
      <c r="L20" s="3">
        <f t="shared" si="1"/>
        <v>0</v>
      </c>
      <c r="M20" s="4">
        <f t="shared" si="2"/>
        <v>0</v>
      </c>
      <c r="O20" s="2">
        <f t="shared" si="3"/>
        <v>0</v>
      </c>
      <c r="P20" s="3">
        <f t="shared" si="7"/>
        <v>0</v>
      </c>
      <c r="Q20" s="3">
        <f t="shared" si="4"/>
        <v>0</v>
      </c>
      <c r="R20" s="4">
        <f t="shared" si="5"/>
        <v>0</v>
      </c>
    </row>
    <row r="21" spans="4:18" ht="49" thickTop="1" thickBot="1" x14ac:dyDescent="0.6">
      <c r="D21" s="21" t="s">
        <v>24</v>
      </c>
      <c r="E21" s="21"/>
      <c r="F21" s="21"/>
      <c r="J21" s="2">
        <f t="shared" si="0"/>
        <v>0</v>
      </c>
      <c r="K21" s="3">
        <f t="shared" si="6"/>
        <v>0</v>
      </c>
      <c r="L21" s="3">
        <f t="shared" si="1"/>
        <v>0</v>
      </c>
      <c r="M21" s="4">
        <f t="shared" si="2"/>
        <v>0</v>
      </c>
      <c r="O21" s="2">
        <f t="shared" si="3"/>
        <v>0</v>
      </c>
      <c r="P21" s="3">
        <f t="shared" si="7"/>
        <v>0</v>
      </c>
      <c r="Q21" s="3">
        <f t="shared" si="4"/>
        <v>0</v>
      </c>
      <c r="R21" s="4">
        <f t="shared" si="5"/>
        <v>0</v>
      </c>
    </row>
    <row r="22" spans="4:18" ht="47" customHeight="1" thickTop="1" thickBot="1" x14ac:dyDescent="0.6">
      <c r="D22" s="22" t="s">
        <v>25</v>
      </c>
      <c r="E22" s="23" t="s">
        <v>26</v>
      </c>
      <c r="F22" s="23"/>
      <c r="J22" s="2">
        <f t="shared" si="0"/>
        <v>0</v>
      </c>
      <c r="K22" s="3">
        <f t="shared" si="6"/>
        <v>0</v>
      </c>
      <c r="L22" s="3">
        <f t="shared" si="1"/>
        <v>0</v>
      </c>
      <c r="M22" s="4">
        <f t="shared" si="2"/>
        <v>0</v>
      </c>
      <c r="O22" s="2">
        <f t="shared" si="3"/>
        <v>0</v>
      </c>
      <c r="P22" s="3">
        <f t="shared" si="7"/>
        <v>0</v>
      </c>
      <c r="Q22" s="3">
        <f t="shared" si="4"/>
        <v>0</v>
      </c>
      <c r="R22" s="4">
        <f t="shared" si="5"/>
        <v>0</v>
      </c>
    </row>
    <row r="23" spans="4:18" ht="49" thickTop="1" thickBot="1" x14ac:dyDescent="0.6">
      <c r="D23" s="24" t="s">
        <v>27</v>
      </c>
      <c r="E23" s="23" t="s">
        <v>28</v>
      </c>
      <c r="F23" s="23"/>
      <c r="J23" s="2">
        <f t="shared" si="0"/>
        <v>0</v>
      </c>
      <c r="K23" s="3">
        <f t="shared" si="6"/>
        <v>0</v>
      </c>
      <c r="L23" s="3">
        <f t="shared" si="1"/>
        <v>0</v>
      </c>
      <c r="M23" s="4">
        <f t="shared" si="2"/>
        <v>0</v>
      </c>
      <c r="O23" s="2">
        <f t="shared" si="3"/>
        <v>0</v>
      </c>
      <c r="P23" s="3">
        <f t="shared" si="7"/>
        <v>0</v>
      </c>
      <c r="Q23" s="3">
        <f t="shared" si="4"/>
        <v>0</v>
      </c>
      <c r="R23" s="4">
        <f t="shared" si="5"/>
        <v>0</v>
      </c>
    </row>
    <row r="24" spans="4:18" ht="49" thickTop="1" thickBot="1" x14ac:dyDescent="0.6">
      <c r="D24" s="22" t="s">
        <v>29</v>
      </c>
      <c r="E24" s="23" t="s">
        <v>30</v>
      </c>
      <c r="F24" s="23"/>
      <c r="J24" s="2">
        <f t="shared" si="0"/>
        <v>0</v>
      </c>
      <c r="K24" s="3">
        <f t="shared" si="6"/>
        <v>0</v>
      </c>
      <c r="L24" s="3">
        <f t="shared" si="1"/>
        <v>0</v>
      </c>
      <c r="M24" s="4">
        <f t="shared" si="2"/>
        <v>0</v>
      </c>
      <c r="O24" s="2">
        <f t="shared" si="3"/>
        <v>0</v>
      </c>
      <c r="P24" s="3">
        <f t="shared" si="7"/>
        <v>0</v>
      </c>
      <c r="Q24" s="3">
        <f t="shared" si="4"/>
        <v>0</v>
      </c>
      <c r="R24" s="4">
        <f t="shared" si="5"/>
        <v>0</v>
      </c>
    </row>
    <row r="25" spans="4:18" ht="49" thickTop="1" thickBot="1" x14ac:dyDescent="0.6">
      <c r="J25" s="2">
        <f t="shared" si="0"/>
        <v>0</v>
      </c>
      <c r="K25" s="3">
        <f t="shared" si="6"/>
        <v>0</v>
      </c>
      <c r="L25" s="3">
        <f t="shared" si="1"/>
        <v>0</v>
      </c>
      <c r="M25" s="4">
        <f t="shared" si="2"/>
        <v>0</v>
      </c>
      <c r="O25" s="2">
        <f t="shared" si="3"/>
        <v>0</v>
      </c>
      <c r="P25" s="3">
        <f t="shared" si="7"/>
        <v>0</v>
      </c>
      <c r="Q25" s="3">
        <f t="shared" si="4"/>
        <v>0</v>
      </c>
      <c r="R25" s="4">
        <f t="shared" si="5"/>
        <v>0</v>
      </c>
    </row>
    <row r="26" spans="4:18" ht="49" thickTop="1" thickBot="1" x14ac:dyDescent="0.6">
      <c r="J26" s="2">
        <f t="shared" si="0"/>
        <v>0</v>
      </c>
      <c r="K26" s="3">
        <f t="shared" si="6"/>
        <v>0</v>
      </c>
      <c r="L26" s="3">
        <f t="shared" si="1"/>
        <v>0</v>
      </c>
      <c r="M26" s="4">
        <f t="shared" si="2"/>
        <v>0</v>
      </c>
      <c r="O26" s="2">
        <f t="shared" si="3"/>
        <v>0</v>
      </c>
      <c r="P26" s="3">
        <f t="shared" si="7"/>
        <v>0</v>
      </c>
      <c r="Q26" s="3">
        <f t="shared" si="4"/>
        <v>0</v>
      </c>
      <c r="R26" s="4">
        <f t="shared" si="5"/>
        <v>0</v>
      </c>
    </row>
    <row r="27" spans="4:18" ht="49" thickTop="1" thickBot="1" x14ac:dyDescent="0.6">
      <c r="J27" s="2">
        <f t="shared" si="0"/>
        <v>0</v>
      </c>
      <c r="K27" s="3">
        <f t="shared" si="6"/>
        <v>0</v>
      </c>
      <c r="L27" s="3">
        <f t="shared" si="1"/>
        <v>0</v>
      </c>
      <c r="M27" s="4">
        <f t="shared" si="2"/>
        <v>0</v>
      </c>
      <c r="O27" s="2">
        <f t="shared" si="3"/>
        <v>0</v>
      </c>
      <c r="P27" s="3">
        <f t="shared" si="7"/>
        <v>0</v>
      </c>
      <c r="Q27" s="3">
        <f t="shared" si="4"/>
        <v>0</v>
      </c>
      <c r="R27" s="4">
        <f t="shared" si="5"/>
        <v>0</v>
      </c>
    </row>
    <row r="28" spans="4:18" ht="49" thickTop="1" thickBot="1" x14ac:dyDescent="0.6">
      <c r="J28" s="2">
        <f t="shared" si="0"/>
        <v>0</v>
      </c>
      <c r="K28" s="3">
        <f t="shared" si="6"/>
        <v>0</v>
      </c>
      <c r="L28" s="3">
        <f t="shared" si="1"/>
        <v>0</v>
      </c>
      <c r="M28" s="4">
        <f t="shared" si="2"/>
        <v>0</v>
      </c>
      <c r="O28" s="2">
        <f t="shared" si="3"/>
        <v>0</v>
      </c>
      <c r="P28" s="3">
        <f t="shared" si="7"/>
        <v>0</v>
      </c>
      <c r="Q28" s="3">
        <f t="shared" si="4"/>
        <v>0</v>
      </c>
      <c r="R28" s="4">
        <f t="shared" si="5"/>
        <v>0</v>
      </c>
    </row>
    <row r="29" spans="4:18" ht="49" thickTop="1" thickBot="1" x14ac:dyDescent="0.6">
      <c r="J29" s="2">
        <f t="shared" si="0"/>
        <v>0</v>
      </c>
      <c r="K29" s="3">
        <f t="shared" si="6"/>
        <v>0</v>
      </c>
      <c r="L29" s="3">
        <f t="shared" si="1"/>
        <v>0</v>
      </c>
      <c r="M29" s="4">
        <f t="shared" si="2"/>
        <v>0</v>
      </c>
      <c r="O29" s="2">
        <f t="shared" si="3"/>
        <v>0</v>
      </c>
      <c r="P29" s="3">
        <f t="shared" si="7"/>
        <v>0</v>
      </c>
      <c r="Q29" s="3">
        <f t="shared" si="4"/>
        <v>0</v>
      </c>
      <c r="R29" s="4">
        <f t="shared" si="5"/>
        <v>0</v>
      </c>
    </row>
    <row r="30" spans="4:18" ht="49" thickTop="1" thickBot="1" x14ac:dyDescent="0.6">
      <c r="J30" s="2">
        <f t="shared" si="0"/>
        <v>0</v>
      </c>
      <c r="K30" s="3">
        <f t="shared" si="6"/>
        <v>0</v>
      </c>
      <c r="L30" s="3">
        <f t="shared" si="1"/>
        <v>0</v>
      </c>
      <c r="M30" s="4">
        <f t="shared" si="2"/>
        <v>0</v>
      </c>
      <c r="O30" s="2">
        <f t="shared" si="3"/>
        <v>0</v>
      </c>
      <c r="P30" s="3">
        <f t="shared" si="7"/>
        <v>0</v>
      </c>
      <c r="Q30" s="3">
        <f t="shared" si="4"/>
        <v>0</v>
      </c>
      <c r="R30" s="4">
        <f t="shared" si="5"/>
        <v>0</v>
      </c>
    </row>
    <row r="31" spans="4:18" ht="49" thickTop="1" thickBot="1" x14ac:dyDescent="0.6">
      <c r="J31" s="2">
        <f t="shared" si="0"/>
        <v>0</v>
      </c>
      <c r="K31" s="3">
        <f t="shared" si="6"/>
        <v>0</v>
      </c>
      <c r="L31" s="3">
        <f t="shared" si="1"/>
        <v>0</v>
      </c>
      <c r="M31" s="4">
        <f t="shared" si="2"/>
        <v>0</v>
      </c>
      <c r="O31" s="2">
        <f t="shared" si="3"/>
        <v>0</v>
      </c>
      <c r="P31" s="3">
        <f t="shared" si="7"/>
        <v>0</v>
      </c>
      <c r="Q31" s="3">
        <f t="shared" si="4"/>
        <v>0</v>
      </c>
      <c r="R31" s="4">
        <f t="shared" si="5"/>
        <v>0</v>
      </c>
    </row>
    <row r="32" spans="4:18" ht="48" thickTop="1" x14ac:dyDescent="0.55000000000000004"/>
  </sheetData>
  <sheetProtection algorithmName="SHA-512" hashValue="MXXD/7tC/co35y6ICale7CN0kRBv+Kc07K500U80da9sU5fdb2f9tTSvmwCWuQSs2EiAKuTKoCDfFFE0wYTaEQ==" saltValue="OmvertBuogTMm5+uS0sF7Q==" spinCount="100000" sheet="1" objects="1" scenarios="1"/>
  <mergeCells count="22">
    <mergeCell ref="D21:F21"/>
    <mergeCell ref="E22:F22"/>
    <mergeCell ref="E23:F23"/>
    <mergeCell ref="E24:F24"/>
    <mergeCell ref="O5:P5"/>
    <mergeCell ref="D6:E6"/>
    <mergeCell ref="D7:E7"/>
    <mergeCell ref="D2:F2"/>
    <mergeCell ref="O2:R2"/>
    <mergeCell ref="D3:E3"/>
    <mergeCell ref="O3:P3"/>
    <mergeCell ref="D4:E4"/>
    <mergeCell ref="O4:P4"/>
    <mergeCell ref="D17:E17"/>
    <mergeCell ref="D18:E18"/>
    <mergeCell ref="J2:M2"/>
    <mergeCell ref="J3:K3"/>
    <mergeCell ref="J4:K4"/>
    <mergeCell ref="J5:K5"/>
    <mergeCell ref="D16:E16"/>
    <mergeCell ref="D5:E5"/>
    <mergeCell ref="D11:E11"/>
  </mergeCells>
  <hyperlinks>
    <hyperlink ref="D22" r:id="rId1" xr:uid="{0EFE39EA-3AC1-C94D-912C-22DE044887AE}"/>
    <hyperlink ref="D23" r:id="rId2" xr:uid="{9FBA2774-C360-C648-8D14-46FC9FD1AEA1}"/>
    <hyperlink ref="D24" r:id="rId3" xr:uid="{DE18DDE2-7D8A-D842-9A1E-CCD1684DD29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2025-06-24T10:45:59Z</dcterms:created>
  <dcterms:modified xsi:type="dcterms:W3CDTF">2025-08-30T12:13:34Z</dcterms:modified>
</cp:coreProperties>
</file>