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filterPrivacy="1" defaultThemeVersion="124226"/>
  <xr:revisionPtr revIDLastSave="0" documentId="13_ncr:1_{78633CE8-8BF2-DB41-A2C6-53193E4800BA}" xr6:coauthVersionLast="47" xr6:coauthVersionMax="47" xr10:uidLastSave="{00000000-0000-0000-0000-000000000000}"/>
  <bookViews>
    <workbookView xWindow="0" yWindow="500" windowWidth="28800" windowHeight="15980" activeTab="3" xr2:uid="{00000000-000D-0000-FFFF-FFFF00000000}"/>
  </bookViews>
  <sheets>
    <sheet name="SSSC" sheetId="2" r:id="rId1"/>
    <sheet name="PMVVY" sheetId="3" r:id="rId2"/>
    <sheet name="Post Office MIS" sheetId="4" r:id="rId3"/>
    <sheet name="FD v s Debt Fund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3" i="4" l="1"/>
  <c r="I17" i="3"/>
  <c r="I18" i="3" s="1"/>
  <c r="F17" i="3"/>
  <c r="F18" i="3" s="1"/>
  <c r="I11" i="3"/>
  <c r="I12" i="3" s="1"/>
  <c r="I16" i="3"/>
  <c r="F16" i="3"/>
  <c r="I10" i="3"/>
  <c r="H15" i="3"/>
  <c r="E15" i="3"/>
  <c r="F10" i="3"/>
  <c r="F12" i="3" s="1"/>
  <c r="D10" i="2"/>
  <c r="I10" i="1"/>
  <c r="E8" i="1" l="1"/>
  <c r="E11" i="1" s="1"/>
  <c r="E12" i="1" s="1"/>
  <c r="C11" i="1"/>
  <c r="C12" i="1" s="1"/>
  <c r="C14" i="1" s="1"/>
  <c r="E14" i="1" l="1"/>
  <c r="E15" i="1" s="1"/>
  <c r="E16" i="1" s="1"/>
  <c r="E17" i="1" s="1"/>
  <c r="E18" i="1" s="1"/>
  <c r="C15" i="1"/>
  <c r="F20" i="1" l="1"/>
  <c r="C16" i="1"/>
</calcChain>
</file>

<file path=xl/sharedStrings.xml><?xml version="1.0" encoding="utf-8"?>
<sst xmlns="http://schemas.openxmlformats.org/spreadsheetml/2006/main" count="106" uniqueCount="45">
  <si>
    <t>FIXED DEPOSIT</t>
  </si>
  <si>
    <t>DEBT MUTUAL FUND</t>
  </si>
  <si>
    <t>INVESTMENT</t>
  </si>
  <si>
    <t>INTREST RATE</t>
  </si>
  <si>
    <t>NO OF YEARS</t>
  </si>
  <si>
    <t>FUTURE VALUE</t>
  </si>
  <si>
    <t>TAX</t>
  </si>
  <si>
    <t>TAX AMOUNT</t>
  </si>
  <si>
    <t>POST TAX AMOUNT</t>
  </si>
  <si>
    <t>POST TAX PERCENTAGE</t>
  </si>
  <si>
    <t>PROFIT</t>
  </si>
  <si>
    <t>INDEXATION</t>
  </si>
  <si>
    <t>INDEXED AMOUNT</t>
  </si>
  <si>
    <t>POST INDEXATION</t>
  </si>
  <si>
    <t>CAPITAL GAIN TAX</t>
  </si>
  <si>
    <t>POST TAX RETURN</t>
  </si>
  <si>
    <t>ADDITIONAL GAIN TO FIXED DEPOSTI BY INVESTING IN MUTUAL FUND</t>
  </si>
  <si>
    <t>Investment Amount</t>
  </si>
  <si>
    <t>Tenure</t>
  </si>
  <si>
    <t>Interest Rate</t>
  </si>
  <si>
    <t>Quarterly Pension</t>
  </si>
  <si>
    <t>Rate</t>
  </si>
  <si>
    <t>Yearly</t>
  </si>
  <si>
    <t>Pension</t>
  </si>
  <si>
    <t>Latest Rates</t>
  </si>
  <si>
    <t>Half Yearly</t>
  </si>
  <si>
    <t>Quarterly</t>
  </si>
  <si>
    <t>Monthly</t>
  </si>
  <si>
    <t>Monthly Income</t>
  </si>
  <si>
    <t>ZERODHA</t>
  </si>
  <si>
    <t>UPSTOX</t>
  </si>
  <si>
    <t>https://tinyurl.com/y8sbw9w8</t>
  </si>
  <si>
    <t>ANGEL BROAKING</t>
  </si>
  <si>
    <r>
      <t xml:space="preserve">To </t>
    </r>
    <r>
      <rPr>
        <sz val="24"/>
        <color rgb="FFFFFF00"/>
        <rFont val="Calibri (Body)"/>
      </rPr>
      <t>Support 'Money Purse Channel'</t>
    </r>
    <r>
      <rPr>
        <sz val="24"/>
        <color theme="0"/>
        <rFont val="Calibri"/>
        <family val="2"/>
        <scheme val="minor"/>
      </rPr>
      <t xml:space="preserve"> you can </t>
    </r>
    <r>
      <rPr>
        <b/>
        <sz val="24"/>
        <color rgb="FFFFFF00"/>
        <rFont val="Calibri (Body)"/>
      </rPr>
      <t>open your "DEMAT ACCOUNT"</t>
    </r>
    <r>
      <rPr>
        <sz val="24"/>
        <color theme="0"/>
        <rFont val="Calibri"/>
        <family val="2"/>
        <scheme val="minor"/>
      </rPr>
      <t xml:space="preserve"> with below brokers</t>
    </r>
  </si>
  <si>
    <t>https://zerodha.com/open-account?c=ZMPVNW</t>
  </si>
  <si>
    <t>http://tinyurl.com/y3r42a2x</t>
  </si>
  <si>
    <t>FYERS</t>
  </si>
  <si>
    <t>https://bit.ly/3JZwgyc</t>
  </si>
  <si>
    <t>TERM INSURANCE COMPARE</t>
  </si>
  <si>
    <t>https://tinyurl.com/bdysmh59   </t>
  </si>
  <si>
    <t>HEALTH INSURANCE COMPARE</t>
  </si>
  <si>
    <t>https://tinyurl.com/pgc9dcxc </t>
  </si>
  <si>
    <t>THIS PRODUCT BELONGS TO</t>
  </si>
  <si>
    <r>
      <t xml:space="preserve">To </t>
    </r>
    <r>
      <rPr>
        <sz val="18"/>
        <color rgb="FFFFFF00"/>
        <rFont val="Calibri (Body)"/>
      </rPr>
      <t>Support 'Money Purse Channel'</t>
    </r>
    <r>
      <rPr>
        <sz val="18"/>
        <color theme="0"/>
        <rFont val="Calibri"/>
        <family val="2"/>
        <scheme val="minor"/>
      </rPr>
      <t xml:space="preserve"> you can </t>
    </r>
    <r>
      <rPr>
        <b/>
        <sz val="18"/>
        <color rgb="FFFFFF00"/>
        <rFont val="Calibri (Body)"/>
      </rPr>
      <t>open your "DEMAT ACCOUNT"</t>
    </r>
    <r>
      <rPr>
        <sz val="18"/>
        <color theme="0"/>
        <rFont val="Calibri"/>
        <family val="2"/>
        <scheme val="minor"/>
      </rPr>
      <t xml:space="preserve"> with below brokers</t>
    </r>
  </si>
  <si>
    <r>
      <t xml:space="preserve">To </t>
    </r>
    <r>
      <rPr>
        <sz val="10"/>
        <color rgb="FFFFFF00"/>
        <rFont val="Calibri (Body)"/>
      </rPr>
      <t>Support 'Money Purse Channel'</t>
    </r>
    <r>
      <rPr>
        <sz val="10"/>
        <color theme="0"/>
        <rFont val="Calibri"/>
        <family val="2"/>
        <scheme val="minor"/>
      </rPr>
      <t xml:space="preserve"> you can </t>
    </r>
    <r>
      <rPr>
        <b/>
        <sz val="10"/>
        <color rgb="FFFFFF00"/>
        <rFont val="Calibri (Body)"/>
      </rPr>
      <t>open your "DEMAT ACCOUNT"</t>
    </r>
    <r>
      <rPr>
        <sz val="10"/>
        <color theme="0"/>
        <rFont val="Calibri"/>
        <family val="2"/>
        <scheme val="minor"/>
      </rPr>
      <t xml:space="preserve"> with below brokers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</si>
</sst>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₹&quot;#,##0.00_);[Red]\(&quot;₹&quot;#,##0.00\)"/>
    <numFmt numFmtId="164" formatCode="&quot;₹&quot;\ #,##0.00;[Red]&quot;₹&quot;\ \-#,##0.00"/>
    <numFmt numFmtId="165" formatCode="0.0000%"/>
    <numFmt numFmtId="166" formatCode="&quot;₹&quot;#,##0.00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sz val="2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36"/>
      <color theme="0"/>
      <name val="Calibri"/>
      <family val="2"/>
      <scheme val="minor"/>
    </font>
    <font>
      <u/>
      <sz val="26"/>
      <color theme="10"/>
      <name val="Calibri"/>
      <family val="2"/>
      <scheme val="minor"/>
    </font>
    <font>
      <sz val="24"/>
      <color rgb="FFFFFF00"/>
      <name val="Calibri (Body)"/>
    </font>
    <font>
      <b/>
      <sz val="24"/>
      <color rgb="FFFFFF00"/>
      <name val="Calibri (Body)"/>
    </font>
    <font>
      <u/>
      <sz val="16"/>
      <color theme="10"/>
      <name val="Calibri"/>
      <family val="2"/>
      <scheme val="minor"/>
    </font>
    <font>
      <u/>
      <sz val="24"/>
      <color theme="10"/>
      <name val="Calibri"/>
      <family val="2"/>
      <scheme val="minor"/>
    </font>
    <font>
      <b/>
      <sz val="24"/>
      <color rgb="FF1F6BC0"/>
      <name val="Helvetica Neue"/>
      <family val="2"/>
    </font>
    <font>
      <u/>
      <sz val="28"/>
      <color theme="10"/>
      <name val="Calibri"/>
      <family val="2"/>
      <scheme val="minor"/>
    </font>
    <font>
      <b/>
      <sz val="26"/>
      <color rgb="FF1F6BC0"/>
      <name val="Helvetica Neue"/>
      <family val="2"/>
    </font>
    <font>
      <u/>
      <sz val="22"/>
      <color theme="10"/>
      <name val="Calibri"/>
      <family val="2"/>
      <scheme val="minor"/>
    </font>
    <font>
      <sz val="36"/>
      <color theme="1"/>
      <name val="Arial Bold"/>
    </font>
    <font>
      <sz val="18"/>
      <color theme="0"/>
      <name val="Calibri"/>
      <family val="2"/>
      <scheme val="minor"/>
    </font>
    <font>
      <sz val="18"/>
      <color rgb="FFFFFF00"/>
      <name val="Calibri (Body)"/>
    </font>
    <font>
      <b/>
      <sz val="18"/>
      <color rgb="FFFFFF00"/>
      <name val="Calibri (Body)"/>
    </font>
    <font>
      <b/>
      <sz val="2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24"/>
      <color theme="1"/>
      <name val="Arial Bold"/>
    </font>
    <font>
      <b/>
      <sz val="20"/>
      <color theme="0"/>
      <name val="Calibri"/>
      <family val="2"/>
      <scheme val="minor"/>
    </font>
    <font>
      <u/>
      <sz val="20"/>
      <color theme="10"/>
      <name val="Calibri"/>
      <family val="2"/>
      <scheme val="minor"/>
    </font>
    <font>
      <b/>
      <sz val="20"/>
      <color rgb="FF1F6BC0"/>
      <name val="Helvetica Neue"/>
      <family val="2"/>
    </font>
    <font>
      <sz val="20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4"/>
      <color rgb="FF1F6BC0"/>
      <name val="Helvetica Neue"/>
      <family val="2"/>
    </font>
    <font>
      <sz val="14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FF00"/>
      <name val="Calibri (Body)"/>
    </font>
    <font>
      <b/>
      <sz val="10"/>
      <color rgb="FFFFFF00"/>
      <name val="Calibri (Body)"/>
    </font>
    <font>
      <sz val="18"/>
      <color theme="1"/>
      <name val="Arial Bold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theme="0"/>
      </bottom>
      <diagonal/>
    </border>
    <border>
      <left style="thick">
        <color rgb="FF002060"/>
      </left>
      <right style="thick">
        <color rgb="FF002060"/>
      </right>
      <top style="thick">
        <color theme="0"/>
      </top>
      <bottom style="thick">
        <color theme="0"/>
      </bottom>
      <diagonal/>
    </border>
    <border>
      <left style="thick">
        <color rgb="FF002060"/>
      </left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thick">
        <color rgb="FF002060"/>
      </left>
      <right/>
      <top/>
      <bottom/>
      <diagonal/>
    </border>
    <border>
      <left/>
      <right/>
      <top/>
      <bottom style="thick">
        <color rgb="FF002060"/>
      </bottom>
      <diagonal/>
    </border>
    <border>
      <left style="thick">
        <color rgb="FF002060"/>
      </left>
      <right/>
      <top style="thick">
        <color indexed="64"/>
      </top>
      <bottom style="thick">
        <color rgb="FF002060"/>
      </bottom>
      <diagonal/>
    </border>
    <border>
      <left/>
      <right style="thick">
        <color rgb="FF002060"/>
      </right>
      <top style="thick">
        <color indexed="64"/>
      </top>
      <bottom style="thick">
        <color rgb="FF002060"/>
      </bottom>
      <diagonal/>
    </border>
    <border>
      <left style="thick">
        <color rgb="FF002060"/>
      </left>
      <right/>
      <top style="thick">
        <color theme="0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/>
      <diagonal/>
    </border>
    <border>
      <left style="thick">
        <color rgb="FF002060"/>
      </left>
      <right/>
      <top style="thick">
        <color theme="1"/>
      </top>
      <bottom style="medium">
        <color theme="1"/>
      </bottom>
      <diagonal/>
    </border>
    <border>
      <left/>
      <right style="thick">
        <color rgb="FF002060"/>
      </right>
      <top style="thick">
        <color theme="1"/>
      </top>
      <bottom style="medium">
        <color theme="1"/>
      </bottom>
      <diagonal/>
    </border>
    <border>
      <left style="thick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thick">
        <color theme="1"/>
      </bottom>
      <diagonal/>
    </border>
    <border>
      <left/>
      <right/>
      <top style="medium">
        <color theme="1"/>
      </top>
      <bottom style="thick">
        <color theme="1"/>
      </bottom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rgb="FF002060"/>
      </left>
      <right style="thick">
        <color theme="1"/>
      </right>
      <top style="thick">
        <color theme="0"/>
      </top>
      <bottom style="thick">
        <color indexed="64"/>
      </bottom>
      <diagonal/>
    </border>
    <border>
      <left style="thick">
        <color rgb="FF002060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rgb="FF002060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theme="1"/>
      </left>
      <right/>
      <top style="thick">
        <color indexed="64"/>
      </top>
      <bottom style="thick">
        <color indexed="64"/>
      </bottom>
      <diagonal/>
    </border>
    <border>
      <left style="medium">
        <color theme="1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1"/>
      </left>
      <right style="medium">
        <color theme="1"/>
      </right>
      <top style="medium">
        <color theme="1"/>
      </top>
      <bottom style="thick">
        <color indexed="64"/>
      </bottom>
      <diagonal/>
    </border>
    <border>
      <left/>
      <right style="thick">
        <color indexed="64"/>
      </right>
      <top style="medium">
        <color theme="1"/>
      </top>
      <bottom style="thick">
        <color theme="1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rgb="FF00206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29">
    <xf numFmtId="0" fontId="0" fillId="0" borderId="0" xfId="0"/>
    <xf numFmtId="0" fontId="9" fillId="9" borderId="2" xfId="0" applyFont="1" applyFill="1" applyBorder="1" applyProtection="1">
      <protection hidden="1"/>
    </xf>
    <xf numFmtId="0" fontId="9" fillId="9" borderId="3" xfId="0" applyFont="1" applyFill="1" applyBorder="1" applyProtection="1">
      <protection hidden="1"/>
    </xf>
    <xf numFmtId="0" fontId="9" fillId="9" borderId="11" xfId="0" applyFont="1" applyFill="1" applyBorder="1" applyProtection="1">
      <protection hidden="1"/>
    </xf>
    <xf numFmtId="0" fontId="9" fillId="9" borderId="13" xfId="0" applyFont="1" applyFill="1" applyBorder="1" applyProtection="1">
      <protection hidden="1"/>
    </xf>
    <xf numFmtId="0" fontId="9" fillId="9" borderId="16" xfId="0" applyFont="1" applyFill="1" applyBorder="1" applyProtection="1">
      <protection hidden="1"/>
    </xf>
    <xf numFmtId="0" fontId="9" fillId="9" borderId="21" xfId="0" applyFont="1" applyFill="1" applyBorder="1" applyProtection="1">
      <protection hidden="1"/>
    </xf>
    <xf numFmtId="0" fontId="23" fillId="9" borderId="2" xfId="0" applyFont="1" applyFill="1" applyBorder="1" applyProtection="1">
      <protection hidden="1"/>
    </xf>
    <xf numFmtId="0" fontId="23" fillId="9" borderId="3" xfId="0" applyFont="1" applyFill="1" applyBorder="1" applyProtection="1">
      <protection hidden="1"/>
    </xf>
    <xf numFmtId="0" fontId="23" fillId="9" borderId="11" xfId="0" applyFont="1" applyFill="1" applyBorder="1" applyProtection="1">
      <protection hidden="1"/>
    </xf>
    <xf numFmtId="0" fontId="23" fillId="9" borderId="21" xfId="0" applyFont="1" applyFill="1" applyBorder="1" applyProtection="1">
      <protection hidden="1"/>
    </xf>
    <xf numFmtId="0" fontId="24" fillId="9" borderId="13" xfId="0" applyFont="1" applyFill="1" applyBorder="1" applyProtection="1">
      <protection hidden="1"/>
    </xf>
    <xf numFmtId="0" fontId="24" fillId="9" borderId="16" xfId="0" applyFont="1" applyFill="1" applyBorder="1" applyProtection="1">
      <protection hidden="1"/>
    </xf>
    <xf numFmtId="0" fontId="26" fillId="9" borderId="2" xfId="0" applyFont="1" applyFill="1" applyBorder="1" applyProtection="1">
      <protection hidden="1"/>
    </xf>
    <xf numFmtId="0" fontId="26" fillId="9" borderId="3" xfId="0" applyFont="1" applyFill="1" applyBorder="1" applyProtection="1">
      <protection hidden="1"/>
    </xf>
    <xf numFmtId="0" fontId="26" fillId="9" borderId="11" xfId="0" applyFont="1" applyFill="1" applyBorder="1" applyProtection="1">
      <protection hidden="1"/>
    </xf>
    <xf numFmtId="0" fontId="26" fillId="9" borderId="21" xfId="0" applyFont="1" applyFill="1" applyBorder="1" applyProtection="1">
      <protection hidden="1"/>
    </xf>
    <xf numFmtId="0" fontId="26" fillId="9" borderId="13" xfId="0" applyFont="1" applyFill="1" applyBorder="1" applyProtection="1">
      <protection hidden="1"/>
    </xf>
    <xf numFmtId="0" fontId="26" fillId="9" borderId="29" xfId="0" applyFont="1" applyFill="1" applyBorder="1" applyProtection="1">
      <protection hidden="1"/>
    </xf>
    <xf numFmtId="0" fontId="31" fillId="9" borderId="2" xfId="0" applyFont="1" applyFill="1" applyBorder="1" applyProtection="1">
      <protection hidden="1"/>
    </xf>
    <xf numFmtId="0" fontId="31" fillId="9" borderId="3" xfId="0" applyFont="1" applyFill="1" applyBorder="1" applyProtection="1">
      <protection hidden="1"/>
    </xf>
    <xf numFmtId="0" fontId="31" fillId="9" borderId="11" xfId="0" applyFont="1" applyFill="1" applyBorder="1" applyProtection="1">
      <protection hidden="1"/>
    </xf>
    <xf numFmtId="0" fontId="31" fillId="9" borderId="21" xfId="0" applyFont="1" applyFill="1" applyBorder="1" applyProtection="1">
      <protection hidden="1"/>
    </xf>
    <xf numFmtId="0" fontId="31" fillId="9" borderId="13" xfId="0" applyFont="1" applyFill="1" applyBorder="1" applyProtection="1">
      <protection hidden="1"/>
    </xf>
    <xf numFmtId="0" fontId="31" fillId="9" borderId="29" xfId="0" applyFont="1" applyFill="1" applyBorder="1" applyProtection="1">
      <protection hidden="1"/>
    </xf>
    <xf numFmtId="0" fontId="34" fillId="0" borderId="0" xfId="0" applyFont="1" applyProtection="1">
      <protection hidden="1"/>
    </xf>
    <xf numFmtId="0" fontId="34" fillId="0" borderId="1" xfId="0" applyFont="1" applyBorder="1" applyProtection="1">
      <protection hidden="1"/>
    </xf>
    <xf numFmtId="0" fontId="30" fillId="0" borderId="0" xfId="0" applyFont="1" applyProtection="1">
      <protection hidden="1"/>
    </xf>
    <xf numFmtId="9" fontId="30" fillId="0" borderId="0" xfId="0" applyNumberFormat="1" applyFont="1" applyProtection="1">
      <protection hidden="1"/>
    </xf>
    <xf numFmtId="165" fontId="30" fillId="0" borderId="0" xfId="0" applyNumberFormat="1" applyFont="1" applyProtection="1">
      <protection hidden="1"/>
    </xf>
    <xf numFmtId="164" fontId="34" fillId="0" borderId="1" xfId="0" applyNumberFormat="1" applyFont="1" applyBorder="1" applyProtection="1">
      <protection hidden="1"/>
    </xf>
    <xf numFmtId="10" fontId="34" fillId="0" borderId="1" xfId="1" applyNumberFormat="1" applyFont="1" applyBorder="1" applyProtection="1">
      <protection hidden="1"/>
    </xf>
    <xf numFmtId="0" fontId="34" fillId="4" borderId="0" xfId="0" applyFont="1" applyFill="1" applyProtection="1">
      <protection hidden="1"/>
    </xf>
    <xf numFmtId="0" fontId="30" fillId="10" borderId="1" xfId="0" applyFont="1" applyFill="1" applyBorder="1" applyProtection="1">
      <protection hidden="1"/>
    </xf>
    <xf numFmtId="9" fontId="30" fillId="10" borderId="1" xfId="0" applyNumberFormat="1" applyFont="1" applyFill="1" applyBorder="1" applyProtection="1">
      <protection hidden="1"/>
    </xf>
    <xf numFmtId="164" fontId="30" fillId="10" borderId="1" xfId="0" applyNumberFormat="1" applyFont="1" applyFill="1" applyBorder="1" applyProtection="1">
      <protection hidden="1"/>
    </xf>
    <xf numFmtId="10" fontId="30" fillId="10" borderId="1" xfId="1" applyNumberFormat="1" applyFont="1" applyFill="1" applyBorder="1" applyProtection="1">
      <protection hidden="1"/>
    </xf>
    <xf numFmtId="0" fontId="30" fillId="11" borderId="1" xfId="0" applyFont="1" applyFill="1" applyBorder="1" applyProtection="1">
      <protection hidden="1"/>
    </xf>
    <xf numFmtId="0" fontId="34" fillId="3" borderId="1" xfId="0" applyFont="1" applyFill="1" applyBorder="1" applyProtection="1">
      <protection locked="0" hidden="1"/>
    </xf>
    <xf numFmtId="10" fontId="34" fillId="3" borderId="1" xfId="0" applyNumberFormat="1" applyFont="1" applyFill="1" applyBorder="1" applyProtection="1">
      <protection locked="0" hidden="1"/>
    </xf>
    <xf numFmtId="9" fontId="34" fillId="3" borderId="1" xfId="0" applyNumberFormat="1" applyFont="1" applyFill="1" applyBorder="1" applyProtection="1">
      <protection locked="0" hidden="1"/>
    </xf>
    <xf numFmtId="0" fontId="0" fillId="4" borderId="0" xfId="0" applyFill="1" applyProtection="1">
      <protection hidden="1"/>
    </xf>
    <xf numFmtId="0" fontId="7" fillId="5" borderId="1" xfId="0" applyFont="1" applyFill="1" applyBorder="1" applyProtection="1">
      <protection hidden="1"/>
    </xf>
    <xf numFmtId="0" fontId="6" fillId="3" borderId="1" xfId="0" applyFont="1" applyFill="1" applyBorder="1" applyProtection="1">
      <protection locked="0" hidden="1"/>
    </xf>
    <xf numFmtId="10" fontId="6" fillId="3" borderId="1" xfId="0" applyNumberFormat="1" applyFont="1" applyFill="1" applyBorder="1" applyProtection="1">
      <protection locked="0" hidden="1"/>
    </xf>
    <xf numFmtId="8" fontId="6" fillId="4" borderId="1" xfId="0" applyNumberFormat="1" applyFont="1" applyFill="1" applyBorder="1" applyProtection="1">
      <protection hidden="1"/>
    </xf>
    <xf numFmtId="0" fontId="29" fillId="4" borderId="0" xfId="0" applyFont="1" applyFill="1" applyProtection="1">
      <protection hidden="1"/>
    </xf>
    <xf numFmtId="0" fontId="3" fillId="4" borderId="1" xfId="0" applyFont="1" applyFill="1" applyBorder="1" applyProtection="1">
      <protection hidden="1"/>
    </xf>
    <xf numFmtId="0" fontId="3" fillId="3" borderId="1" xfId="0" applyFont="1" applyFill="1" applyBorder="1" applyProtection="1">
      <protection locked="0" hidden="1"/>
    </xf>
    <xf numFmtId="0" fontId="5" fillId="5" borderId="1" xfId="0" applyFont="1" applyFill="1" applyBorder="1" applyProtection="1">
      <protection hidden="1"/>
    </xf>
    <xf numFmtId="166" fontId="3" fillId="4" borderId="1" xfId="0" applyNumberFormat="1" applyFont="1" applyFill="1" applyBorder="1" applyProtection="1">
      <protection hidden="1"/>
    </xf>
    <xf numFmtId="0" fontId="5" fillId="6" borderId="1" xfId="0" applyFont="1" applyFill="1" applyBorder="1" applyProtection="1">
      <protection hidden="1"/>
    </xf>
    <xf numFmtId="166" fontId="3" fillId="3" borderId="1" xfId="0" applyNumberFormat="1" applyFont="1" applyFill="1" applyBorder="1" applyProtection="1">
      <protection locked="0" hidden="1"/>
    </xf>
    <xf numFmtId="0" fontId="5" fillId="7" borderId="1" xfId="0" applyFont="1" applyFill="1" applyBorder="1" applyProtection="1">
      <protection hidden="1"/>
    </xf>
    <xf numFmtId="0" fontId="5" fillId="8" borderId="1" xfId="0" applyFont="1" applyFill="1" applyBorder="1" applyProtection="1">
      <protection hidden="1"/>
    </xf>
    <xf numFmtId="0" fontId="0" fillId="4" borderId="19" xfId="0" applyFill="1" applyBorder="1" applyProtection="1">
      <protection hidden="1"/>
    </xf>
    <xf numFmtId="0" fontId="0" fillId="4" borderId="20" xfId="0" applyFill="1" applyBorder="1" applyProtection="1">
      <protection hidden="1"/>
    </xf>
    <xf numFmtId="0" fontId="4" fillId="5" borderId="1" xfId="0" applyFont="1" applyFill="1" applyBorder="1" applyProtection="1">
      <protection hidden="1"/>
    </xf>
    <xf numFmtId="0" fontId="2" fillId="3" borderId="1" xfId="0" applyFont="1" applyFill="1" applyBorder="1" applyProtection="1">
      <protection locked="0" hidden="1"/>
    </xf>
    <xf numFmtId="0" fontId="2" fillId="4" borderId="0" xfId="0" applyFont="1" applyFill="1" applyProtection="1">
      <protection hidden="1"/>
    </xf>
    <xf numFmtId="9" fontId="2" fillId="3" borderId="1" xfId="0" applyNumberFormat="1" applyFont="1" applyFill="1" applyBorder="1" applyProtection="1">
      <protection locked="0" hidden="1"/>
    </xf>
    <xf numFmtId="8" fontId="2" fillId="4" borderId="1" xfId="0" applyNumberFormat="1" applyFont="1" applyFill="1" applyBorder="1" applyProtection="1">
      <protection hidden="1"/>
    </xf>
    <xf numFmtId="9" fontId="0" fillId="4" borderId="0" xfId="0" applyNumberFormat="1" applyFill="1" applyProtection="1">
      <protection hidden="1"/>
    </xf>
    <xf numFmtId="0" fontId="18" fillId="0" borderId="14" xfId="2" applyFont="1" applyBorder="1" applyAlignment="1" applyProtection="1">
      <alignment horizontal="center"/>
      <protection hidden="1"/>
    </xf>
    <xf numFmtId="0" fontId="18" fillId="0" borderId="15" xfId="2" applyFont="1" applyBorder="1" applyAlignment="1" applyProtection="1">
      <alignment horizontal="center"/>
      <protection hidden="1"/>
    </xf>
    <xf numFmtId="0" fontId="14" fillId="0" borderId="17" xfId="2" applyFont="1" applyBorder="1" applyAlignment="1" applyProtection="1">
      <alignment horizontal="center"/>
      <protection hidden="1"/>
    </xf>
    <xf numFmtId="0" fontId="14" fillId="0" borderId="18" xfId="2" applyFont="1" applyBorder="1" applyAlignment="1" applyProtection="1">
      <alignment horizontal="center"/>
      <protection hidden="1"/>
    </xf>
    <xf numFmtId="0" fontId="19" fillId="0" borderId="0" xfId="0" applyFont="1" applyAlignment="1" applyProtection="1">
      <alignment horizontal="left"/>
      <protection hidden="1"/>
    </xf>
    <xf numFmtId="0" fontId="13" fillId="0" borderId="9" xfId="2" applyFont="1" applyBorder="1" applyAlignment="1" applyProtection="1">
      <alignment horizontal="center"/>
      <protection hidden="1"/>
    </xf>
    <xf numFmtId="0" fontId="13" fillId="0" borderId="10" xfId="2" applyFont="1" applyBorder="1" applyAlignment="1" applyProtection="1">
      <alignment horizontal="center"/>
      <protection hidden="1"/>
    </xf>
    <xf numFmtId="0" fontId="14" fillId="0" borderId="4" xfId="2" applyFont="1" applyBorder="1" applyAlignment="1" applyProtection="1">
      <alignment horizontal="center"/>
      <protection hidden="1"/>
    </xf>
    <xf numFmtId="0" fontId="15" fillId="0" borderId="5" xfId="0" applyFont="1" applyBorder="1" applyAlignment="1" applyProtection="1">
      <alignment horizontal="center"/>
      <protection hidden="1"/>
    </xf>
    <xf numFmtId="0" fontId="16" fillId="0" borderId="12" xfId="2" applyFont="1" applyBorder="1" applyAlignment="1" applyProtection="1">
      <alignment horizontal="center"/>
      <protection hidden="1"/>
    </xf>
    <xf numFmtId="0" fontId="5" fillId="5" borderId="7" xfId="0" applyFont="1" applyFill="1" applyBorder="1" applyAlignment="1" applyProtection="1">
      <alignment horizontal="center" vertical="center"/>
      <protection hidden="1"/>
    </xf>
    <xf numFmtId="0" fontId="5" fillId="5" borderId="0" xfId="0" applyFont="1" applyFill="1" applyAlignment="1" applyProtection="1">
      <alignment horizontal="center" vertical="center"/>
      <protection hidden="1"/>
    </xf>
    <xf numFmtId="0" fontId="5" fillId="5" borderId="6" xfId="0" applyFont="1" applyFill="1" applyBorder="1" applyAlignment="1" applyProtection="1">
      <alignment horizontal="center" vertical="center"/>
      <protection hidden="1"/>
    </xf>
    <xf numFmtId="0" fontId="5" fillId="5" borderId="8" xfId="0" applyFont="1" applyFill="1" applyBorder="1" applyAlignment="1" applyProtection="1">
      <alignment horizontal="center" vertical="center"/>
      <protection hidden="1"/>
    </xf>
    <xf numFmtId="0" fontId="10" fillId="0" borderId="12" xfId="2" applyFont="1" applyBorder="1" applyAlignment="1" applyProtection="1">
      <alignment horizontal="center"/>
      <protection hidden="1"/>
    </xf>
    <xf numFmtId="0" fontId="17" fillId="0" borderId="12" xfId="0" applyFont="1" applyBorder="1" applyAlignment="1" applyProtection="1">
      <alignment horizontal="center"/>
      <protection hidden="1"/>
    </xf>
    <xf numFmtId="0" fontId="25" fillId="0" borderId="0" xfId="0" applyFont="1" applyAlignment="1" applyProtection="1">
      <alignment horizontal="left"/>
      <protection hidden="1"/>
    </xf>
    <xf numFmtId="0" fontId="20" fillId="5" borderId="7" xfId="0" applyFont="1" applyFill="1" applyBorder="1" applyAlignment="1" applyProtection="1">
      <alignment horizontal="center" vertical="center"/>
      <protection hidden="1"/>
    </xf>
    <xf numFmtId="0" fontId="20" fillId="5" borderId="0" xfId="0" applyFont="1" applyFill="1" applyAlignment="1" applyProtection="1">
      <alignment horizontal="center" vertical="center"/>
      <protection hidden="1"/>
    </xf>
    <xf numFmtId="0" fontId="13" fillId="0" borderId="22" xfId="2" applyFont="1" applyBorder="1" applyAlignment="1" applyProtection="1">
      <alignment horizontal="center"/>
      <protection hidden="1"/>
    </xf>
    <xf numFmtId="0" fontId="13" fillId="0" borderId="23" xfId="2" applyFont="1" applyBorder="1" applyAlignment="1" applyProtection="1">
      <alignment horizontal="center"/>
      <protection hidden="1"/>
    </xf>
    <xf numFmtId="0" fontId="14" fillId="0" borderId="24" xfId="2" applyFont="1" applyBorder="1" applyAlignment="1" applyProtection="1">
      <alignment horizontal="center"/>
      <protection hidden="1"/>
    </xf>
    <xf numFmtId="0" fontId="14" fillId="0" borderId="25" xfId="2" applyFont="1" applyBorder="1" applyAlignment="1" applyProtection="1">
      <alignment horizontal="center"/>
      <protection hidden="1"/>
    </xf>
    <xf numFmtId="0" fontId="16" fillId="0" borderId="26" xfId="2" applyFont="1" applyBorder="1" applyAlignment="1" applyProtection="1">
      <alignment horizontal="center"/>
      <protection hidden="1"/>
    </xf>
    <xf numFmtId="0" fontId="16" fillId="0" borderId="25" xfId="2" applyFont="1" applyBorder="1" applyAlignment="1" applyProtection="1">
      <alignment horizontal="center"/>
      <protection hidden="1"/>
    </xf>
    <xf numFmtId="0" fontId="16" fillId="0" borderId="28" xfId="2" applyFont="1" applyBorder="1" applyAlignment="1" applyProtection="1">
      <alignment horizontal="center"/>
      <protection hidden="1"/>
    </xf>
    <xf numFmtId="0" fontId="10" fillId="0" borderId="26" xfId="2" applyFont="1" applyBorder="1" applyAlignment="1" applyProtection="1">
      <alignment horizontal="center"/>
      <protection hidden="1"/>
    </xf>
    <xf numFmtId="0" fontId="10" fillId="0" borderId="25" xfId="2" applyFont="1" applyBorder="1" applyAlignment="1" applyProtection="1">
      <alignment horizontal="center"/>
      <protection hidden="1"/>
    </xf>
    <xf numFmtId="0" fontId="18" fillId="0" borderId="24" xfId="2" applyFont="1" applyBorder="1" applyAlignment="1" applyProtection="1">
      <alignment horizontal="center"/>
      <protection hidden="1"/>
    </xf>
    <xf numFmtId="0" fontId="18" fillId="0" borderId="25" xfId="2" applyFont="1" applyBorder="1" applyAlignment="1" applyProtection="1">
      <alignment horizontal="center"/>
      <protection hidden="1"/>
    </xf>
    <xf numFmtId="0" fontId="14" fillId="0" borderId="27" xfId="2" applyFont="1" applyBorder="1" applyAlignment="1" applyProtection="1">
      <alignment horizontal="center"/>
      <protection hidden="1"/>
    </xf>
    <xf numFmtId="0" fontId="4" fillId="5" borderId="1" xfId="0" applyFont="1" applyFill="1" applyBorder="1" applyAlignment="1" applyProtection="1">
      <alignment horizontal="center"/>
      <protection hidden="1"/>
    </xf>
    <xf numFmtId="0" fontId="3" fillId="4" borderId="1" xfId="0" applyFont="1" applyFill="1" applyBorder="1" applyAlignment="1" applyProtection="1">
      <alignment horizontal="center"/>
      <protection hidden="1"/>
    </xf>
    <xf numFmtId="0" fontId="4" fillId="6" borderId="1" xfId="0" applyFont="1" applyFill="1" applyBorder="1" applyAlignment="1" applyProtection="1">
      <alignment horizontal="center"/>
      <protection hidden="1"/>
    </xf>
    <xf numFmtId="0" fontId="4" fillId="7" borderId="1" xfId="0" applyFont="1" applyFill="1" applyBorder="1" applyAlignment="1" applyProtection="1">
      <alignment horizontal="center"/>
      <protection hidden="1"/>
    </xf>
    <xf numFmtId="0" fontId="4" fillId="8" borderId="1" xfId="0" applyFont="1" applyFill="1" applyBorder="1" applyAlignment="1" applyProtection="1">
      <alignment horizontal="center"/>
      <protection hidden="1"/>
    </xf>
    <xf numFmtId="0" fontId="27" fillId="0" borderId="17" xfId="2" applyFont="1" applyBorder="1" applyAlignment="1" applyProtection="1">
      <alignment horizontal="center"/>
      <protection hidden="1"/>
    </xf>
    <xf numFmtId="0" fontId="27" fillId="0" borderId="30" xfId="2" applyFont="1" applyBorder="1" applyAlignment="1" applyProtection="1">
      <alignment horizontal="center"/>
      <protection hidden="1"/>
    </xf>
    <xf numFmtId="0" fontId="20" fillId="5" borderId="6" xfId="0" applyFont="1" applyFill="1" applyBorder="1" applyAlignment="1" applyProtection="1">
      <alignment horizontal="center" vertical="center"/>
      <protection hidden="1"/>
    </xf>
    <xf numFmtId="0" fontId="20" fillId="5" borderId="8" xfId="0" applyFont="1" applyFill="1" applyBorder="1" applyAlignment="1" applyProtection="1">
      <alignment horizontal="center" vertical="center"/>
      <protection hidden="1"/>
    </xf>
    <xf numFmtId="0" fontId="27" fillId="0" borderId="9" xfId="2" applyFont="1" applyBorder="1" applyAlignment="1" applyProtection="1">
      <alignment horizontal="center"/>
      <protection hidden="1"/>
    </xf>
    <xf numFmtId="0" fontId="27" fillId="0" borderId="10" xfId="2" applyFont="1" applyBorder="1" applyAlignment="1" applyProtection="1">
      <alignment horizontal="center"/>
      <protection hidden="1"/>
    </xf>
    <xf numFmtId="0" fontId="27" fillId="0" borderId="4" xfId="2" applyFont="1" applyBorder="1" applyAlignment="1" applyProtection="1">
      <alignment horizontal="center"/>
      <protection hidden="1"/>
    </xf>
    <xf numFmtId="0" fontId="28" fillId="0" borderId="5" xfId="0" applyFont="1" applyBorder="1" applyAlignment="1" applyProtection="1">
      <alignment horizontal="center"/>
      <protection hidden="1"/>
    </xf>
    <xf numFmtId="0" fontId="27" fillId="0" borderId="12" xfId="2" applyFont="1" applyBorder="1" applyAlignment="1" applyProtection="1">
      <alignment horizontal="center"/>
      <protection hidden="1"/>
    </xf>
    <xf numFmtId="0" fontId="28" fillId="0" borderId="12" xfId="0" applyFont="1" applyBorder="1" applyAlignment="1" applyProtection="1">
      <alignment horizontal="center"/>
      <protection hidden="1"/>
    </xf>
    <xf numFmtId="0" fontId="27" fillId="0" borderId="14" xfId="2" applyFont="1" applyBorder="1" applyAlignment="1" applyProtection="1">
      <alignment horizontal="center"/>
      <protection hidden="1"/>
    </xf>
    <xf numFmtId="0" fontId="27" fillId="0" borderId="15" xfId="2" applyFont="1" applyBorder="1" applyAlignment="1" applyProtection="1">
      <alignment horizontal="center"/>
      <protection hidden="1"/>
    </xf>
    <xf numFmtId="0" fontId="32" fillId="0" borderId="12" xfId="2" applyFont="1" applyBorder="1" applyAlignment="1" applyProtection="1">
      <alignment horizontal="center"/>
      <protection hidden="1"/>
    </xf>
    <xf numFmtId="0" fontId="33" fillId="0" borderId="12" xfId="0" applyFont="1" applyBorder="1" applyAlignment="1" applyProtection="1">
      <alignment horizontal="center"/>
      <protection hidden="1"/>
    </xf>
    <xf numFmtId="0" fontId="32" fillId="0" borderId="14" xfId="2" applyFont="1" applyBorder="1" applyAlignment="1" applyProtection="1">
      <alignment horizontal="center"/>
      <protection hidden="1"/>
    </xf>
    <xf numFmtId="0" fontId="32" fillId="0" borderId="15" xfId="2" applyFont="1" applyBorder="1" applyAlignment="1" applyProtection="1">
      <alignment horizontal="center"/>
      <protection hidden="1"/>
    </xf>
    <xf numFmtId="0" fontId="32" fillId="0" borderId="17" xfId="2" applyFont="1" applyBorder="1" applyAlignment="1" applyProtection="1">
      <alignment horizontal="center"/>
      <protection hidden="1"/>
    </xf>
    <xf numFmtId="0" fontId="32" fillId="0" borderId="30" xfId="2" applyFont="1" applyBorder="1" applyAlignment="1" applyProtection="1">
      <alignment horizontal="center"/>
      <protection hidden="1"/>
    </xf>
    <xf numFmtId="0" fontId="38" fillId="0" borderId="0" xfId="0" applyFont="1" applyAlignment="1" applyProtection="1">
      <alignment horizontal="left"/>
      <protection hidden="1"/>
    </xf>
    <xf numFmtId="0" fontId="34" fillId="2" borderId="1" xfId="0" applyFont="1" applyFill="1" applyBorder="1" applyAlignment="1" applyProtection="1">
      <alignment horizontal="center"/>
      <protection hidden="1"/>
    </xf>
    <xf numFmtId="0" fontId="35" fillId="5" borderId="7" xfId="0" applyFont="1" applyFill="1" applyBorder="1" applyAlignment="1" applyProtection="1">
      <alignment horizontal="center" vertical="center"/>
      <protection hidden="1"/>
    </xf>
    <xf numFmtId="0" fontId="35" fillId="5" borderId="0" xfId="0" applyFont="1" applyFill="1" applyAlignment="1" applyProtection="1">
      <alignment horizontal="center" vertical="center"/>
      <protection hidden="1"/>
    </xf>
    <xf numFmtId="0" fontId="35" fillId="5" borderId="31" xfId="0" applyFont="1" applyFill="1" applyBorder="1" applyAlignment="1" applyProtection="1">
      <alignment horizontal="center" vertical="center"/>
      <protection hidden="1"/>
    </xf>
    <xf numFmtId="0" fontId="35" fillId="5" borderId="6" xfId="0" applyFont="1" applyFill="1" applyBorder="1" applyAlignment="1" applyProtection="1">
      <alignment horizontal="center" vertical="center"/>
      <protection hidden="1"/>
    </xf>
    <xf numFmtId="0" fontId="35" fillId="5" borderId="8" xfId="0" applyFont="1" applyFill="1" applyBorder="1" applyAlignment="1" applyProtection="1">
      <alignment horizontal="center" vertical="center"/>
      <protection hidden="1"/>
    </xf>
    <xf numFmtId="0" fontId="35" fillId="5" borderId="32" xfId="0" applyFont="1" applyFill="1" applyBorder="1" applyAlignment="1" applyProtection="1">
      <alignment horizontal="center" vertical="center"/>
      <protection hidden="1"/>
    </xf>
    <xf numFmtId="0" fontId="8" fillId="0" borderId="9" xfId="2" applyBorder="1" applyAlignment="1" applyProtection="1">
      <alignment horizontal="center"/>
      <protection hidden="1"/>
    </xf>
    <xf numFmtId="0" fontId="8" fillId="0" borderId="10" xfId="2" applyBorder="1" applyAlignment="1" applyProtection="1">
      <alignment horizontal="center"/>
      <protection hidden="1"/>
    </xf>
    <xf numFmtId="0" fontId="32" fillId="0" borderId="4" xfId="2" applyFont="1" applyBorder="1" applyAlignment="1" applyProtection="1">
      <alignment horizontal="center"/>
      <protection hidden="1"/>
    </xf>
    <xf numFmtId="0" fontId="33" fillId="0" borderId="5" xfId="0" applyFont="1" applyBorder="1" applyAlignment="1" applyProtection="1">
      <alignment horizontal="center"/>
      <protection hidden="1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558801</xdr:colOff>
      <xdr:row>0</xdr:row>
      <xdr:rowOff>159387</xdr:rowOff>
    </xdr:from>
    <xdr:to>
      <xdr:col>3</xdr:col>
      <xdr:colOff>3903133</xdr:colOff>
      <xdr:row>5</xdr:row>
      <xdr:rowOff>755416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FEB45-787A-BB46-B2A6-5699ED01F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7601" y="159387"/>
          <a:ext cx="3344332" cy="19506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342900</xdr:colOff>
      <xdr:row>0</xdr:row>
      <xdr:rowOff>0</xdr:rowOff>
    </xdr:from>
    <xdr:to>
      <xdr:col>7</xdr:col>
      <xdr:colOff>339492</xdr:colOff>
      <xdr:row>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911197-BF57-3944-BC66-EB6E054C4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8300" y="0"/>
          <a:ext cx="2612792" cy="152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889000</xdr:colOff>
      <xdr:row>1</xdr:row>
      <xdr:rowOff>50800</xdr:rowOff>
    </xdr:from>
    <xdr:to>
      <xdr:col>6</xdr:col>
      <xdr:colOff>1139592</xdr:colOff>
      <xdr:row>8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763CDE-3FE5-F54F-813C-E290186F9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0" y="241300"/>
          <a:ext cx="2612792" cy="152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861018</xdr:colOff>
      <xdr:row>0</xdr:row>
      <xdr:rowOff>182965</xdr:rowOff>
    </xdr:from>
    <xdr:to>
      <xdr:col>4</xdr:col>
      <xdr:colOff>129153</xdr:colOff>
      <xdr:row>5</xdr:row>
      <xdr:rowOff>138019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C55EEC-950E-2A4B-B014-010C4F966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3221" y="182965"/>
          <a:ext cx="2044915" cy="11927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it.ly/3JZwgyc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tinyurl.com/y8sbw9w8" TargetMode="External"/><Relationship Id="rId1" Type="http://schemas.openxmlformats.org/officeDocument/2006/relationships/hyperlink" Target="http://tinyurl.com/y3r42a2x" TargetMode="External"/><Relationship Id="rId6" Type="http://schemas.openxmlformats.org/officeDocument/2006/relationships/hyperlink" Target="https://tinyurl.com/pgc9dcxc&#160;" TargetMode="External"/><Relationship Id="rId5" Type="http://schemas.openxmlformats.org/officeDocument/2006/relationships/hyperlink" Target="https://tinyurl.com/bdysmh59&#160;%20&#160;" TargetMode="External"/><Relationship Id="rId4" Type="http://schemas.openxmlformats.org/officeDocument/2006/relationships/hyperlink" Target="https://zerodha.com/open-account?c=ZMPVNW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bit.ly/3JZwgyc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tinyurl.com/y8sbw9w8" TargetMode="External"/><Relationship Id="rId1" Type="http://schemas.openxmlformats.org/officeDocument/2006/relationships/hyperlink" Target="http://tinyurl.com/y3r42a2x" TargetMode="External"/><Relationship Id="rId6" Type="http://schemas.openxmlformats.org/officeDocument/2006/relationships/hyperlink" Target="https://tinyurl.com/pgc9dcxc&#160;" TargetMode="External"/><Relationship Id="rId5" Type="http://schemas.openxmlformats.org/officeDocument/2006/relationships/hyperlink" Target="https://tinyurl.com/bdysmh59&#160;%20&#160;" TargetMode="External"/><Relationship Id="rId4" Type="http://schemas.openxmlformats.org/officeDocument/2006/relationships/hyperlink" Target="https://zerodha.com/open-account?c=ZMPVNW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bit.ly/3JZwgyc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https://tinyurl.com/y8sbw9w8" TargetMode="External"/><Relationship Id="rId1" Type="http://schemas.openxmlformats.org/officeDocument/2006/relationships/hyperlink" Target="http://tinyurl.com/y3r42a2x" TargetMode="External"/><Relationship Id="rId6" Type="http://schemas.openxmlformats.org/officeDocument/2006/relationships/hyperlink" Target="https://tinyurl.com/pgc9dcxc&#160;" TargetMode="External"/><Relationship Id="rId5" Type="http://schemas.openxmlformats.org/officeDocument/2006/relationships/hyperlink" Target="https://tinyurl.com/bdysmh59&#160;%20&#160;" TargetMode="External"/><Relationship Id="rId4" Type="http://schemas.openxmlformats.org/officeDocument/2006/relationships/hyperlink" Target="https://zerodha.com/open-account?c=ZMPVNW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bit.ly/3JZwgyc" TargetMode="External"/><Relationship Id="rId7" Type="http://schemas.openxmlformats.org/officeDocument/2006/relationships/drawing" Target="../drawings/drawing4.xml"/><Relationship Id="rId2" Type="http://schemas.openxmlformats.org/officeDocument/2006/relationships/hyperlink" Target="https://tinyurl.com/y8sbw9w8" TargetMode="External"/><Relationship Id="rId1" Type="http://schemas.openxmlformats.org/officeDocument/2006/relationships/hyperlink" Target="http://tinyurl.com/y3r42a2x" TargetMode="External"/><Relationship Id="rId6" Type="http://schemas.openxmlformats.org/officeDocument/2006/relationships/hyperlink" Target="https://tinyurl.com/pgc9dcxc&#160;" TargetMode="External"/><Relationship Id="rId5" Type="http://schemas.openxmlformats.org/officeDocument/2006/relationships/hyperlink" Target="https://tinyurl.com/bdysmh59&#160;%20&#160;" TargetMode="External"/><Relationship Id="rId4" Type="http://schemas.openxmlformats.org/officeDocument/2006/relationships/hyperlink" Target="https://zerodha.com/open-account?c=ZMPV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N27"/>
  <sheetViews>
    <sheetView zoomScale="75" workbookViewId="0">
      <selection activeCell="D10" sqref="D10"/>
    </sheetView>
  </sheetViews>
  <sheetFormatPr baseColWidth="10" defaultColWidth="8.83203125" defaultRowHeight="15"/>
  <cols>
    <col min="1" max="1" width="8.83203125" style="41"/>
    <col min="2" max="2" width="34.33203125" style="41" customWidth="1"/>
    <col min="3" max="3" width="80.6640625" style="41" customWidth="1"/>
    <col min="4" max="4" width="63.6640625" style="41" customWidth="1"/>
    <col min="5" max="5" width="42.83203125" style="41" customWidth="1"/>
    <col min="6" max="6" width="22.1640625" style="41" customWidth="1"/>
    <col min="7" max="16384" width="8.83203125" style="41"/>
  </cols>
  <sheetData>
    <row r="5" spans="3:14" ht="48" customHeight="1">
      <c r="C5" s="67" t="s">
        <v>42</v>
      </c>
      <c r="D5" s="67"/>
    </row>
    <row r="6" spans="3:14" ht="75" customHeight="1"/>
    <row r="7" spans="3:14" ht="47">
      <c r="C7" s="57" t="s">
        <v>17</v>
      </c>
      <c r="D7" s="58"/>
      <c r="E7" s="59"/>
      <c r="F7" s="59"/>
      <c r="G7" s="59"/>
    </row>
    <row r="8" spans="3:14" ht="47">
      <c r="C8" s="57" t="s">
        <v>18</v>
      </c>
      <c r="D8" s="58"/>
      <c r="E8" s="59"/>
      <c r="F8" s="59"/>
      <c r="G8" s="59"/>
    </row>
    <row r="9" spans="3:14" ht="47">
      <c r="C9" s="57" t="s">
        <v>19</v>
      </c>
      <c r="D9" s="60"/>
      <c r="E9" s="59"/>
      <c r="F9" s="59"/>
      <c r="G9" s="59"/>
    </row>
    <row r="10" spans="3:14" ht="47">
      <c r="C10" s="57" t="s">
        <v>20</v>
      </c>
      <c r="D10" s="61" t="e">
        <f>PMT((D9/4),D8*4,-D7,D7,0)</f>
        <v>#NUM!</v>
      </c>
      <c r="E10" s="59"/>
      <c r="F10" s="59"/>
      <c r="G10" s="59"/>
    </row>
    <row r="15" spans="3:14">
      <c r="N15" s="62"/>
    </row>
    <row r="16" spans="3:14" ht="16" customHeight="1">
      <c r="C16" s="73" t="s">
        <v>33</v>
      </c>
      <c r="D16" s="74"/>
      <c r="E16" s="74"/>
      <c r="F16" s="55"/>
    </row>
    <row r="17" spans="3:6" ht="16" customHeight="1" thickBot="1">
      <c r="C17" s="75"/>
      <c r="D17" s="76"/>
      <c r="E17" s="76"/>
      <c r="F17" s="55"/>
    </row>
    <row r="18" spans="3:6" ht="49" thickTop="1" thickBot="1">
      <c r="C18" s="1" t="s">
        <v>29</v>
      </c>
      <c r="D18" s="68" t="s">
        <v>34</v>
      </c>
      <c r="E18" s="69"/>
    </row>
    <row r="19" spans="3:6" ht="49" thickTop="1" thickBot="1">
      <c r="C19" s="2" t="s">
        <v>30</v>
      </c>
      <c r="D19" s="70" t="s">
        <v>31</v>
      </c>
      <c r="E19" s="71"/>
    </row>
    <row r="20" spans="3:6" ht="49" thickTop="1" thickBot="1">
      <c r="C20" s="3" t="s">
        <v>32</v>
      </c>
      <c r="D20" s="72" t="s">
        <v>35</v>
      </c>
      <c r="E20" s="72"/>
    </row>
    <row r="21" spans="3:6" ht="49" thickTop="1" thickBot="1">
      <c r="C21" s="6" t="s">
        <v>36</v>
      </c>
      <c r="D21" s="77" t="s">
        <v>37</v>
      </c>
      <c r="E21" s="78"/>
    </row>
    <row r="22" spans="3:6" ht="16" thickTop="1"/>
    <row r="24" spans="3:6" ht="16" thickBot="1"/>
    <row r="25" spans="3:6" ht="49" thickTop="1" thickBot="1">
      <c r="C25" s="4" t="s">
        <v>38</v>
      </c>
      <c r="D25" s="63" t="s">
        <v>39</v>
      </c>
      <c r="E25" s="64"/>
    </row>
    <row r="26" spans="3:6" ht="48" thickBot="1">
      <c r="C26" s="5" t="s">
        <v>40</v>
      </c>
      <c r="D26" s="65" t="s">
        <v>41</v>
      </c>
      <c r="E26" s="66"/>
      <c r="F26" s="55"/>
    </row>
    <row r="27" spans="3:6" ht="16" thickTop="1">
      <c r="C27" s="56"/>
    </row>
  </sheetData>
  <sheetProtection algorithmName="SHA-512" hashValue="ZtjRytY8eHLM09P6cLSbC+Mwt5RunpdUl+DoY0q54nkwxO7W9cyV8pQ4H0ceBFB+kxpTvbz/sUOuJHy/yuLF3w==" saltValue="N9sT7z6zNvI7Sm03gLQssQ==" spinCount="100000" sheet="1" objects="1" scenarios="1"/>
  <mergeCells count="8">
    <mergeCell ref="D25:E25"/>
    <mergeCell ref="D26:E26"/>
    <mergeCell ref="C5:D5"/>
    <mergeCell ref="D18:E18"/>
    <mergeCell ref="D19:E19"/>
    <mergeCell ref="D20:E20"/>
    <mergeCell ref="C16:E17"/>
    <mergeCell ref="D21:E21"/>
  </mergeCells>
  <hyperlinks>
    <hyperlink ref="D20" r:id="rId1" xr:uid="{44D0CCD9-AE12-724B-A358-092BAC2DB344}"/>
    <hyperlink ref="D19" r:id="rId2" xr:uid="{2B67FC48-23DF-3B43-8151-691B42E49FC6}"/>
    <hyperlink ref="D21" r:id="rId3" xr:uid="{F562306B-7319-1148-92D7-3C9D6B12A479}"/>
    <hyperlink ref="D18" r:id="rId4" xr:uid="{52A062B4-4796-D241-AF0E-847643174775}"/>
    <hyperlink ref="D25" r:id="rId5" xr:uid="{71C7348D-1AF0-6C47-8407-8E9E546F7953}"/>
    <hyperlink ref="D26" r:id="rId6" xr:uid="{0762028C-A142-B542-A064-3277FEBBCFDB}"/>
  </hyperlink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J37"/>
  <sheetViews>
    <sheetView workbookViewId="0">
      <selection activeCell="F12" sqref="F12"/>
    </sheetView>
  </sheetViews>
  <sheetFormatPr baseColWidth="10" defaultColWidth="8.83203125" defaultRowHeight="15"/>
  <cols>
    <col min="1" max="1" width="8.83203125" style="41"/>
    <col min="2" max="2" width="18.6640625" style="41" customWidth="1"/>
    <col min="3" max="3" width="20.33203125" style="41" customWidth="1"/>
    <col min="4" max="4" width="14" style="41" customWidth="1"/>
    <col min="5" max="5" width="55.1640625" style="41" customWidth="1"/>
    <col min="6" max="6" width="25.5" style="41" customWidth="1"/>
    <col min="7" max="7" width="8.83203125" style="41"/>
    <col min="8" max="8" width="34.83203125" style="41" bestFit="1" customWidth="1"/>
    <col min="9" max="9" width="24" style="41" customWidth="1"/>
    <col min="10" max="10" width="8.83203125" style="41"/>
    <col min="11" max="11" width="34.83203125" style="41" bestFit="1" customWidth="1"/>
    <col min="12" max="12" width="13.5" style="41" bestFit="1" customWidth="1"/>
    <col min="13" max="13" width="8.83203125" style="41"/>
    <col min="14" max="14" width="34.83203125" style="41" bestFit="1" customWidth="1"/>
    <col min="15" max="15" width="13.5" style="41" bestFit="1" customWidth="1"/>
    <col min="16" max="16384" width="8.83203125" style="41"/>
  </cols>
  <sheetData>
    <row r="5" spans="2:9" ht="30">
      <c r="E5" s="79" t="s">
        <v>42</v>
      </c>
      <c r="F5" s="79"/>
    </row>
    <row r="9" spans="2:9" ht="47">
      <c r="B9" s="95" t="s">
        <v>24</v>
      </c>
      <c r="C9" s="95"/>
      <c r="E9" s="94" t="s">
        <v>22</v>
      </c>
      <c r="F9" s="94"/>
      <c r="H9" s="96" t="s">
        <v>25</v>
      </c>
      <c r="I9" s="96"/>
    </row>
    <row r="10" spans="2:9" ht="31">
      <c r="B10" s="47" t="s">
        <v>22</v>
      </c>
      <c r="C10" s="48">
        <v>76.599999999999994</v>
      </c>
      <c r="E10" s="49" t="s">
        <v>21</v>
      </c>
      <c r="F10" s="50">
        <f>C10</f>
        <v>76.599999999999994</v>
      </c>
      <c r="H10" s="51" t="s">
        <v>21</v>
      </c>
      <c r="I10" s="50">
        <f>C11</f>
        <v>75.2</v>
      </c>
    </row>
    <row r="11" spans="2:9" ht="31">
      <c r="B11" s="47" t="s">
        <v>25</v>
      </c>
      <c r="C11" s="48">
        <v>75.2</v>
      </c>
      <c r="E11" s="49" t="s">
        <v>17</v>
      </c>
      <c r="F11" s="52"/>
      <c r="H11" s="51" t="s">
        <v>17</v>
      </c>
      <c r="I11" s="50">
        <f>F11</f>
        <v>0</v>
      </c>
    </row>
    <row r="12" spans="2:9" ht="31">
      <c r="B12" s="47" t="s">
        <v>26</v>
      </c>
      <c r="C12" s="48">
        <v>74.5</v>
      </c>
      <c r="E12" s="49" t="s">
        <v>23</v>
      </c>
      <c r="F12" s="50">
        <f>(F11/1000)*F10</f>
        <v>0</v>
      </c>
      <c r="H12" s="51" t="s">
        <v>23</v>
      </c>
      <c r="I12" s="50">
        <f>((I11/1000)*I10)/2</f>
        <v>0</v>
      </c>
    </row>
    <row r="13" spans="2:9" ht="31">
      <c r="B13" s="47" t="s">
        <v>27</v>
      </c>
      <c r="C13" s="48">
        <v>74</v>
      </c>
    </row>
    <row r="15" spans="2:9" ht="47">
      <c r="E15" s="97" t="str">
        <f>B12</f>
        <v>Quarterly</v>
      </c>
      <c r="F15" s="97"/>
      <c r="H15" s="98" t="str">
        <f>B13</f>
        <v>Monthly</v>
      </c>
      <c r="I15" s="98"/>
    </row>
    <row r="16" spans="2:9" ht="31">
      <c r="E16" s="53" t="s">
        <v>21</v>
      </c>
      <c r="F16" s="50">
        <f>C12</f>
        <v>74.5</v>
      </c>
      <c r="H16" s="54" t="s">
        <v>21</v>
      </c>
      <c r="I16" s="50">
        <f>C13</f>
        <v>74</v>
      </c>
    </row>
    <row r="17" spans="5:10" ht="31">
      <c r="E17" s="53" t="s">
        <v>17</v>
      </c>
      <c r="F17" s="50">
        <f>F11</f>
        <v>0</v>
      </c>
      <c r="H17" s="54" t="s">
        <v>17</v>
      </c>
      <c r="I17" s="50">
        <f>F11</f>
        <v>0</v>
      </c>
    </row>
    <row r="18" spans="5:10" ht="31">
      <c r="E18" s="53" t="s">
        <v>23</v>
      </c>
      <c r="F18" s="50">
        <f>((F17/1000)*F16)/4</f>
        <v>0</v>
      </c>
      <c r="H18" s="54" t="s">
        <v>23</v>
      </c>
      <c r="I18" s="50">
        <f>((I17/1000)*I16)/12</f>
        <v>0</v>
      </c>
    </row>
    <row r="26" spans="5:10" ht="15" customHeight="1">
      <c r="E26" s="80" t="s">
        <v>43</v>
      </c>
      <c r="F26" s="81"/>
      <c r="G26" s="81"/>
      <c r="H26" s="81"/>
      <c r="I26" s="81"/>
      <c r="J26" s="55"/>
    </row>
    <row r="27" spans="5:10" ht="16" customHeight="1" thickBot="1">
      <c r="E27" s="80"/>
      <c r="F27" s="81"/>
      <c r="G27" s="81"/>
      <c r="H27" s="81"/>
      <c r="I27" s="81"/>
      <c r="J27" s="55"/>
    </row>
    <row r="28" spans="5:10" ht="36" thickTop="1" thickBot="1">
      <c r="E28" s="7" t="s">
        <v>29</v>
      </c>
      <c r="F28" s="82" t="s">
        <v>34</v>
      </c>
      <c r="G28" s="83"/>
      <c r="H28" s="83"/>
      <c r="I28" s="83"/>
      <c r="J28" s="55"/>
    </row>
    <row r="29" spans="5:10" ht="36" thickTop="1" thickBot="1">
      <c r="E29" s="8" t="s">
        <v>30</v>
      </c>
      <c r="F29" s="84" t="s">
        <v>31</v>
      </c>
      <c r="G29" s="85"/>
      <c r="H29" s="85"/>
      <c r="I29" s="85"/>
      <c r="J29" s="55"/>
    </row>
    <row r="30" spans="5:10" ht="39" thickTop="1" thickBot="1">
      <c r="E30" s="9" t="s">
        <v>32</v>
      </c>
      <c r="F30" s="86" t="s">
        <v>35</v>
      </c>
      <c r="G30" s="87"/>
      <c r="H30" s="87"/>
      <c r="I30" s="88"/>
    </row>
    <row r="31" spans="5:10" ht="36" thickTop="1" thickBot="1">
      <c r="E31" s="10" t="s">
        <v>36</v>
      </c>
      <c r="F31" s="89" t="s">
        <v>37</v>
      </c>
      <c r="G31" s="90"/>
      <c r="H31" s="90"/>
      <c r="I31" s="90"/>
      <c r="J31" s="55"/>
    </row>
    <row r="32" spans="5:10" ht="16" thickTop="1"/>
    <row r="34" spans="5:10" ht="16" thickBot="1"/>
    <row r="35" spans="5:10" ht="33" thickTop="1" thickBot="1">
      <c r="E35" s="11" t="s">
        <v>38</v>
      </c>
      <c r="F35" s="91" t="s">
        <v>39</v>
      </c>
      <c r="G35" s="92"/>
      <c r="H35" s="92"/>
      <c r="I35" s="92"/>
      <c r="J35" s="55"/>
    </row>
    <row r="36" spans="5:10" ht="33" thickTop="1" thickBot="1">
      <c r="E36" s="12" t="s">
        <v>40</v>
      </c>
      <c r="F36" s="93" t="s">
        <v>41</v>
      </c>
      <c r="G36" s="85"/>
      <c r="H36" s="85"/>
      <c r="I36" s="85"/>
      <c r="J36" s="55"/>
    </row>
    <row r="37" spans="5:10" ht="16" thickTop="1">
      <c r="E37" s="56"/>
    </row>
  </sheetData>
  <sheetProtection algorithmName="SHA-512" hashValue="ntBGs+h3Eif1HWczMIK/STC1LNbgo5rY/diClt+RGhFbrc4d/UFWdvtUbVx/CQEQtOaU+x/OFh2DAIMp40xROQ==" saltValue="KGLVYUdrDbwIDhtfnZpfhQ==" spinCount="100000" sheet="1" objects="1" scenarios="1"/>
  <mergeCells count="13">
    <mergeCell ref="F31:I31"/>
    <mergeCell ref="F35:I35"/>
    <mergeCell ref="F36:I36"/>
    <mergeCell ref="E9:F9"/>
    <mergeCell ref="B9:C9"/>
    <mergeCell ref="H9:I9"/>
    <mergeCell ref="E15:F15"/>
    <mergeCell ref="H15:I15"/>
    <mergeCell ref="E5:F5"/>
    <mergeCell ref="E26:I27"/>
    <mergeCell ref="F28:I28"/>
    <mergeCell ref="F29:I29"/>
    <mergeCell ref="F30:I30"/>
  </mergeCells>
  <hyperlinks>
    <hyperlink ref="F30" r:id="rId1" xr:uid="{2D61A8A0-8B42-1D4B-ACF5-D58822B9A603}"/>
    <hyperlink ref="F29" r:id="rId2" xr:uid="{36F10F40-00D0-084A-881D-7AEABFF71C1E}"/>
    <hyperlink ref="F31" r:id="rId3" xr:uid="{A3899FEE-3AA5-374C-8E8C-CB51F4F355AD}"/>
    <hyperlink ref="F28" r:id="rId4" xr:uid="{8803CE4B-C743-2847-BB9D-E09CA1E775FC}"/>
    <hyperlink ref="F35" r:id="rId5" xr:uid="{825FD089-618E-BC49-9370-FC7F34B7E791}"/>
    <hyperlink ref="F36" r:id="rId6" xr:uid="{4B76695C-EA34-7B4F-AF79-E7DE59B4BE00}"/>
  </hyperlinks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0451-6AF2-9B45-ABC1-21F7ACA0152A}">
  <dimension ref="E6:G32"/>
  <sheetViews>
    <sheetView workbookViewId="0">
      <selection activeCell="F13" sqref="F13"/>
    </sheetView>
  </sheetViews>
  <sheetFormatPr baseColWidth="10" defaultRowHeight="15"/>
  <cols>
    <col min="1" max="4" width="10.83203125" style="41"/>
    <col min="5" max="5" width="47.5" style="41" customWidth="1"/>
    <col min="6" max="6" width="31" style="41" customWidth="1"/>
    <col min="7" max="7" width="48" style="41" customWidth="1"/>
    <col min="8" max="16384" width="10.83203125" style="41"/>
  </cols>
  <sheetData>
    <row r="6" spans="5:6" ht="30">
      <c r="E6" s="79" t="s">
        <v>42</v>
      </c>
      <c r="F6" s="79"/>
    </row>
    <row r="10" spans="5:6" ht="37">
      <c r="E10" s="42" t="s">
        <v>17</v>
      </c>
      <c r="F10" s="43"/>
    </row>
    <row r="11" spans="5:6" ht="37">
      <c r="E11" s="42" t="s">
        <v>19</v>
      </c>
      <c r="F11" s="44"/>
    </row>
    <row r="12" spans="5:6" ht="37">
      <c r="E12" s="42" t="s">
        <v>18</v>
      </c>
      <c r="F12" s="43"/>
    </row>
    <row r="13" spans="5:6" ht="37">
      <c r="E13" s="42" t="s">
        <v>28</v>
      </c>
      <c r="F13" s="45" t="e">
        <f>PMT(F11/12,F12*12,-F10,F10,0)</f>
        <v>#NUM!</v>
      </c>
    </row>
    <row r="21" spans="5:7">
      <c r="E21" s="80" t="s">
        <v>43</v>
      </c>
      <c r="F21" s="81"/>
      <c r="G21" s="81"/>
    </row>
    <row r="22" spans="5:7" ht="16" thickBot="1">
      <c r="E22" s="101"/>
      <c r="F22" s="102"/>
      <c r="G22" s="102"/>
    </row>
    <row r="23" spans="5:7" ht="28" thickTop="1" thickBot="1">
      <c r="E23" s="13" t="s">
        <v>29</v>
      </c>
      <c r="F23" s="103" t="s">
        <v>34</v>
      </c>
      <c r="G23" s="104"/>
    </row>
    <row r="24" spans="5:7" ht="28" thickTop="1" thickBot="1">
      <c r="E24" s="14" t="s">
        <v>30</v>
      </c>
      <c r="F24" s="105" t="s">
        <v>31</v>
      </c>
      <c r="G24" s="106"/>
    </row>
    <row r="25" spans="5:7" ht="28" thickTop="1" thickBot="1">
      <c r="E25" s="15" t="s">
        <v>32</v>
      </c>
      <c r="F25" s="107" t="s">
        <v>35</v>
      </c>
      <c r="G25" s="107"/>
    </row>
    <row r="26" spans="5:7" ht="28" thickTop="1" thickBot="1">
      <c r="E26" s="16" t="s">
        <v>36</v>
      </c>
      <c r="F26" s="107" t="s">
        <v>37</v>
      </c>
      <c r="G26" s="108"/>
    </row>
    <row r="27" spans="5:7" ht="27" thickTop="1">
      <c r="E27" s="46"/>
      <c r="F27" s="46"/>
      <c r="G27" s="46"/>
    </row>
    <row r="28" spans="5:7" ht="26">
      <c r="E28" s="46"/>
      <c r="F28" s="46"/>
      <c r="G28" s="46"/>
    </row>
    <row r="29" spans="5:7" ht="27" thickBot="1">
      <c r="E29" s="46"/>
      <c r="F29" s="46"/>
      <c r="G29" s="46"/>
    </row>
    <row r="30" spans="5:7" ht="28" thickTop="1" thickBot="1">
      <c r="E30" s="17" t="s">
        <v>38</v>
      </c>
      <c r="F30" s="109" t="s">
        <v>39</v>
      </c>
      <c r="G30" s="110"/>
    </row>
    <row r="31" spans="5:7" ht="27" thickBot="1">
      <c r="E31" s="18" t="s">
        <v>40</v>
      </c>
      <c r="F31" s="99" t="s">
        <v>41</v>
      </c>
      <c r="G31" s="100"/>
    </row>
    <row r="32" spans="5:7" ht="16" thickTop="1"/>
  </sheetData>
  <sheetProtection algorithmName="SHA-512" hashValue="5DT2WLOTi1GMycQRYdzYRY02MM3ypZ5XYNCuvcD5+yW+1PN8+V35YZ6v65wjNs9hyV2gO2hqoGFOTPQQz3wi2w==" saltValue="SGfpumS8f0RAjUSkznIEeg==" spinCount="100000" sheet="1" objects="1" scenarios="1"/>
  <mergeCells count="8">
    <mergeCell ref="F31:G31"/>
    <mergeCell ref="E6:F6"/>
    <mergeCell ref="E21:G22"/>
    <mergeCell ref="F23:G23"/>
    <mergeCell ref="F24:G24"/>
    <mergeCell ref="F25:G25"/>
    <mergeCell ref="F26:G26"/>
    <mergeCell ref="F30:G30"/>
  </mergeCells>
  <hyperlinks>
    <hyperlink ref="F25" r:id="rId1" xr:uid="{A74DA3C2-8A68-B740-809B-E97AFAA78CFD}"/>
    <hyperlink ref="F24" r:id="rId2" xr:uid="{02140551-299C-1545-A51D-EB471B7FF79C}"/>
    <hyperlink ref="F26" r:id="rId3" xr:uid="{370DC1F2-303F-F44B-9A49-DBF72B73601F}"/>
    <hyperlink ref="F23" r:id="rId4" xr:uid="{506F03AD-D553-874B-97B1-88DC5846C5DC}"/>
    <hyperlink ref="F30" r:id="rId5" xr:uid="{FD650C4B-5D4A-464E-9AA4-AA31346307E9}"/>
    <hyperlink ref="F31" r:id="rId6" xr:uid="{E15E80CE-83A0-0244-8EFD-2DD4BA2D05E3}"/>
  </hyperlinks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36"/>
  <sheetViews>
    <sheetView showGridLines="0" tabSelected="1" zoomScale="118" zoomScaleNormal="118" workbookViewId="0">
      <selection activeCell="C16" sqref="C16"/>
    </sheetView>
  </sheetViews>
  <sheetFormatPr baseColWidth="10" defaultColWidth="8.83203125" defaultRowHeight="19"/>
  <cols>
    <col min="1" max="1" width="3" style="25" customWidth="1"/>
    <col min="2" max="2" width="32.6640625" style="25" bestFit="1" customWidth="1"/>
    <col min="3" max="3" width="15.5" style="25" bestFit="1" customWidth="1"/>
    <col min="4" max="4" width="20.83203125" style="25" bestFit="1" customWidth="1"/>
    <col min="5" max="5" width="22" style="25" bestFit="1" customWidth="1"/>
    <col min="6" max="6" width="23.6640625" style="25" customWidth="1"/>
    <col min="7" max="8" width="9" style="25" bestFit="1" customWidth="1"/>
    <col min="9" max="9" width="9.83203125" style="25" bestFit="1" customWidth="1"/>
    <col min="10" max="16384" width="8.83203125" style="25"/>
  </cols>
  <sheetData>
    <row r="4" spans="2:10" ht="23">
      <c r="B4" s="117" t="s">
        <v>42</v>
      </c>
      <c r="C4" s="117"/>
    </row>
    <row r="7" spans="2:10">
      <c r="B7" s="37"/>
      <c r="C7" s="37" t="s">
        <v>0</v>
      </c>
      <c r="D7" s="37"/>
      <c r="E7" s="37" t="s">
        <v>1</v>
      </c>
    </row>
    <row r="8" spans="2:10">
      <c r="B8" s="33" t="s">
        <v>2</v>
      </c>
      <c r="C8" s="38">
        <v>0</v>
      </c>
      <c r="D8" s="33" t="s">
        <v>2</v>
      </c>
      <c r="E8" s="26">
        <f>C8</f>
        <v>0</v>
      </c>
    </row>
    <row r="9" spans="2:10">
      <c r="B9" s="33" t="s">
        <v>3</v>
      </c>
      <c r="C9" s="39">
        <v>0</v>
      </c>
      <c r="D9" s="33" t="s">
        <v>3</v>
      </c>
      <c r="E9" s="40">
        <v>0</v>
      </c>
      <c r="F9" s="27"/>
      <c r="G9" s="27"/>
      <c r="H9" s="27"/>
      <c r="I9" s="27"/>
      <c r="J9" s="27"/>
    </row>
    <row r="10" spans="2:10">
      <c r="B10" s="33" t="s">
        <v>4</v>
      </c>
      <c r="C10" s="26">
        <v>0</v>
      </c>
      <c r="D10" s="33" t="s">
        <v>4</v>
      </c>
      <c r="E10" s="26">
        <v>3</v>
      </c>
      <c r="F10" s="27"/>
      <c r="G10" s="28">
        <v>0.04</v>
      </c>
      <c r="H10" s="28">
        <v>0.33</v>
      </c>
      <c r="I10" s="29">
        <f>G10*(1-H10)</f>
        <v>2.6799999999999997E-2</v>
      </c>
      <c r="J10" s="27"/>
    </row>
    <row r="11" spans="2:10">
      <c r="B11" s="33" t="s">
        <v>5</v>
      </c>
      <c r="C11" s="30">
        <f>FV(C9,C10,0,-C8,0)</f>
        <v>0</v>
      </c>
      <c r="D11" s="33" t="s">
        <v>5</v>
      </c>
      <c r="E11" s="30">
        <f>FV(E9,E10,0,-E8,0)</f>
        <v>0</v>
      </c>
      <c r="F11" s="27"/>
      <c r="G11" s="27">
        <v>5</v>
      </c>
      <c r="H11" s="27"/>
      <c r="I11" s="27"/>
      <c r="J11" s="27"/>
    </row>
    <row r="12" spans="2:10">
      <c r="B12" s="33" t="s">
        <v>10</v>
      </c>
      <c r="C12" s="30">
        <f>C11-C8</f>
        <v>0</v>
      </c>
      <c r="D12" s="33" t="s">
        <v>10</v>
      </c>
      <c r="E12" s="30">
        <f>E11-E8</f>
        <v>0</v>
      </c>
      <c r="F12" s="27"/>
      <c r="G12" s="27">
        <v>6</v>
      </c>
      <c r="H12" s="27"/>
      <c r="I12" s="27"/>
      <c r="J12" s="27"/>
    </row>
    <row r="13" spans="2:10">
      <c r="B13" s="33" t="s">
        <v>6</v>
      </c>
      <c r="C13" s="40">
        <v>0.33</v>
      </c>
      <c r="D13" s="34" t="s">
        <v>11</v>
      </c>
      <c r="E13" s="40">
        <v>0.04</v>
      </c>
      <c r="F13" s="27"/>
      <c r="G13" s="27">
        <v>6.2</v>
      </c>
      <c r="H13" s="27"/>
      <c r="I13" s="27"/>
      <c r="J13" s="27"/>
    </row>
    <row r="14" spans="2:10">
      <c r="B14" s="33" t="s">
        <v>7</v>
      </c>
      <c r="C14" s="30">
        <f>C12*C13</f>
        <v>0</v>
      </c>
      <c r="D14" s="35" t="s">
        <v>12</v>
      </c>
      <c r="E14" s="30">
        <f>FV(E13,E10,0,-E8,0)</f>
        <v>0</v>
      </c>
      <c r="F14" s="27"/>
      <c r="G14" s="27">
        <v>7</v>
      </c>
      <c r="H14" s="27"/>
      <c r="I14" s="27"/>
      <c r="J14" s="27"/>
    </row>
    <row r="15" spans="2:10">
      <c r="B15" s="33" t="s">
        <v>8</v>
      </c>
      <c r="C15" s="30">
        <f>C11-C14</f>
        <v>0</v>
      </c>
      <c r="D15" s="35" t="s">
        <v>13</v>
      </c>
      <c r="E15" s="30">
        <f>E11-E14</f>
        <v>0</v>
      </c>
      <c r="F15" s="27"/>
      <c r="G15" s="27">
        <v>7.5</v>
      </c>
      <c r="H15" s="27"/>
      <c r="I15" s="27"/>
      <c r="J15" s="27"/>
    </row>
    <row r="16" spans="2:10">
      <c r="B16" s="33" t="s">
        <v>9</v>
      </c>
      <c r="C16" s="31" t="e">
        <f>RATE(C10,0,-C8,C15,0)</f>
        <v>#NUM!</v>
      </c>
      <c r="D16" s="36" t="s">
        <v>14</v>
      </c>
      <c r="E16" s="30">
        <f>E15*20%</f>
        <v>0</v>
      </c>
      <c r="F16" s="27"/>
      <c r="G16" s="27"/>
      <c r="H16" s="27"/>
      <c r="I16" s="27"/>
      <c r="J16" s="27"/>
    </row>
    <row r="17" spans="2:6">
      <c r="B17" s="26"/>
      <c r="C17" s="26"/>
      <c r="D17" s="33" t="s">
        <v>8</v>
      </c>
      <c r="E17" s="30">
        <f>E11-E16</f>
        <v>0</v>
      </c>
    </row>
    <row r="18" spans="2:6">
      <c r="B18" s="26"/>
      <c r="C18" s="26"/>
      <c r="D18" s="33" t="s">
        <v>15</v>
      </c>
      <c r="E18" s="31" t="e">
        <f>RATE(E10,0,-E8,E17,0)</f>
        <v>#NUM!</v>
      </c>
    </row>
    <row r="20" spans="2:6">
      <c r="B20" s="118" t="s">
        <v>16</v>
      </c>
      <c r="C20" s="118"/>
      <c r="D20" s="118"/>
      <c r="E20" s="118"/>
      <c r="F20" s="30">
        <f>E17-C15</f>
        <v>0</v>
      </c>
    </row>
    <row r="25" spans="2:6">
      <c r="B25" s="119" t="s">
        <v>44</v>
      </c>
      <c r="C25" s="120"/>
      <c r="D25" s="121"/>
    </row>
    <row r="26" spans="2:6" ht="20" thickBot="1">
      <c r="B26" s="122"/>
      <c r="C26" s="123"/>
      <c r="D26" s="124"/>
    </row>
    <row r="27" spans="2:6" ht="21" thickTop="1" thickBot="1">
      <c r="B27" s="19" t="s">
        <v>29</v>
      </c>
      <c r="C27" s="125" t="s">
        <v>34</v>
      </c>
      <c r="D27" s="126"/>
    </row>
    <row r="28" spans="2:6" ht="21" thickTop="1" thickBot="1">
      <c r="B28" s="20" t="s">
        <v>30</v>
      </c>
      <c r="C28" s="127" t="s">
        <v>31</v>
      </c>
      <c r="D28" s="128"/>
    </row>
    <row r="29" spans="2:6" ht="21" thickTop="1" thickBot="1">
      <c r="B29" s="21" t="s">
        <v>32</v>
      </c>
      <c r="C29" s="111" t="s">
        <v>35</v>
      </c>
      <c r="D29" s="111"/>
    </row>
    <row r="30" spans="2:6" ht="21" thickTop="1" thickBot="1">
      <c r="B30" s="22" t="s">
        <v>36</v>
      </c>
      <c r="C30" s="111" t="s">
        <v>37</v>
      </c>
      <c r="D30" s="112"/>
    </row>
    <row r="31" spans="2:6" ht="20" thickTop="1">
      <c r="B31" s="32"/>
      <c r="C31" s="32"/>
      <c r="D31" s="32"/>
    </row>
    <row r="32" spans="2:6">
      <c r="B32" s="32"/>
      <c r="C32" s="32"/>
      <c r="D32" s="32"/>
    </row>
    <row r="33" spans="2:4" ht="20" thickBot="1">
      <c r="B33" s="32"/>
      <c r="C33" s="32"/>
      <c r="D33" s="32"/>
    </row>
    <row r="34" spans="2:4" ht="21" thickTop="1" thickBot="1">
      <c r="B34" s="23" t="s">
        <v>38</v>
      </c>
      <c r="C34" s="113" t="s">
        <v>39</v>
      </c>
      <c r="D34" s="114"/>
    </row>
    <row r="35" spans="2:4" ht="20" thickBot="1">
      <c r="B35" s="24" t="s">
        <v>40</v>
      </c>
      <c r="C35" s="115" t="s">
        <v>41</v>
      </c>
      <c r="D35" s="116"/>
    </row>
    <row r="36" spans="2:4" ht="20" thickTop="1"/>
  </sheetData>
  <sheetProtection algorithmName="SHA-512" hashValue="TJ9nbL5XSJ7jjB6fbGOqTx+yoJWAoYZh4R7EK0NDXIWCFmXr32Z7u53sNbCOuCmhcTZgZ45B/aUkn1lMtKyE0w==" saltValue="HtpTFQH6YDAb1zYUVPdIGQ==" spinCount="100000" sheet="1" objects="1" scenarios="1"/>
  <mergeCells count="9">
    <mergeCell ref="C30:D30"/>
    <mergeCell ref="C34:D34"/>
    <mergeCell ref="C35:D35"/>
    <mergeCell ref="B4:C4"/>
    <mergeCell ref="B20:E20"/>
    <mergeCell ref="B25:D26"/>
    <mergeCell ref="C27:D27"/>
    <mergeCell ref="C28:D28"/>
    <mergeCell ref="C29:D29"/>
  </mergeCells>
  <hyperlinks>
    <hyperlink ref="C29" r:id="rId1" xr:uid="{498D529A-5DB0-5542-9344-59BEF9B30EAE}"/>
    <hyperlink ref="C28" r:id="rId2" xr:uid="{CCCF8731-6963-2E4E-B3B9-22FA10C308AF}"/>
    <hyperlink ref="C30" r:id="rId3" xr:uid="{994254C4-D04E-914A-AF14-F89E7534A796}"/>
    <hyperlink ref="C27" r:id="rId4" xr:uid="{31F5B71C-6823-C041-96FB-D1F0E2055641}"/>
    <hyperlink ref="C34" r:id="rId5" xr:uid="{D738469A-B0B9-6B48-8869-97F728C75567}"/>
    <hyperlink ref="C35" r:id="rId6" xr:uid="{510C1C87-D344-0A4E-8959-16C175BD872F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SSSC</vt:lpstr>
      <vt:lpstr>PMVVY</vt:lpstr>
      <vt:lpstr>Post Office MIS</vt:lpstr>
      <vt:lpstr>FD v s Debt Fund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2023-02-25T12:21:37Z</dcterms:modified>
</cp:coreProperties>
</file>