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528568AF-B112-D040-B4EE-A455948C5DFB}" xr6:coauthVersionLast="47" xr6:coauthVersionMax="47" xr10:uidLastSave="{00000000-0000-0000-0000-000000000000}"/>
  <bookViews>
    <workbookView xWindow="0" yWindow="660" windowWidth="34560" windowHeight="19880" xr2:uid="{A1EFD3FE-BF53-E048-A0EA-F7AE37A2DF43}"/>
  </bookViews>
  <sheets>
    <sheet name="hidde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5" l="1"/>
  <c r="H7" i="5" l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O9" i="5"/>
  <c r="O10" i="5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/>
  <c r="O27" i="5"/>
  <c r="O8" i="5"/>
  <c r="L26" i="5"/>
  <c r="L27" i="5" s="1"/>
  <c r="N26" i="5"/>
  <c r="N27" i="5" s="1"/>
  <c r="L23" i="5"/>
  <c r="N23" i="5"/>
  <c r="N24" i="5" s="1"/>
  <c r="N25" i="5" s="1"/>
  <c r="L24" i="5"/>
  <c r="L25" i="5" s="1"/>
  <c r="L22" i="5"/>
  <c r="N7" i="5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M7" i="5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L7" i="5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K7" i="5"/>
  <c r="J7" i="5"/>
  <c r="D8" i="5"/>
  <c r="Q7" i="5" l="1"/>
  <c r="R7" i="5" s="1"/>
  <c r="J8" i="5" s="1"/>
  <c r="K8" i="5"/>
  <c r="K9" i="5"/>
  <c r="K10" i="5" s="1"/>
  <c r="K11" i="5" s="1"/>
  <c r="K12" i="5" s="1"/>
  <c r="K13" i="5" s="1"/>
  <c r="P9" i="5"/>
  <c r="Q8" i="5" l="1"/>
  <c r="R8" i="5" s="1"/>
  <c r="J9" i="5" s="1"/>
  <c r="Q9" i="5"/>
  <c r="P10" i="5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K14" i="5"/>
  <c r="Q12" i="5"/>
  <c r="R9" i="5" l="1"/>
  <c r="J10" i="5" s="1"/>
  <c r="Q11" i="5"/>
  <c r="Q10" i="5"/>
  <c r="Q13" i="5"/>
  <c r="K15" i="5"/>
  <c r="K16" i="5" s="1"/>
  <c r="R10" i="5" l="1"/>
  <c r="J11" i="5" s="1"/>
  <c r="R11" i="5" s="1"/>
  <c r="J12" i="5" s="1"/>
  <c r="R12" i="5" s="1"/>
  <c r="J13" i="5" s="1"/>
  <c r="R13" i="5" s="1"/>
  <c r="J14" i="5" s="1"/>
  <c r="K17" i="5"/>
  <c r="K18" i="5" s="1"/>
  <c r="K19" i="5" s="1"/>
  <c r="Q14" i="5"/>
  <c r="Q15" i="5" l="1"/>
  <c r="K20" i="5"/>
  <c r="R14" i="5"/>
  <c r="J15" i="5" s="1"/>
  <c r="R15" i="5" l="1"/>
  <c r="J16" i="5" s="1"/>
  <c r="Q16" i="5"/>
  <c r="K21" i="5"/>
  <c r="K22" i="5" l="1"/>
  <c r="K23" i="5" s="1"/>
  <c r="K24" i="5" s="1"/>
  <c r="K25" i="5" s="1"/>
  <c r="K26" i="5" s="1"/>
  <c r="K27" i="5" s="1"/>
  <c r="Q17" i="5"/>
  <c r="R16" i="5"/>
  <c r="J17" i="5" s="1"/>
  <c r="R17" i="5" l="1"/>
  <c r="J18" i="5" s="1"/>
  <c r="Q18" i="5"/>
  <c r="R18" i="5" l="1"/>
  <c r="J19" i="5" s="1"/>
  <c r="Q19" i="5"/>
  <c r="R19" i="5" s="1"/>
  <c r="J20" i="5" s="1"/>
  <c r="Q20" i="5" l="1"/>
  <c r="R20" i="5" s="1"/>
  <c r="J21" i="5" s="1"/>
  <c r="Q21" i="5" l="1"/>
  <c r="R21" i="5" s="1"/>
  <c r="J22" i="5" s="1"/>
  <c r="Q23" i="5" l="1"/>
  <c r="Q22" i="5"/>
  <c r="R22" i="5" s="1"/>
  <c r="J23" i="5" s="1"/>
  <c r="Q24" i="5" l="1"/>
  <c r="R23" i="5"/>
  <c r="J24" i="5" s="1"/>
  <c r="R24" i="5" l="1"/>
  <c r="J25" i="5" s="1"/>
  <c r="Q25" i="5"/>
  <c r="R25" i="5" s="1"/>
  <c r="J26" i="5" s="1"/>
  <c r="Q26" i="5" l="1"/>
  <c r="R26" i="5" s="1"/>
  <c r="J27" i="5" s="1"/>
  <c r="Q27" i="5" l="1"/>
  <c r="R27" i="5" s="1"/>
</calcChain>
</file>

<file path=xl/sharedStrings.xml><?xml version="1.0" encoding="utf-8"?>
<sst xmlns="http://schemas.openxmlformats.org/spreadsheetml/2006/main" count="39" uniqueCount="35">
  <si>
    <t>Name</t>
  </si>
  <si>
    <t>Age</t>
  </si>
  <si>
    <t>Monthly Expenses</t>
  </si>
  <si>
    <t>Goals</t>
  </si>
  <si>
    <t>Year</t>
  </si>
  <si>
    <t>Begin Value</t>
  </si>
  <si>
    <t>SIP</t>
  </si>
  <si>
    <t>End Value</t>
  </si>
  <si>
    <t>Investment</t>
  </si>
  <si>
    <t>Inflation</t>
  </si>
  <si>
    <t>Education Inflation</t>
  </si>
  <si>
    <t>EMI</t>
  </si>
  <si>
    <t>Monthly Income</t>
  </si>
  <si>
    <t>Spouse's Income</t>
  </si>
  <si>
    <t>Kid 2 Age</t>
  </si>
  <si>
    <t>Kid 1 Age</t>
  </si>
  <si>
    <t>Total Income</t>
  </si>
  <si>
    <t>Kids Future</t>
  </si>
  <si>
    <t>Retirement</t>
  </si>
  <si>
    <t>Expenses</t>
  </si>
  <si>
    <t>Monthly Income Self</t>
  </si>
  <si>
    <t>Kid 1 Fees</t>
  </si>
  <si>
    <t>Kid 2 Fees</t>
  </si>
  <si>
    <t>Salary Growth</t>
  </si>
  <si>
    <t>Return</t>
  </si>
  <si>
    <t>Spouse Plan to Quit after Years</t>
  </si>
  <si>
    <t>Age of Kid 1</t>
  </si>
  <si>
    <t>Age of Kid 2</t>
  </si>
  <si>
    <t>Years Left to Close Home Loan</t>
  </si>
  <si>
    <t>Left Out For the Month (SIP)</t>
  </si>
  <si>
    <t>Name Hidden</t>
  </si>
  <si>
    <t>Details</t>
  </si>
  <si>
    <t>yrs</t>
  </si>
  <si>
    <t xml:space="preserve">Note: Please fill </t>
  </si>
  <si>
    <t>color cells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</si>
</sst>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3" x14ac:knownFonts="1">
    <font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54E19"/>
        <bgColor indexed="64"/>
      </patternFill>
    </fill>
    <fill>
      <patternFill patternType="solid">
        <fgColor rgb="FFF8E4B7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Protection="1"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0" fontId="1" fillId="0" borderId="2" xfId="0" applyFont="1" applyBorder="1" applyProtection="1"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0" fontId="1" fillId="0" borderId="1" xfId="0" applyFont="1" applyBorder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1" fontId="1" fillId="0" borderId="1" xfId="0" applyNumberFormat="1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164" fontId="1" fillId="0" borderId="1" xfId="0" applyNumberFormat="1" applyFont="1" applyBorder="1" applyAlignment="1" applyProtection="1">
      <alignment horizontal="center"/>
      <protection hidden="1"/>
    </xf>
    <xf numFmtId="8" fontId="1" fillId="0" borderId="1" xfId="0" applyNumberFormat="1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left"/>
      <protection hidden="1"/>
    </xf>
    <xf numFmtId="164" fontId="1" fillId="0" borderId="1" xfId="0" applyNumberFormat="1" applyFont="1" applyBorder="1" applyAlignment="1" applyProtection="1">
      <alignment horizontal="right"/>
      <protection hidden="1"/>
    </xf>
    <xf numFmtId="1" fontId="1" fillId="0" borderId="1" xfId="0" applyNumberFormat="1" applyFont="1" applyBorder="1" applyProtection="1">
      <protection hidden="1"/>
    </xf>
    <xf numFmtId="0" fontId="2" fillId="2" borderId="3" xfId="0" applyFont="1" applyFill="1" applyBorder="1" applyAlignment="1" applyProtection="1">
      <alignment horizontal="center"/>
      <protection hidden="1"/>
    </xf>
    <xf numFmtId="0" fontId="2" fillId="2" borderId="4" xfId="0" applyFont="1" applyFill="1" applyBorder="1" applyAlignment="1" applyProtection="1">
      <alignment horizontal="center"/>
      <protection hidden="1"/>
    </xf>
    <xf numFmtId="164" fontId="1" fillId="0" borderId="1" xfId="0" applyNumberFormat="1" applyFont="1" applyBorder="1" applyProtection="1">
      <protection hidden="1"/>
    </xf>
    <xf numFmtId="0" fontId="1" fillId="3" borderId="0" xfId="0" applyFont="1" applyFill="1" applyProtection="1">
      <protection hidden="1"/>
    </xf>
    <xf numFmtId="0" fontId="1" fillId="0" borderId="0" xfId="0" applyFont="1" applyAlignment="1" applyProtection="1">
      <alignment horizontal="left"/>
      <protection hidden="1"/>
    </xf>
    <xf numFmtId="164" fontId="1" fillId="3" borderId="1" xfId="0" applyNumberFormat="1" applyFont="1" applyFill="1" applyBorder="1" applyProtection="1"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9" fontId="1" fillId="3" borderId="1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E4B7"/>
      <color rgb="FF754E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7F5F-751A-8445-A689-F5BD079F19EA}">
  <dimension ref="C3:U31"/>
  <sheetViews>
    <sheetView showGridLines="0" tabSelected="1" workbookViewId="0">
      <selection activeCell="N5" sqref="N5"/>
    </sheetView>
  </sheetViews>
  <sheetFormatPr baseColWidth="10" defaultRowHeight="47" x14ac:dyDescent="0.55000000000000004"/>
  <cols>
    <col min="1" max="2" width="10.83203125" style="1"/>
    <col min="3" max="3" width="46.1640625" style="1" bestFit="1" customWidth="1"/>
    <col min="4" max="4" width="47.83203125" style="1" customWidth="1"/>
    <col min="5" max="5" width="10" style="1" customWidth="1"/>
    <col min="6" max="6" width="9" style="1" customWidth="1"/>
    <col min="7" max="7" width="42" style="1" bestFit="1" customWidth="1"/>
    <col min="8" max="8" width="14.1640625" style="1" customWidth="1"/>
    <col min="9" max="9" width="17.83203125" style="1" customWidth="1"/>
    <col min="10" max="10" width="48.33203125" style="1" customWidth="1"/>
    <col min="11" max="11" width="55.5" style="1" bestFit="1" customWidth="1"/>
    <col min="12" max="12" width="46.83203125" style="1" bestFit="1" customWidth="1"/>
    <col min="13" max="13" width="48.83203125" style="1" bestFit="1" customWidth="1"/>
    <col min="14" max="14" width="36.83203125" style="1" customWidth="1"/>
    <col min="15" max="15" width="31.1640625" style="1" bestFit="1" customWidth="1"/>
    <col min="16" max="16" width="56.5" style="1" bestFit="1" customWidth="1"/>
    <col min="17" max="17" width="73.5" style="1" bestFit="1" customWidth="1"/>
    <col min="18" max="18" width="52.6640625" style="1" customWidth="1"/>
    <col min="19" max="19" width="10.83203125" style="1"/>
    <col min="20" max="20" width="32.83203125" style="1" customWidth="1"/>
    <col min="21" max="21" width="33.5" style="1" customWidth="1"/>
    <col min="22" max="16384" width="10.83203125" style="1"/>
  </cols>
  <sheetData>
    <row r="3" spans="3:21" ht="48" thickBot="1" x14ac:dyDescent="0.6"/>
    <row r="4" spans="3:21" ht="49" thickTop="1" thickBot="1" x14ac:dyDescent="0.6">
      <c r="C4" s="2" t="s">
        <v>31</v>
      </c>
      <c r="D4" s="2"/>
      <c r="J4" s="2" t="s">
        <v>25</v>
      </c>
      <c r="K4" s="2"/>
      <c r="L4" s="20">
        <v>10</v>
      </c>
      <c r="N4" s="20">
        <f>E21</f>
        <v>16</v>
      </c>
      <c r="O4" s="2" t="s">
        <v>28</v>
      </c>
      <c r="P4" s="2"/>
    </row>
    <row r="5" spans="3:21" ht="49" thickTop="1" thickBot="1" x14ac:dyDescent="0.6">
      <c r="C5" s="3" t="s">
        <v>0</v>
      </c>
      <c r="D5" s="3" t="s">
        <v>30</v>
      </c>
      <c r="J5" s="4" t="s">
        <v>23</v>
      </c>
      <c r="K5" s="21">
        <v>0.06</v>
      </c>
      <c r="L5" s="4" t="s">
        <v>9</v>
      </c>
      <c r="M5" s="21">
        <v>0.06</v>
      </c>
      <c r="N5" s="4" t="s">
        <v>24</v>
      </c>
      <c r="O5" s="21">
        <v>0.12</v>
      </c>
      <c r="P5" s="4" t="s">
        <v>10</v>
      </c>
      <c r="Q5" s="21">
        <v>0.1</v>
      </c>
    </row>
    <row r="6" spans="3:21" s="6" customFormat="1" ht="49" thickTop="1" thickBot="1" x14ac:dyDescent="0.6">
      <c r="C6" s="5" t="s">
        <v>12</v>
      </c>
      <c r="D6" s="19">
        <v>125000</v>
      </c>
      <c r="E6" s="1"/>
      <c r="H6" s="4" t="s">
        <v>1</v>
      </c>
      <c r="I6" s="4" t="s">
        <v>4</v>
      </c>
      <c r="J6" s="4" t="s">
        <v>5</v>
      </c>
      <c r="K6" s="4" t="s">
        <v>20</v>
      </c>
      <c r="L6" s="4" t="s">
        <v>13</v>
      </c>
      <c r="M6" s="4" t="s">
        <v>2</v>
      </c>
      <c r="N6" s="4" t="s">
        <v>11</v>
      </c>
      <c r="O6" s="4" t="s">
        <v>21</v>
      </c>
      <c r="P6" s="4" t="s">
        <v>22</v>
      </c>
      <c r="Q6" s="4" t="s">
        <v>29</v>
      </c>
      <c r="R6" s="4" t="s">
        <v>7</v>
      </c>
      <c r="T6" s="4" t="s">
        <v>26</v>
      </c>
      <c r="U6" s="4" t="s">
        <v>27</v>
      </c>
    </row>
    <row r="7" spans="3:21" ht="49" thickTop="1" thickBot="1" x14ac:dyDescent="0.6">
      <c r="C7" s="5" t="s">
        <v>13</v>
      </c>
      <c r="D7" s="19">
        <v>100000</v>
      </c>
      <c r="H7" s="7">
        <f>D9</f>
        <v>33</v>
      </c>
      <c r="I7" s="8">
        <v>1</v>
      </c>
      <c r="J7" s="9">
        <f>D17</f>
        <v>4300000</v>
      </c>
      <c r="K7" s="9">
        <f>D6</f>
        <v>125000</v>
      </c>
      <c r="L7" s="9">
        <f>D7</f>
        <v>100000</v>
      </c>
      <c r="M7" s="9">
        <f>D22</f>
        <v>50000</v>
      </c>
      <c r="N7" s="9">
        <f>D21</f>
        <v>40000</v>
      </c>
      <c r="O7" s="9">
        <v>10000</v>
      </c>
      <c r="P7" s="9">
        <v>0</v>
      </c>
      <c r="Q7" s="9">
        <f>K7+L7-M7-N7-O7-P7</f>
        <v>125000</v>
      </c>
      <c r="R7" s="10">
        <f t="shared" ref="R7:R22" si="0">FV(NOMINAL($O$5,12)/12,12,-Q7,-J7)</f>
        <v>6396812.2385441605</v>
      </c>
      <c r="T7" s="8">
        <v>4</v>
      </c>
      <c r="U7" s="8">
        <v>2</v>
      </c>
    </row>
    <row r="8" spans="3:21" ht="49" thickTop="1" thickBot="1" x14ac:dyDescent="0.6">
      <c r="C8" s="11" t="s">
        <v>16</v>
      </c>
      <c r="D8" s="12">
        <f>D6+D7</f>
        <v>225000</v>
      </c>
      <c r="E8" s="6"/>
      <c r="H8" s="7">
        <f>H7+1</f>
        <v>34</v>
      </c>
      <c r="I8" s="8">
        <v>2</v>
      </c>
      <c r="J8" s="10">
        <f>R7</f>
        <v>6396812.2385441605</v>
      </c>
      <c r="K8" s="9">
        <f>K7*(1+$K$5)</f>
        <v>132500</v>
      </c>
      <c r="L8" s="9">
        <f>IF(I8&lt;=$L$4,L7*(1+$K$5),0)</f>
        <v>106000</v>
      </c>
      <c r="M8" s="9">
        <f t="shared" ref="M8:M22" si="1">M7*(1+$M$5)</f>
        <v>53000</v>
      </c>
      <c r="N8" s="9">
        <f>IF(I8&lt;=$N$4,N7,0)</f>
        <v>40000</v>
      </c>
      <c r="O8" s="9">
        <f>IF(T8&lt;=22,O7*(1+$Q$5),0)</f>
        <v>11000</v>
      </c>
      <c r="P8" s="9">
        <v>0</v>
      </c>
      <c r="Q8" s="9">
        <f>K8+L8-M8-N8-O8-P8</f>
        <v>134500</v>
      </c>
      <c r="R8" s="10">
        <f t="shared" si="0"/>
        <v>8865383.6758429781</v>
      </c>
      <c r="T8" s="8">
        <v>5</v>
      </c>
      <c r="U8" s="8">
        <v>3</v>
      </c>
    </row>
    <row r="9" spans="3:21" ht="49" thickTop="1" thickBot="1" x14ac:dyDescent="0.6">
      <c r="C9" s="5" t="s">
        <v>1</v>
      </c>
      <c r="D9" s="13">
        <v>33</v>
      </c>
      <c r="H9" s="7">
        <f t="shared" ref="H9:H27" si="2">H8+1</f>
        <v>35</v>
      </c>
      <c r="I9" s="8">
        <v>3</v>
      </c>
      <c r="J9" s="10">
        <f>R8</f>
        <v>8865383.6758429781</v>
      </c>
      <c r="K9" s="9">
        <f t="shared" ref="K9:K22" si="3">K8*(1+$K$5)</f>
        <v>140450</v>
      </c>
      <c r="L9" s="9">
        <f t="shared" ref="L9:L22" si="4">IF(I9&lt;=$L$4,L8*(1+$K$5),0)</f>
        <v>112360</v>
      </c>
      <c r="M9" s="9">
        <f t="shared" si="1"/>
        <v>56180</v>
      </c>
      <c r="N9" s="9">
        <f t="shared" ref="N9:N22" si="5">IF(I9&lt;=$N$4,N8,0)</f>
        <v>40000</v>
      </c>
      <c r="O9" s="9">
        <f t="shared" ref="O9:O27" si="6">IF(T9&lt;=22,O8*(1+$Q$5),0)</f>
        <v>12100.000000000002</v>
      </c>
      <c r="P9" s="9">
        <f>O9</f>
        <v>12100.000000000002</v>
      </c>
      <c r="Q9" s="9">
        <f>K9+L9-M9-N9-O9-P9</f>
        <v>132430</v>
      </c>
      <c r="R9" s="10">
        <f t="shared" si="0"/>
        <v>11604005.434947368</v>
      </c>
      <c r="T9" s="8">
        <v>6</v>
      </c>
      <c r="U9" s="8">
        <v>4</v>
      </c>
    </row>
    <row r="10" spans="3:21" ht="49" thickTop="1" thickBot="1" x14ac:dyDescent="0.6">
      <c r="C10" s="5" t="s">
        <v>15</v>
      </c>
      <c r="D10" s="5">
        <v>4</v>
      </c>
      <c r="H10" s="7">
        <f t="shared" si="2"/>
        <v>36</v>
      </c>
      <c r="I10" s="8">
        <v>4</v>
      </c>
      <c r="J10" s="10">
        <f t="shared" ref="J10:J15" si="7">R9</f>
        <v>11604005.434947368</v>
      </c>
      <c r="K10" s="9">
        <f t="shared" si="3"/>
        <v>148877</v>
      </c>
      <c r="L10" s="9">
        <f t="shared" si="4"/>
        <v>119101.6</v>
      </c>
      <c r="M10" s="9">
        <f t="shared" si="1"/>
        <v>59550.8</v>
      </c>
      <c r="N10" s="9">
        <f t="shared" si="5"/>
        <v>40000</v>
      </c>
      <c r="O10" s="9">
        <f t="shared" si="6"/>
        <v>13310.000000000004</v>
      </c>
      <c r="P10" s="9">
        <f>IF(U10&lt;=22,P9*(1+$Q$5),0)</f>
        <v>13310.000000000004</v>
      </c>
      <c r="Q10" s="9">
        <f t="shared" ref="Q10:Q15" si="8">K10+L10-M10-N10-O10-P10</f>
        <v>141807.79999999999</v>
      </c>
      <c r="R10" s="10">
        <f t="shared" si="0"/>
        <v>14789858.133229243</v>
      </c>
      <c r="T10" s="8">
        <v>7</v>
      </c>
      <c r="U10" s="8">
        <v>5</v>
      </c>
    </row>
    <row r="11" spans="3:21" ht="49" thickTop="1" thickBot="1" x14ac:dyDescent="0.6">
      <c r="C11" s="5" t="s">
        <v>14</v>
      </c>
      <c r="D11" s="5">
        <v>2</v>
      </c>
      <c r="H11" s="7">
        <f t="shared" si="2"/>
        <v>37</v>
      </c>
      <c r="I11" s="8">
        <v>5</v>
      </c>
      <c r="J11" s="10">
        <f t="shared" si="7"/>
        <v>14789858.133229243</v>
      </c>
      <c r="K11" s="9">
        <f t="shared" si="3"/>
        <v>157809.62</v>
      </c>
      <c r="L11" s="9">
        <f t="shared" si="4"/>
        <v>126247.69600000001</v>
      </c>
      <c r="M11" s="9">
        <f t="shared" si="1"/>
        <v>63123.848000000005</v>
      </c>
      <c r="N11" s="9">
        <f t="shared" si="5"/>
        <v>40000</v>
      </c>
      <c r="O11" s="9">
        <f t="shared" si="6"/>
        <v>14641.000000000005</v>
      </c>
      <c r="P11" s="9">
        <f t="shared" ref="P11:P26" si="9">IF(U11&lt;=22,P10*(1+$Q$5),0)</f>
        <v>14641.000000000005</v>
      </c>
      <c r="Q11" s="9">
        <f t="shared" si="8"/>
        <v>151651.46799999999</v>
      </c>
      <c r="R11" s="10">
        <f t="shared" si="0"/>
        <v>18482501.08207747</v>
      </c>
      <c r="T11" s="8">
        <v>8</v>
      </c>
      <c r="U11" s="8">
        <v>6</v>
      </c>
    </row>
    <row r="12" spans="3:21" ht="49" thickTop="1" thickBot="1" x14ac:dyDescent="0.6">
      <c r="H12" s="7">
        <f t="shared" si="2"/>
        <v>38</v>
      </c>
      <c r="I12" s="8">
        <v>6</v>
      </c>
      <c r="J12" s="10">
        <f t="shared" si="7"/>
        <v>18482501.08207747</v>
      </c>
      <c r="K12" s="9">
        <f t="shared" si="3"/>
        <v>167278.1972</v>
      </c>
      <c r="L12" s="9">
        <f t="shared" si="4"/>
        <v>133822.55776000003</v>
      </c>
      <c r="M12" s="9">
        <f t="shared" si="1"/>
        <v>66911.278880000013</v>
      </c>
      <c r="N12" s="9">
        <f t="shared" si="5"/>
        <v>40000</v>
      </c>
      <c r="O12" s="9">
        <f t="shared" si="6"/>
        <v>16105.100000000008</v>
      </c>
      <c r="P12" s="9">
        <f t="shared" si="9"/>
        <v>16105.100000000008</v>
      </c>
      <c r="Q12" s="9">
        <f t="shared" si="8"/>
        <v>161979.27608000004</v>
      </c>
      <c r="R12" s="10">
        <f t="shared" si="0"/>
        <v>22748871.788069084</v>
      </c>
      <c r="T12" s="8">
        <v>9</v>
      </c>
      <c r="U12" s="8">
        <v>7</v>
      </c>
    </row>
    <row r="13" spans="3:21" ht="49" thickTop="1" thickBot="1" x14ac:dyDescent="0.6">
      <c r="C13" s="14" t="s">
        <v>3</v>
      </c>
      <c r="D13" s="15"/>
      <c r="H13" s="7">
        <f t="shared" si="2"/>
        <v>39</v>
      </c>
      <c r="I13" s="8">
        <v>7</v>
      </c>
      <c r="J13" s="10">
        <f t="shared" si="7"/>
        <v>22748871.788069084</v>
      </c>
      <c r="K13" s="9">
        <f t="shared" si="3"/>
        <v>177314.88903200001</v>
      </c>
      <c r="L13" s="9">
        <f t="shared" si="4"/>
        <v>141851.91122560002</v>
      </c>
      <c r="M13" s="9">
        <f t="shared" si="1"/>
        <v>70925.955612800011</v>
      </c>
      <c r="N13" s="9">
        <f t="shared" si="5"/>
        <v>40000</v>
      </c>
      <c r="O13" s="9">
        <f t="shared" si="6"/>
        <v>17715.610000000011</v>
      </c>
      <c r="P13" s="9">
        <f t="shared" si="9"/>
        <v>17715.610000000011</v>
      </c>
      <c r="Q13" s="9">
        <f t="shared" si="8"/>
        <v>172809.62464479997</v>
      </c>
      <c r="R13" s="10">
        <f t="shared" si="0"/>
        <v>27664172.959251177</v>
      </c>
      <c r="T13" s="8">
        <v>10</v>
      </c>
      <c r="U13" s="8">
        <v>8</v>
      </c>
    </row>
    <row r="14" spans="3:21" ht="49" thickTop="1" thickBot="1" x14ac:dyDescent="0.6">
      <c r="C14" s="5" t="s">
        <v>17</v>
      </c>
      <c r="D14" s="19">
        <v>50000000</v>
      </c>
      <c r="H14" s="7">
        <f t="shared" si="2"/>
        <v>40</v>
      </c>
      <c r="I14" s="8">
        <v>8</v>
      </c>
      <c r="J14" s="10">
        <f t="shared" si="7"/>
        <v>27664172.959251177</v>
      </c>
      <c r="K14" s="9">
        <f t="shared" si="3"/>
        <v>187953.78237392002</v>
      </c>
      <c r="L14" s="9">
        <f t="shared" si="4"/>
        <v>150363.02589913603</v>
      </c>
      <c r="M14" s="9">
        <f t="shared" si="1"/>
        <v>75181.512949568016</v>
      </c>
      <c r="N14" s="9">
        <f t="shared" si="5"/>
        <v>40000</v>
      </c>
      <c r="O14" s="9">
        <f t="shared" si="6"/>
        <v>19487.171000000013</v>
      </c>
      <c r="P14" s="9">
        <f t="shared" si="9"/>
        <v>19487.171000000013</v>
      </c>
      <c r="Q14" s="9">
        <f t="shared" si="8"/>
        <v>184160.95332348807</v>
      </c>
      <c r="R14" s="10">
        <f t="shared" si="0"/>
        <v>33312864.82536719</v>
      </c>
      <c r="T14" s="8">
        <v>11</v>
      </c>
      <c r="U14" s="8">
        <v>9</v>
      </c>
    </row>
    <row r="15" spans="3:21" ht="49" thickTop="1" thickBot="1" x14ac:dyDescent="0.6">
      <c r="C15" s="5" t="s">
        <v>18</v>
      </c>
      <c r="D15" s="19">
        <v>50000000</v>
      </c>
      <c r="H15" s="7">
        <f t="shared" si="2"/>
        <v>41</v>
      </c>
      <c r="I15" s="8">
        <v>9</v>
      </c>
      <c r="J15" s="10">
        <f t="shared" si="7"/>
        <v>33312864.82536719</v>
      </c>
      <c r="K15" s="9">
        <f t="shared" si="3"/>
        <v>199231.00931635522</v>
      </c>
      <c r="L15" s="9">
        <f t="shared" si="4"/>
        <v>159384.80745308421</v>
      </c>
      <c r="M15" s="9">
        <f t="shared" si="1"/>
        <v>79692.403726542107</v>
      </c>
      <c r="N15" s="9">
        <f t="shared" si="5"/>
        <v>40000</v>
      </c>
      <c r="O15" s="9">
        <f t="shared" si="6"/>
        <v>21435.888100000015</v>
      </c>
      <c r="P15" s="9">
        <f t="shared" si="9"/>
        <v>21435.888100000015</v>
      </c>
      <c r="Q15" s="9">
        <f t="shared" si="8"/>
        <v>196051.63684289734</v>
      </c>
      <c r="R15" s="10">
        <f t="shared" si="0"/>
        <v>39789775.21967423</v>
      </c>
      <c r="T15" s="8">
        <v>12</v>
      </c>
      <c r="U15" s="8">
        <v>10</v>
      </c>
    </row>
    <row r="16" spans="3:21" ht="49" thickTop="1" thickBot="1" x14ac:dyDescent="0.6">
      <c r="H16" s="7">
        <f t="shared" si="2"/>
        <v>42</v>
      </c>
      <c r="I16" s="8">
        <v>10</v>
      </c>
      <c r="J16" s="10">
        <f>R15</f>
        <v>39789775.21967423</v>
      </c>
      <c r="K16" s="9">
        <f t="shared" si="3"/>
        <v>211184.86987533656</v>
      </c>
      <c r="L16" s="9">
        <f t="shared" si="4"/>
        <v>168947.89590026927</v>
      </c>
      <c r="M16" s="9">
        <f t="shared" si="1"/>
        <v>84473.947950134636</v>
      </c>
      <c r="N16" s="9">
        <f t="shared" si="5"/>
        <v>40000</v>
      </c>
      <c r="O16" s="9">
        <f t="shared" si="6"/>
        <v>23579.476910000019</v>
      </c>
      <c r="P16" s="9">
        <f t="shared" si="9"/>
        <v>23579.476910000019</v>
      </c>
      <c r="Q16" s="9">
        <f>K16+L16-M16-N16-O16-P16</f>
        <v>208499.86400547111</v>
      </c>
      <c r="R16" s="10">
        <f t="shared" si="0"/>
        <v>47201341.340072319</v>
      </c>
      <c r="T16" s="8">
        <v>13</v>
      </c>
      <c r="U16" s="8">
        <v>11</v>
      </c>
    </row>
    <row r="17" spans="3:21" ht="49" thickTop="1" thickBot="1" x14ac:dyDescent="0.6">
      <c r="C17" s="5" t="s">
        <v>8</v>
      </c>
      <c r="D17" s="19">
        <v>4300000</v>
      </c>
      <c r="H17" s="7">
        <f t="shared" si="2"/>
        <v>43</v>
      </c>
      <c r="I17" s="8">
        <v>11</v>
      </c>
      <c r="J17" s="10">
        <f t="shared" ref="J17:J20" si="10">R16</f>
        <v>47201341.340072319</v>
      </c>
      <c r="K17" s="9">
        <f t="shared" si="3"/>
        <v>223855.96206785677</v>
      </c>
      <c r="L17" s="9">
        <f t="shared" si="4"/>
        <v>0</v>
      </c>
      <c r="M17" s="9">
        <f t="shared" si="1"/>
        <v>89542.384827142712</v>
      </c>
      <c r="N17" s="9">
        <f t="shared" si="5"/>
        <v>40000</v>
      </c>
      <c r="O17" s="9">
        <f t="shared" si="6"/>
        <v>25937.424601000024</v>
      </c>
      <c r="P17" s="9">
        <f t="shared" si="9"/>
        <v>25937.424601000024</v>
      </c>
      <c r="Q17" s="9">
        <f t="shared" ref="Q17:Q20" si="11">K17+L17-M17-N17-O17-P17</f>
        <v>42438.728038714005</v>
      </c>
      <c r="R17" s="10">
        <f t="shared" si="0"/>
        <v>53402203.586255834</v>
      </c>
      <c r="T17" s="8">
        <v>14</v>
      </c>
      <c r="U17" s="8">
        <v>12</v>
      </c>
    </row>
    <row r="18" spans="3:21" ht="49" thickTop="1" thickBot="1" x14ac:dyDescent="0.6">
      <c r="C18" s="5" t="s">
        <v>6</v>
      </c>
      <c r="D18" s="16">
        <v>100000</v>
      </c>
      <c r="H18" s="7">
        <f t="shared" si="2"/>
        <v>44</v>
      </c>
      <c r="I18" s="8">
        <v>12</v>
      </c>
      <c r="J18" s="10">
        <f t="shared" si="10"/>
        <v>53402203.586255834</v>
      </c>
      <c r="K18" s="9">
        <f t="shared" si="3"/>
        <v>237287.3197919282</v>
      </c>
      <c r="L18" s="9">
        <f t="shared" si="4"/>
        <v>0</v>
      </c>
      <c r="M18" s="9">
        <f t="shared" si="1"/>
        <v>94914.927916771281</v>
      </c>
      <c r="N18" s="9">
        <f t="shared" si="5"/>
        <v>40000</v>
      </c>
      <c r="O18" s="9">
        <f t="shared" si="6"/>
        <v>28531.16706110003</v>
      </c>
      <c r="P18" s="9">
        <f t="shared" si="9"/>
        <v>28531.16706110003</v>
      </c>
      <c r="Q18" s="9">
        <f t="shared" si="11"/>
        <v>45310.05775295684</v>
      </c>
      <c r="R18" s="10">
        <f t="shared" si="0"/>
        <v>60383481.567206748</v>
      </c>
      <c r="T18" s="8">
        <v>15</v>
      </c>
      <c r="U18" s="8">
        <v>13</v>
      </c>
    </row>
    <row r="19" spans="3:21" ht="49" thickTop="1" thickBot="1" x14ac:dyDescent="0.6">
      <c r="H19" s="7">
        <f t="shared" si="2"/>
        <v>45</v>
      </c>
      <c r="I19" s="8">
        <v>13</v>
      </c>
      <c r="J19" s="10">
        <f t="shared" si="10"/>
        <v>60383481.567206748</v>
      </c>
      <c r="K19" s="9">
        <f t="shared" si="3"/>
        <v>251524.55897944389</v>
      </c>
      <c r="L19" s="9">
        <f t="shared" si="4"/>
        <v>0</v>
      </c>
      <c r="M19" s="9">
        <f t="shared" si="1"/>
        <v>100609.82359177756</v>
      </c>
      <c r="N19" s="9">
        <f t="shared" si="5"/>
        <v>40000</v>
      </c>
      <c r="O19" s="9">
        <f t="shared" si="6"/>
        <v>31384.283767210036</v>
      </c>
      <c r="P19" s="9">
        <f t="shared" si="9"/>
        <v>31384.283767210036</v>
      </c>
      <c r="Q19" s="9">
        <f t="shared" si="11"/>
        <v>48146.167853246261</v>
      </c>
      <c r="R19" s="10">
        <f t="shared" si="0"/>
        <v>68238379.766322941</v>
      </c>
      <c r="T19" s="8">
        <v>16</v>
      </c>
      <c r="U19" s="8">
        <v>14</v>
      </c>
    </row>
    <row r="20" spans="3:21" ht="49" thickTop="1" thickBot="1" x14ac:dyDescent="0.6">
      <c r="C20" s="14" t="s">
        <v>19</v>
      </c>
      <c r="D20" s="15"/>
      <c r="H20" s="7">
        <f t="shared" si="2"/>
        <v>46</v>
      </c>
      <c r="I20" s="8">
        <v>14</v>
      </c>
      <c r="J20" s="10">
        <f t="shared" si="10"/>
        <v>68238379.766322941</v>
      </c>
      <c r="K20" s="9">
        <f t="shared" si="3"/>
        <v>266616.03251821053</v>
      </c>
      <c r="L20" s="9">
        <f t="shared" si="4"/>
        <v>0</v>
      </c>
      <c r="M20" s="9">
        <f t="shared" si="1"/>
        <v>106646.41300728422</v>
      </c>
      <c r="N20" s="9">
        <f t="shared" si="5"/>
        <v>40000</v>
      </c>
      <c r="O20" s="9">
        <f t="shared" si="6"/>
        <v>34522.712143931043</v>
      </c>
      <c r="P20" s="9">
        <f t="shared" si="9"/>
        <v>34522.712143931043</v>
      </c>
      <c r="Q20" s="9">
        <f t="shared" si="11"/>
        <v>50924.19522306422</v>
      </c>
      <c r="R20" s="10">
        <f t="shared" si="0"/>
        <v>77070998.066654846</v>
      </c>
      <c r="T20" s="8">
        <v>17</v>
      </c>
      <c r="U20" s="8">
        <v>15</v>
      </c>
    </row>
    <row r="21" spans="3:21" ht="49" thickTop="1" thickBot="1" x14ac:dyDescent="0.6">
      <c r="C21" s="5" t="s">
        <v>11</v>
      </c>
      <c r="D21" s="19">
        <v>40000</v>
      </c>
      <c r="E21" s="17">
        <v>16</v>
      </c>
      <c r="F21" s="1" t="s">
        <v>32</v>
      </c>
      <c r="H21" s="7">
        <f t="shared" si="2"/>
        <v>47</v>
      </c>
      <c r="I21" s="8">
        <v>15</v>
      </c>
      <c r="J21" s="10">
        <f t="shared" ref="J21:J22" si="12">R20</f>
        <v>77070998.066654846</v>
      </c>
      <c r="K21" s="9">
        <f t="shared" si="3"/>
        <v>282612.99446930317</v>
      </c>
      <c r="L21" s="9">
        <f t="shared" si="4"/>
        <v>0</v>
      </c>
      <c r="M21" s="9">
        <f t="shared" si="1"/>
        <v>113045.19778772128</v>
      </c>
      <c r="N21" s="9">
        <f t="shared" si="5"/>
        <v>40000</v>
      </c>
      <c r="O21" s="9">
        <f t="shared" si="6"/>
        <v>37974.983358324149</v>
      </c>
      <c r="P21" s="9">
        <f t="shared" si="9"/>
        <v>37974.983358324149</v>
      </c>
      <c r="Q21" s="9">
        <f t="shared" ref="Q21:Q22" si="13">K21+L21-M21-N21-O21-P21</f>
        <v>53617.829964933575</v>
      </c>
      <c r="R21" s="10">
        <f t="shared" si="0"/>
        <v>86997595.609155506</v>
      </c>
      <c r="T21" s="8">
        <v>18</v>
      </c>
      <c r="U21" s="8">
        <v>16</v>
      </c>
    </row>
    <row r="22" spans="3:21" ht="49" thickTop="1" thickBot="1" x14ac:dyDescent="0.6">
      <c r="C22" s="5" t="s">
        <v>2</v>
      </c>
      <c r="D22" s="19">
        <v>50000</v>
      </c>
      <c r="H22" s="7">
        <f t="shared" si="2"/>
        <v>48</v>
      </c>
      <c r="I22" s="8">
        <v>16</v>
      </c>
      <c r="J22" s="10">
        <f t="shared" si="12"/>
        <v>86997595.609155506</v>
      </c>
      <c r="K22" s="9">
        <f t="shared" si="3"/>
        <v>299569.77413746138</v>
      </c>
      <c r="L22" s="9">
        <f t="shared" si="4"/>
        <v>0</v>
      </c>
      <c r="M22" s="9">
        <f t="shared" si="1"/>
        <v>119827.90965498456</v>
      </c>
      <c r="N22" s="9">
        <f t="shared" si="5"/>
        <v>40000</v>
      </c>
      <c r="O22" s="9">
        <f t="shared" si="6"/>
        <v>41772.481694156566</v>
      </c>
      <c r="P22" s="9">
        <f t="shared" si="9"/>
        <v>41772.481694156566</v>
      </c>
      <c r="Q22" s="9">
        <f t="shared" si="13"/>
        <v>56196.90109416371</v>
      </c>
      <c r="R22" s="10">
        <f t="shared" si="0"/>
        <v>98148001.074397564</v>
      </c>
      <c r="T22" s="8">
        <v>19</v>
      </c>
      <c r="U22" s="8">
        <v>17</v>
      </c>
    </row>
    <row r="23" spans="3:21" ht="49" thickTop="1" thickBot="1" x14ac:dyDescent="0.6">
      <c r="H23" s="7">
        <f t="shared" si="2"/>
        <v>49</v>
      </c>
      <c r="I23" s="8">
        <v>17</v>
      </c>
      <c r="J23" s="10">
        <f t="shared" ref="J23:J26" si="14">R22</f>
        <v>98148001.074397564</v>
      </c>
      <c r="K23" s="9">
        <f t="shared" ref="K23:K25" si="15">K22*(1+$K$5)</f>
        <v>317543.96058570908</v>
      </c>
      <c r="L23" s="9">
        <f t="shared" ref="L23:L26" si="16">IF(I23&lt;=$L$4,L22*(1+$K$5),0)</f>
        <v>0</v>
      </c>
      <c r="M23" s="9">
        <f t="shared" ref="M23:M25" si="17">M22*(1+$M$5)</f>
        <v>127017.58423428364</v>
      </c>
      <c r="N23" s="9">
        <f t="shared" ref="N23:N26" si="18">IF(I23&lt;=$N$4,N22,0)</f>
        <v>0</v>
      </c>
      <c r="O23" s="9">
        <f t="shared" si="6"/>
        <v>45949.729863572225</v>
      </c>
      <c r="P23" s="9">
        <f t="shared" si="9"/>
        <v>45949.729863572225</v>
      </c>
      <c r="Q23" s="9">
        <f t="shared" ref="Q23:Q26" si="19">K23+L23-M23-N23-O23-P23</f>
        <v>98626.916624280973</v>
      </c>
      <c r="R23" s="10">
        <f t="shared" ref="R23:R25" si="20">FV(NOMINAL($O$5,12)/12,12,-Q23,-J23)</f>
        <v>111173046.29812171</v>
      </c>
      <c r="T23" s="8">
        <v>20</v>
      </c>
      <c r="U23" s="8">
        <v>18</v>
      </c>
    </row>
    <row r="24" spans="3:21" ht="49" thickTop="1" thickBot="1" x14ac:dyDescent="0.6">
      <c r="H24" s="7">
        <f t="shared" si="2"/>
        <v>50</v>
      </c>
      <c r="I24" s="8">
        <v>18</v>
      </c>
      <c r="J24" s="10">
        <f t="shared" si="14"/>
        <v>111173046.29812171</v>
      </c>
      <c r="K24" s="9">
        <f t="shared" si="15"/>
        <v>336596.59822085162</v>
      </c>
      <c r="L24" s="9">
        <f t="shared" si="16"/>
        <v>0</v>
      </c>
      <c r="M24" s="9">
        <f t="shared" si="17"/>
        <v>134638.63928834067</v>
      </c>
      <c r="N24" s="9">
        <f t="shared" si="18"/>
        <v>0</v>
      </c>
      <c r="O24" s="9">
        <f t="shared" si="6"/>
        <v>50544.702849929454</v>
      </c>
      <c r="P24" s="9">
        <f t="shared" si="9"/>
        <v>50544.702849929454</v>
      </c>
      <c r="Q24" s="9">
        <f t="shared" si="19"/>
        <v>100868.55323265205</v>
      </c>
      <c r="R24" s="10">
        <f t="shared" si="20"/>
        <v>125789445.80137181</v>
      </c>
      <c r="T24" s="8">
        <v>21</v>
      </c>
      <c r="U24" s="8">
        <v>19</v>
      </c>
    </row>
    <row r="25" spans="3:21" ht="49" thickTop="1" thickBot="1" x14ac:dyDescent="0.6">
      <c r="H25" s="7">
        <f t="shared" si="2"/>
        <v>51</v>
      </c>
      <c r="I25" s="8">
        <v>19</v>
      </c>
      <c r="J25" s="10">
        <f t="shared" si="14"/>
        <v>125789445.80137181</v>
      </c>
      <c r="K25" s="9">
        <f t="shared" si="15"/>
        <v>356792.39411410276</v>
      </c>
      <c r="L25" s="9">
        <f t="shared" si="16"/>
        <v>0</v>
      </c>
      <c r="M25" s="9">
        <f t="shared" si="17"/>
        <v>142716.95764564112</v>
      </c>
      <c r="N25" s="9">
        <f t="shared" si="18"/>
        <v>0</v>
      </c>
      <c r="O25" s="9">
        <f t="shared" si="6"/>
        <v>55599.173134922406</v>
      </c>
      <c r="P25" s="9">
        <f t="shared" si="9"/>
        <v>55599.173134922406</v>
      </c>
      <c r="Q25" s="9">
        <f t="shared" si="19"/>
        <v>102877.09019861685</v>
      </c>
      <c r="R25" s="10">
        <f t="shared" si="20"/>
        <v>142185214.20355088</v>
      </c>
      <c r="T25" s="8">
        <v>22</v>
      </c>
      <c r="U25" s="8">
        <v>20</v>
      </c>
    </row>
    <row r="26" spans="3:21" ht="49" thickTop="1" thickBot="1" x14ac:dyDescent="0.6">
      <c r="H26" s="7">
        <f t="shared" si="2"/>
        <v>52</v>
      </c>
      <c r="I26" s="8">
        <v>20</v>
      </c>
      <c r="J26" s="10">
        <f t="shared" si="14"/>
        <v>142185214.20355088</v>
      </c>
      <c r="K26" s="9">
        <f>K25*(1+$K$5)</f>
        <v>378199.93776094896</v>
      </c>
      <c r="L26" s="9">
        <f t="shared" si="16"/>
        <v>0</v>
      </c>
      <c r="M26" s="9">
        <f>M25*(1+$M$5)</f>
        <v>151279.97510437958</v>
      </c>
      <c r="N26" s="9">
        <f t="shared" si="18"/>
        <v>0</v>
      </c>
      <c r="O26" s="9">
        <f t="shared" si="6"/>
        <v>0</v>
      </c>
      <c r="P26" s="9">
        <f t="shared" si="9"/>
        <v>61159.090448414652</v>
      </c>
      <c r="Q26" s="9">
        <f t="shared" si="19"/>
        <v>165760.87220815473</v>
      </c>
      <c r="R26" s="10">
        <f>FV(NOMINAL($O$5,12)/12,12,-Q26,-J26)</f>
        <v>161343734.43164444</v>
      </c>
      <c r="T26" s="8">
        <v>23</v>
      </c>
      <c r="U26" s="8">
        <v>21</v>
      </c>
    </row>
    <row r="27" spans="3:21" ht="49" thickTop="1" thickBot="1" x14ac:dyDescent="0.6">
      <c r="H27" s="7">
        <f t="shared" si="2"/>
        <v>53</v>
      </c>
      <c r="I27" s="8">
        <v>21</v>
      </c>
      <c r="J27" s="10">
        <f t="shared" ref="J27" si="21">R26</f>
        <v>161343734.43164444</v>
      </c>
      <c r="K27" s="9">
        <f t="shared" ref="K27" si="22">K26*(1+$K$5)</f>
        <v>400891.93402660592</v>
      </c>
      <c r="L27" s="9">
        <f t="shared" ref="L27" si="23">IF(I27&lt;=$L$4,L26*(1+$K$5),0)</f>
        <v>0</v>
      </c>
      <c r="M27" s="9">
        <f t="shared" ref="M27" si="24">M26*(1+$M$5)</f>
        <v>160356.77361064235</v>
      </c>
      <c r="N27" s="9">
        <f t="shared" ref="N27" si="25">IF(I27&lt;=$N$4,N26,0)</f>
        <v>0</v>
      </c>
      <c r="O27" s="9">
        <f t="shared" si="6"/>
        <v>0</v>
      </c>
      <c r="P27" s="9">
        <f>IF(U27&lt;=22,P26*(1+$Q$5),0)</f>
        <v>67274.999493256124</v>
      </c>
      <c r="Q27" s="9">
        <f t="shared" ref="Q27" si="26">K27+L27-M27-N27-O27-P27</f>
        <v>173260.16092270744</v>
      </c>
      <c r="R27" s="10">
        <f t="shared" ref="R27" si="27">FV(NOMINAL($O$5,12)/12,12,-Q27,-J27)</f>
        <v>182896116.82615197</v>
      </c>
      <c r="T27" s="8">
        <v>24</v>
      </c>
      <c r="U27" s="8">
        <v>22</v>
      </c>
    </row>
    <row r="28" spans="3:21" ht="48" thickTop="1" x14ac:dyDescent="0.55000000000000004"/>
    <row r="31" spans="3:21" x14ac:dyDescent="0.55000000000000004">
      <c r="G31" s="1" t="s">
        <v>33</v>
      </c>
      <c r="H31" s="17"/>
      <c r="I31" s="18" t="s">
        <v>34</v>
      </c>
      <c r="J31" s="18"/>
    </row>
  </sheetData>
  <sheetProtection algorithmName="SHA-512" hashValue="NRtDyOJBh4lSuVzF+uIrUAAb9tefr/APe+6qgVysQB+8XNdFWUDOf92a4FTOcs2fyli7s3WRK9ofvm1GHCFnNA==" saltValue="gSRCjCLScaDH1O88SuHFOw==" spinCount="100000" sheet="1" objects="1" scenarios="1"/>
  <mergeCells count="6">
    <mergeCell ref="C20:D20"/>
    <mergeCell ref="I31:J31"/>
    <mergeCell ref="J4:K4"/>
    <mergeCell ref="O4:P4"/>
    <mergeCell ref="C4:D4"/>
    <mergeCell ref="C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hidden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2025-07-02T11:32:07Z</dcterms:created>
  <dcterms:modified xsi:type="dcterms:W3CDTF">2026-03-15T02:46:35Z</dcterms:modified>
</cp:coreProperties>
</file>