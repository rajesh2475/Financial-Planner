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89AAE3C7-E214-8F47-9113-4B50C5CD0D7B}" xr6:coauthVersionLast="47" xr6:coauthVersionMax="47" xr10:uidLastSave="{00000000-0000-0000-0000-000000000000}"/>
  <bookViews>
    <workbookView xWindow="0" yWindow="760" windowWidth="34560" windowHeight="19860" xr2:uid="{239F5D48-E4E3-F645-BABA-08DD8A1E159A}"/>
  </bookViews>
  <sheets>
    <sheet name="INCOME TAX C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D47" i="1"/>
  <c r="D51" i="1"/>
  <c r="D53" i="1"/>
  <c r="D33" i="1"/>
  <c r="D42" i="1"/>
  <c r="D37" i="1"/>
  <c r="C27" i="1"/>
  <c r="D31" i="1" s="1"/>
  <c r="D35" i="1"/>
  <c r="D49" i="1"/>
  <c r="D45" i="1"/>
  <c r="R16" i="1" l="1"/>
  <c r="S16" i="1" s="1"/>
  <c r="R18" i="1"/>
  <c r="S18" i="1" s="1"/>
  <c r="R17" i="1"/>
  <c r="S17" i="1" s="1"/>
  <c r="R19" i="1"/>
  <c r="S19" i="1" s="1"/>
  <c r="R15" i="1"/>
  <c r="S15" i="1" s="1"/>
  <c r="R21" i="1"/>
  <c r="S21" i="1" s="1"/>
  <c r="D55" i="1"/>
  <c r="D57" i="1" s="1"/>
  <c r="L22" i="1" s="1"/>
  <c r="M24" i="1" s="1"/>
  <c r="N24" i="1" s="1"/>
  <c r="S20" i="1"/>
  <c r="M25" i="1" l="1"/>
  <c r="N25" i="1" s="1"/>
  <c r="M26" i="1"/>
  <c r="N26" i="1" s="1"/>
  <c r="L13" i="1"/>
  <c r="M17" i="1" s="1"/>
  <c r="N17" i="1" s="1"/>
  <c r="M27" i="1"/>
  <c r="N27" i="1" s="1"/>
  <c r="S22" i="1"/>
  <c r="S30" i="1" s="1"/>
  <c r="S31" i="1" s="1"/>
  <c r="S33" i="1" s="1"/>
  <c r="H15" i="1" s="1"/>
  <c r="M15" i="1" l="1"/>
  <c r="N15" i="1" s="1"/>
  <c r="M18" i="1"/>
  <c r="N18" i="1" s="1"/>
  <c r="N28" i="1"/>
  <c r="M16" i="1"/>
  <c r="N16" i="1" s="1"/>
  <c r="N19" i="1" l="1"/>
  <c r="N30" i="1" s="1"/>
  <c r="N31" i="1" s="1"/>
  <c r="N33" i="1" s="1"/>
  <c r="H13" i="1" s="1"/>
</calcChain>
</file>

<file path=xl/sharedStrings.xml><?xml version="1.0" encoding="utf-8"?>
<sst xmlns="http://schemas.openxmlformats.org/spreadsheetml/2006/main" count="92" uniqueCount="75">
  <si>
    <t>UNDER SECTION 80</t>
  </si>
  <si>
    <t>DEDUCTIONS</t>
  </si>
  <si>
    <t>NAME</t>
  </si>
  <si>
    <t>AGE</t>
  </si>
  <si>
    <t>1. HEALTH INSURANCE FOR SELF</t>
  </si>
  <si>
    <t>2. HEALTH INSURANCE FOR PARENTS</t>
  </si>
  <si>
    <t>LIFE INSURANCE PREMIUM</t>
  </si>
  <si>
    <t>UNIT LINKED INSURANCE</t>
  </si>
  <si>
    <t>ELSS</t>
  </si>
  <si>
    <t>CHILDREN'S TUTION FEES</t>
  </si>
  <si>
    <t>PPF</t>
  </si>
  <si>
    <t>CONTRIBUTION TO SSY</t>
  </si>
  <si>
    <t>TAX SAVING FD</t>
  </si>
  <si>
    <t>NSC</t>
  </si>
  <si>
    <t>PRINCIPAL ON HOME LOAN</t>
  </si>
  <si>
    <t>EPF / NPS</t>
  </si>
  <si>
    <t>SEC 80E INTEREST ON EDUCATION LOAN      (E)</t>
  </si>
  <si>
    <t>NPS 80CCD(1B)                                                    (C)</t>
  </si>
  <si>
    <t>SECTION 80GG HRA                                            (D)</t>
  </si>
  <si>
    <t>SECTION 24B HOME LOAN INTEREST              (H)</t>
  </si>
  <si>
    <t>TOTAL DEDUCTION UNDER 80D                       (G)</t>
  </si>
  <si>
    <t>GROSS TOTAL                                                     (B)</t>
  </si>
  <si>
    <t>YEARS</t>
  </si>
  <si>
    <t>1 to 250000</t>
  </si>
  <si>
    <t>250001 to 500000</t>
  </si>
  <si>
    <t>500001 to 1000000</t>
  </si>
  <si>
    <t>above 1000000</t>
  </si>
  <si>
    <t>TOTAL TAXABLE INCOME</t>
  </si>
  <si>
    <t>TAX SLABS</t>
  </si>
  <si>
    <t>RATE</t>
  </si>
  <si>
    <t>SLAB VALUE</t>
  </si>
  <si>
    <t>TAX</t>
  </si>
  <si>
    <t>TAX CALCULATION FOR AGE BLOW 60YEARS</t>
  </si>
  <si>
    <t>TAX CALCULATION FOR AGE ABOVE 60 AND BELOW 80YEARS</t>
  </si>
  <si>
    <t>TAX CALCULATION AS PER OLD TAX REGIME</t>
  </si>
  <si>
    <t>Above 1500000</t>
  </si>
  <si>
    <t>GROSS TAX PAYABLE</t>
  </si>
  <si>
    <t>EDUCATION CESS 4%</t>
  </si>
  <si>
    <t>GROSS TAX PAYABLE UNDER OLD REGIME</t>
  </si>
  <si>
    <t>NET TOATAL TAXA PAYABLE UNDER OLD REGIME</t>
  </si>
  <si>
    <t>Disclaimer: The calculator is for the age lesser than 80Yrs &amp; it is to give the approximate tax payable value which will help you in analysing things accordingly. So please consider this as only for learning purpose only</t>
  </si>
  <si>
    <t>SECTION 80D                                                       (G)</t>
  </si>
  <si>
    <t>TOTAL ANNUAL INCOME                                    (A)</t>
  </si>
  <si>
    <t>UNDER SECTION 80C                                          (B)</t>
  </si>
  <si>
    <t>SEC 80EEA INTEREST ON HOME LOAN            (F)</t>
  </si>
  <si>
    <t>SECTION 80EEB INTEREST ON EV                     (I)</t>
  </si>
  <si>
    <t>STANDARD DEDUCTION                                      (J)</t>
  </si>
  <si>
    <t>LTA  SECTION 10(5)                                              (K)</t>
  </si>
  <si>
    <t>OTHERS                                                                 (L)</t>
  </si>
  <si>
    <t>TOTAL DEDUCTIONS (M) (B+C+D+E+F+G+H+I+J+K+L)</t>
  </si>
  <si>
    <t>NET TAXABLE INCOME                                   (A-M)</t>
  </si>
  <si>
    <t>PARENT'S AGE</t>
  </si>
  <si>
    <t>NET DEDUCTIONS UNDER SEC 80C          (B+C)</t>
  </si>
  <si>
    <t>Note: Please Click on the yellow colored cells only to feed the details</t>
  </si>
  <si>
    <t>https://www.youtube.com/channel/UChBT5TlUeG68PKvJSg6MkqQ</t>
  </si>
  <si>
    <t>TO IMPROVE YOUR FINANCIAL KNOWLEDGE FOLLOW US @</t>
  </si>
  <si>
    <t>THIS PRODUCT BELONGS TO</t>
  </si>
  <si>
    <t>1 to 300000</t>
  </si>
  <si>
    <t>1200001 to 1500000</t>
  </si>
  <si>
    <t>Removed in Budget 2023</t>
  </si>
  <si>
    <t>TAXABLE INCOME (-STD)</t>
  </si>
  <si>
    <t>GROSS TAX PAYABLE UNDER NEW REGIME</t>
  </si>
  <si>
    <t>300001 to 700000</t>
  </si>
  <si>
    <t>700001 to 1000000</t>
  </si>
  <si>
    <t>1000001 to 1200000</t>
  </si>
  <si>
    <t>NET TOATAL TAX PAYABLE UNDER NEW REGIME</t>
  </si>
  <si>
    <t>TAX CALCULATION AS PER NEW TAX REGIME JULY 2024</t>
  </si>
  <si>
    <t>TAX PAYABLE</t>
  </si>
  <si>
    <t>AS PER OLD REGIME</t>
  </si>
  <si>
    <t>AS PER NEW REGIME PROPOSED IN JULY 2024</t>
  </si>
  <si>
    <t>TO SUPPORT YOUR CHANNEL</t>
  </si>
  <si>
    <t>Compare Term Plan Here</t>
  </si>
  <si>
    <t xml:space="preserve">https://tinyurl.com/4xtsdbbd </t>
  </si>
  <si>
    <t>Compare Health Insurance Here</t>
  </si>
  <si>
    <t>https://tinyurl.com/37za5jbz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</si>
</sst>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0">
    <font>
      <sz val="12"/>
      <color theme="1"/>
      <name val="Calibri"/>
      <family val="2"/>
      <scheme val="minor"/>
    </font>
    <font>
      <sz val="36"/>
      <color theme="1"/>
      <name val="Arial Bold"/>
    </font>
    <font>
      <b/>
      <sz val="36"/>
      <color theme="1"/>
      <name val="Arial Bold"/>
    </font>
    <font>
      <sz val="22"/>
      <color theme="1"/>
      <name val="Arial Bold"/>
    </font>
    <font>
      <sz val="32"/>
      <color theme="1"/>
      <name val="Arial Bold"/>
    </font>
    <font>
      <sz val="36"/>
      <color theme="0"/>
      <name val="Arial Bold"/>
    </font>
    <font>
      <u/>
      <sz val="12"/>
      <color theme="10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24"/>
      <color theme="1"/>
      <name val="Arial Bold"/>
    </font>
    <font>
      <sz val="32"/>
      <color theme="0"/>
      <name val="Arial Bold"/>
    </font>
    <font>
      <b/>
      <sz val="3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u/>
      <sz val="28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b/>
      <sz val="26"/>
      <color theme="1"/>
      <name val="Helvetica Neue"/>
      <family val="2"/>
    </font>
    <font>
      <u/>
      <sz val="22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u/>
      <sz val="36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198"/>
        <bgColor indexed="64"/>
      </patternFill>
    </fill>
    <fill>
      <patternFill patternType="solid">
        <fgColor rgb="FF87FAA4"/>
        <bgColor indexed="64"/>
      </patternFill>
    </fill>
    <fill>
      <patternFill patternType="solid">
        <fgColor rgb="FF38F0FF"/>
        <bgColor indexed="64"/>
      </patternFill>
    </fill>
    <fill>
      <patternFill patternType="solid">
        <fgColor rgb="FF77D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E298"/>
        <bgColor indexed="64"/>
      </patternFill>
    </fill>
    <fill>
      <patternFill patternType="solid">
        <fgColor rgb="FF68F1FB"/>
        <bgColor indexed="64"/>
      </patternFill>
    </fill>
    <fill>
      <patternFill patternType="solid">
        <fgColor rgb="FF77D9FA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A3A4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BEFCFF"/>
        <bgColor indexed="64"/>
      </patternFill>
    </fill>
    <fill>
      <patternFill patternType="solid">
        <fgColor rgb="FFD982FA"/>
        <bgColor indexed="64"/>
      </patternFill>
    </fill>
    <fill>
      <patternFill patternType="solid">
        <fgColor rgb="FFFDE398"/>
        <bgColor indexed="64"/>
      </patternFill>
    </fill>
    <fill>
      <patternFill patternType="solid">
        <fgColor rgb="FFF17D78"/>
        <bgColor indexed="64"/>
      </patternFill>
    </fill>
    <fill>
      <patternFill patternType="solid">
        <fgColor rgb="FFD4F87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BEFCFD"/>
        <bgColor indexed="64"/>
      </patternFill>
    </fill>
    <fill>
      <patternFill patternType="solid">
        <fgColor rgb="FFF3933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 style="thick">
        <color theme="0"/>
      </top>
      <bottom/>
      <diagonal/>
    </border>
    <border>
      <left/>
      <right style="thick">
        <color theme="1"/>
      </right>
      <top/>
      <bottom style="thick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6">
    <xf numFmtId="0" fontId="0" fillId="0" borderId="0" xfId="0"/>
    <xf numFmtId="0" fontId="1" fillId="0" borderId="0" xfId="0" applyFont="1" applyProtection="1">
      <protection locked="0"/>
    </xf>
    <xf numFmtId="1" fontId="1" fillId="4" borderId="2" xfId="0" applyNumberFormat="1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8" xfId="0" applyFon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2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18" xfId="0" applyFont="1" applyBorder="1" applyProtection="1">
      <protection locked="0"/>
    </xf>
    <xf numFmtId="0" fontId="1" fillId="19" borderId="16" xfId="0" applyFont="1" applyFill="1" applyBorder="1" applyProtection="1">
      <protection locked="0"/>
    </xf>
    <xf numFmtId="0" fontId="1" fillId="19" borderId="17" xfId="0" applyFont="1" applyFill="1" applyBorder="1" applyProtection="1">
      <protection locked="0"/>
    </xf>
    <xf numFmtId="0" fontId="1" fillId="25" borderId="16" xfId="0" applyFont="1" applyFill="1" applyBorder="1" applyProtection="1">
      <protection locked="0"/>
    </xf>
    <xf numFmtId="0" fontId="1" fillId="0" borderId="25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164" fontId="1" fillId="4" borderId="3" xfId="0" applyNumberFormat="1" applyFont="1" applyFill="1" applyBorder="1" applyProtection="1">
      <protection locked="0"/>
    </xf>
    <xf numFmtId="164" fontId="1" fillId="4" borderId="4" xfId="0" applyNumberFormat="1" applyFont="1" applyFill="1" applyBorder="1" applyProtection="1">
      <protection locked="0"/>
    </xf>
    <xf numFmtId="0" fontId="1" fillId="25" borderId="17" xfId="0" applyFont="1" applyFill="1" applyBorder="1" applyProtection="1">
      <protection locked="0"/>
    </xf>
    <xf numFmtId="0" fontId="1" fillId="0" borderId="20" xfId="0" applyFont="1" applyBorder="1" applyProtection="1">
      <protection locked="0"/>
    </xf>
    <xf numFmtId="9" fontId="1" fillId="0" borderId="0" xfId="0" applyNumberFormat="1" applyFont="1" applyProtection="1">
      <protection locked="0"/>
    </xf>
    <xf numFmtId="164" fontId="1" fillId="0" borderId="3" xfId="0" applyNumberFormat="1" applyFont="1" applyBorder="1" applyProtection="1">
      <protection locked="0"/>
    </xf>
    <xf numFmtId="0" fontId="1" fillId="0" borderId="23" xfId="0" applyFont="1" applyBorder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8" xfId="0" applyNumberFormat="1" applyFont="1" applyBorder="1" applyProtection="1">
      <protection locked="0"/>
    </xf>
    <xf numFmtId="164" fontId="1" fillId="0" borderId="12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164" fontId="1" fillId="4" borderId="10" xfId="0" applyNumberFormat="1" applyFont="1" applyFill="1" applyBorder="1" applyProtection="1">
      <protection locked="0"/>
    </xf>
    <xf numFmtId="0" fontId="1" fillId="7" borderId="3" xfId="0" applyFont="1" applyFill="1" applyBorder="1" applyProtection="1">
      <protection hidden="1"/>
    </xf>
    <xf numFmtId="164" fontId="1" fillId="11" borderId="3" xfId="0" applyNumberFormat="1" applyFont="1" applyFill="1" applyBorder="1" applyProtection="1">
      <protection hidden="1"/>
    </xf>
    <xf numFmtId="164" fontId="1" fillId="11" borderId="1" xfId="0" applyNumberFormat="1" applyFont="1" applyFill="1" applyBorder="1" applyProtection="1">
      <protection hidden="1"/>
    </xf>
    <xf numFmtId="164" fontId="1" fillId="5" borderId="1" xfId="0" applyNumberFormat="1" applyFont="1" applyFill="1" applyBorder="1" applyProtection="1">
      <protection hidden="1"/>
    </xf>
    <xf numFmtId="164" fontId="5" fillId="15" borderId="3" xfId="0" applyNumberFormat="1" applyFont="1" applyFill="1" applyBorder="1" applyProtection="1">
      <protection hidden="1"/>
    </xf>
    <xf numFmtId="164" fontId="1" fillId="19" borderId="3" xfId="0" applyNumberFormat="1" applyFont="1" applyFill="1" applyBorder="1" applyProtection="1">
      <protection hidden="1"/>
    </xf>
    <xf numFmtId="164" fontId="1" fillId="0" borderId="14" xfId="0" applyNumberFormat="1" applyFont="1" applyBorder="1" applyProtection="1">
      <protection hidden="1"/>
    </xf>
    <xf numFmtId="164" fontId="1" fillId="0" borderId="15" xfId="0" applyNumberFormat="1" applyFont="1" applyBorder="1" applyProtection="1">
      <protection hidden="1"/>
    </xf>
    <xf numFmtId="164" fontId="1" fillId="19" borderId="14" xfId="0" applyNumberFormat="1" applyFont="1" applyFill="1" applyBorder="1" applyProtection="1">
      <protection hidden="1"/>
    </xf>
    <xf numFmtId="164" fontId="1" fillId="25" borderId="14" xfId="0" applyNumberFormat="1" applyFont="1" applyFill="1" applyBorder="1" applyProtection="1">
      <protection hidden="1"/>
    </xf>
    <xf numFmtId="164" fontId="1" fillId="25" borderId="20" xfId="0" applyNumberFormat="1" applyFont="1" applyFill="1" applyBorder="1" applyProtection="1">
      <protection hidden="1"/>
    </xf>
    <xf numFmtId="164" fontId="1" fillId="31" borderId="14" xfId="0" applyNumberFormat="1" applyFont="1" applyFill="1" applyBorder="1" applyProtection="1">
      <protection hidden="1"/>
    </xf>
    <xf numFmtId="164" fontId="1" fillId="25" borderId="15" xfId="0" applyNumberFormat="1" applyFont="1" applyFill="1" applyBorder="1" applyProtection="1">
      <protection hidden="1"/>
    </xf>
    <xf numFmtId="164" fontId="1" fillId="0" borderId="23" xfId="0" applyNumberFormat="1" applyFont="1" applyBorder="1" applyProtection="1">
      <protection hidden="1"/>
    </xf>
    <xf numFmtId="164" fontId="1" fillId="0" borderId="17" xfId="0" applyNumberFormat="1" applyFont="1" applyBorder="1" applyProtection="1">
      <protection hidden="1"/>
    </xf>
    <xf numFmtId="164" fontId="1" fillId="0" borderId="20" xfId="0" applyNumberFormat="1" applyFont="1" applyBorder="1" applyProtection="1">
      <protection hidden="1"/>
    </xf>
    <xf numFmtId="164" fontId="1" fillId="0" borderId="26" xfId="0" applyNumberFormat="1" applyFont="1" applyBorder="1" applyProtection="1">
      <protection hidden="1"/>
    </xf>
    <xf numFmtId="9" fontId="1" fillId="0" borderId="14" xfId="0" applyNumberFormat="1" applyFont="1" applyBorder="1" applyAlignment="1" applyProtection="1">
      <alignment horizontal="center"/>
      <protection hidden="1"/>
    </xf>
    <xf numFmtId="9" fontId="1" fillId="0" borderId="15" xfId="0" applyNumberFormat="1" applyFont="1" applyBorder="1" applyAlignment="1" applyProtection="1">
      <alignment horizontal="center"/>
      <protection hidden="1"/>
    </xf>
    <xf numFmtId="9" fontId="1" fillId="0" borderId="16" xfId="0" applyNumberFormat="1" applyFont="1" applyBorder="1" applyAlignment="1" applyProtection="1">
      <alignment horizontal="center"/>
      <protection hidden="1"/>
    </xf>
    <xf numFmtId="9" fontId="1" fillId="0" borderId="17" xfId="0" applyNumberFormat="1" applyFont="1" applyBorder="1" applyAlignment="1" applyProtection="1">
      <alignment horizontal="center"/>
      <protection hidden="1"/>
    </xf>
    <xf numFmtId="9" fontId="1" fillId="0" borderId="26" xfId="0" applyNumberFormat="1" applyFont="1" applyBorder="1" applyAlignment="1" applyProtection="1">
      <alignment horizontal="center"/>
      <protection hidden="1"/>
    </xf>
    <xf numFmtId="9" fontId="1" fillId="0" borderId="27" xfId="0" applyNumberFormat="1" applyFont="1" applyBorder="1" applyAlignment="1" applyProtection="1">
      <alignment horizontal="center"/>
      <protection hidden="1"/>
    </xf>
    <xf numFmtId="164" fontId="1" fillId="19" borderId="15" xfId="0" applyNumberFormat="1" applyFont="1" applyFill="1" applyBorder="1" applyAlignment="1" applyProtection="1">
      <alignment horizontal="center"/>
      <protection hidden="1"/>
    </xf>
    <xf numFmtId="164" fontId="1" fillId="25" borderId="15" xfId="0" applyNumberFormat="1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8" xfId="0" applyFont="1" applyBorder="1" applyProtection="1">
      <protection locked="0"/>
    </xf>
    <xf numFmtId="0" fontId="1" fillId="0" borderId="29" xfId="0" applyFont="1" applyBorder="1" applyProtection="1">
      <protection locked="0"/>
    </xf>
    <xf numFmtId="0" fontId="1" fillId="21" borderId="1" xfId="0" applyFont="1" applyFill="1" applyBorder="1" applyProtection="1">
      <protection hidden="1"/>
    </xf>
    <xf numFmtId="0" fontId="1" fillId="12" borderId="14" xfId="0" applyFont="1" applyFill="1" applyBorder="1" applyProtection="1">
      <protection hidden="1"/>
    </xf>
    <xf numFmtId="0" fontId="1" fillId="27" borderId="14" xfId="0" applyFont="1" applyFill="1" applyBorder="1" applyProtection="1">
      <protection hidden="1"/>
    </xf>
    <xf numFmtId="0" fontId="1" fillId="27" borderId="14" xfId="0" applyFont="1" applyFill="1" applyBorder="1" applyAlignment="1" applyProtection="1">
      <alignment horizontal="center"/>
      <protection hidden="1"/>
    </xf>
    <xf numFmtId="0" fontId="1" fillId="22" borderId="14" xfId="0" applyFont="1" applyFill="1" applyBorder="1" applyProtection="1">
      <protection hidden="1"/>
    </xf>
    <xf numFmtId="0" fontId="1" fillId="17" borderId="15" xfId="0" applyFont="1" applyFill="1" applyBorder="1" applyProtection="1">
      <protection hidden="1"/>
    </xf>
    <xf numFmtId="0" fontId="1" fillId="17" borderId="16" xfId="0" applyFont="1" applyFill="1" applyBorder="1" applyProtection="1">
      <protection hidden="1"/>
    </xf>
    <xf numFmtId="0" fontId="1" fillId="17" borderId="17" xfId="0" applyFont="1" applyFill="1" applyBorder="1" applyProtection="1">
      <protection hidden="1"/>
    </xf>
    <xf numFmtId="0" fontId="1" fillId="24" borderId="17" xfId="0" applyFont="1" applyFill="1" applyBorder="1" applyProtection="1">
      <protection hidden="1"/>
    </xf>
    <xf numFmtId="0" fontId="1" fillId="27" borderId="17" xfId="0" applyFont="1" applyFill="1" applyBorder="1" applyProtection="1">
      <protection hidden="1"/>
    </xf>
    <xf numFmtId="0" fontId="1" fillId="0" borderId="16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4" xfId="0" applyFont="1" applyBorder="1" applyProtection="1">
      <protection hidden="1"/>
    </xf>
    <xf numFmtId="0" fontId="1" fillId="30" borderId="21" xfId="0" applyFont="1" applyFill="1" applyBorder="1" applyProtection="1">
      <protection hidden="1"/>
    </xf>
    <xf numFmtId="0" fontId="1" fillId="30" borderId="22" xfId="0" applyFont="1" applyFill="1" applyBorder="1" applyProtection="1">
      <protection hidden="1"/>
    </xf>
    <xf numFmtId="0" fontId="1" fillId="30" borderId="17" xfId="0" applyFont="1" applyFill="1" applyBorder="1" applyProtection="1">
      <protection hidden="1"/>
    </xf>
    <xf numFmtId="0" fontId="1" fillId="30" borderId="15" xfId="0" applyFont="1" applyFill="1" applyBorder="1" applyProtection="1">
      <protection hidden="1"/>
    </xf>
    <xf numFmtId="0" fontId="1" fillId="30" borderId="16" xfId="0" applyFont="1" applyFill="1" applyBorder="1" applyProtection="1">
      <protection hidden="1"/>
    </xf>
    <xf numFmtId="0" fontId="1" fillId="29" borderId="16" xfId="0" applyFont="1" applyFill="1" applyBorder="1" applyProtection="1">
      <protection hidden="1"/>
    </xf>
    <xf numFmtId="0" fontId="1" fillId="29" borderId="15" xfId="0" applyFont="1" applyFill="1" applyBorder="1" applyProtection="1">
      <protection hidden="1"/>
    </xf>
    <xf numFmtId="0" fontId="1" fillId="29" borderId="17" xfId="0" applyFont="1" applyFill="1" applyBorder="1" applyProtection="1">
      <protection hidden="1"/>
    </xf>
    <xf numFmtId="0" fontId="1" fillId="28" borderId="14" xfId="0" applyFont="1" applyFill="1" applyBorder="1" applyProtection="1">
      <protection hidden="1"/>
    </xf>
    <xf numFmtId="0" fontId="1" fillId="28" borderId="15" xfId="0" applyFont="1" applyFill="1" applyBorder="1" applyProtection="1">
      <protection hidden="1"/>
    </xf>
    <xf numFmtId="0" fontId="1" fillId="28" borderId="26" xfId="0" applyFont="1" applyFill="1" applyBorder="1" applyProtection="1">
      <protection hidden="1"/>
    </xf>
    <xf numFmtId="0" fontId="1" fillId="28" borderId="19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7" borderId="1" xfId="0" applyFont="1" applyFill="1" applyBorder="1" applyProtection="1">
      <protection hidden="1"/>
    </xf>
    <xf numFmtId="0" fontId="1" fillId="6" borderId="1" xfId="0" applyFont="1" applyFill="1" applyBorder="1" applyProtection="1">
      <protection hidden="1"/>
    </xf>
    <xf numFmtId="0" fontId="1" fillId="20" borderId="1" xfId="0" applyFont="1" applyFill="1" applyBorder="1" applyProtection="1">
      <protection hidden="1"/>
    </xf>
    <xf numFmtId="0" fontId="1" fillId="9" borderId="5" xfId="0" applyFont="1" applyFill="1" applyBorder="1" applyProtection="1">
      <protection hidden="1"/>
    </xf>
    <xf numFmtId="164" fontId="1" fillId="13" borderId="3" xfId="0" applyNumberFormat="1" applyFont="1" applyFill="1" applyBorder="1" applyProtection="1">
      <protection hidden="1"/>
    </xf>
    <xf numFmtId="0" fontId="1" fillId="10" borderId="2" xfId="0" applyFont="1" applyFill="1" applyBorder="1" applyProtection="1">
      <protection hidden="1"/>
    </xf>
    <xf numFmtId="0" fontId="1" fillId="14" borderId="5" xfId="0" applyFont="1" applyFill="1" applyBorder="1" applyProtection="1">
      <protection hidden="1"/>
    </xf>
    <xf numFmtId="0" fontId="1" fillId="14" borderId="3" xfId="0" applyFont="1" applyFill="1" applyBorder="1" applyProtection="1">
      <protection hidden="1"/>
    </xf>
    <xf numFmtId="0" fontId="1" fillId="16" borderId="2" xfId="0" applyFont="1" applyFill="1" applyBorder="1" applyProtection="1">
      <protection hidden="1"/>
    </xf>
    <xf numFmtId="0" fontId="1" fillId="16" borderId="5" xfId="0" applyFont="1" applyFill="1" applyBorder="1" applyProtection="1">
      <protection hidden="1"/>
    </xf>
    <xf numFmtId="0" fontId="1" fillId="16" borderId="12" xfId="0" applyFont="1" applyFill="1" applyBorder="1" applyProtection="1">
      <protection hidden="1"/>
    </xf>
    <xf numFmtId="0" fontId="1" fillId="6" borderId="6" xfId="0" applyFont="1" applyFill="1" applyBorder="1" applyProtection="1">
      <protection hidden="1"/>
    </xf>
    <xf numFmtId="0" fontId="1" fillId="6" borderId="3" xfId="0" applyFont="1" applyFill="1" applyBorder="1" applyProtection="1">
      <protection hidden="1"/>
    </xf>
    <xf numFmtId="0" fontId="1" fillId="6" borderId="2" xfId="0" applyFont="1" applyFill="1" applyBorder="1" applyProtection="1">
      <protection hidden="1"/>
    </xf>
    <xf numFmtId="0" fontId="1" fillId="7" borderId="9" xfId="0" applyFont="1" applyFill="1" applyBorder="1" applyProtection="1">
      <protection hidden="1"/>
    </xf>
    <xf numFmtId="0" fontId="1" fillId="6" borderId="4" xfId="0" applyFont="1" applyFill="1" applyBorder="1" applyProtection="1">
      <protection hidden="1"/>
    </xf>
    <xf numFmtId="0" fontId="1" fillId="14" borderId="1" xfId="0" applyFont="1" applyFill="1" applyBorder="1" applyProtection="1">
      <protection hidden="1"/>
    </xf>
    <xf numFmtId="0" fontId="1" fillId="8" borderId="1" xfId="0" applyFont="1" applyFill="1" applyBorder="1" applyProtection="1">
      <protection hidden="1"/>
    </xf>
    <xf numFmtId="0" fontId="1" fillId="8" borderId="2" xfId="0" applyFont="1" applyFill="1" applyBorder="1" applyProtection="1">
      <protection hidden="1"/>
    </xf>
    <xf numFmtId="164" fontId="1" fillId="8" borderId="3" xfId="0" applyNumberFormat="1" applyFont="1" applyFill="1" applyBorder="1" applyProtection="1">
      <protection hidden="1"/>
    </xf>
    <xf numFmtId="0" fontId="1" fillId="6" borderId="11" xfId="0" applyFont="1" applyFill="1" applyBorder="1" applyProtection="1">
      <protection hidden="1"/>
    </xf>
    <xf numFmtId="0" fontId="1" fillId="6" borderId="13" xfId="0" applyFont="1" applyFill="1" applyBorder="1" applyProtection="1">
      <protection hidden="1"/>
    </xf>
    <xf numFmtId="0" fontId="1" fillId="6" borderId="12" xfId="0" applyFont="1" applyFill="1" applyBorder="1" applyProtection="1">
      <protection hidden="1"/>
    </xf>
    <xf numFmtId="0" fontId="1" fillId="12" borderId="2" xfId="0" applyFont="1" applyFill="1" applyBorder="1" applyProtection="1">
      <protection hidden="1"/>
    </xf>
    <xf numFmtId="0" fontId="1" fillId="12" borderId="1" xfId="0" applyFont="1" applyFill="1" applyBorder="1" applyProtection="1">
      <protection hidden="1"/>
    </xf>
    <xf numFmtId="164" fontId="1" fillId="6" borderId="3" xfId="0" applyNumberFormat="1" applyFont="1" applyFill="1" applyBorder="1" applyProtection="1">
      <protection hidden="1"/>
    </xf>
    <xf numFmtId="0" fontId="1" fillId="9" borderId="2" xfId="0" applyFont="1" applyFill="1" applyBorder="1" applyProtection="1">
      <protection hidden="1"/>
    </xf>
    <xf numFmtId="0" fontId="1" fillId="9" borderId="3" xfId="0" applyFont="1" applyFill="1" applyBorder="1" applyProtection="1">
      <protection hidden="1"/>
    </xf>
    <xf numFmtId="0" fontId="1" fillId="2" borderId="0" xfId="0" applyFont="1" applyFill="1" applyProtection="1">
      <protection locked="0"/>
    </xf>
    <xf numFmtId="9" fontId="1" fillId="2" borderId="0" xfId="0" applyNumberFormat="1" applyFont="1" applyFill="1" applyProtection="1">
      <protection locked="0"/>
    </xf>
    <xf numFmtId="0" fontId="5" fillId="2" borderId="0" xfId="0" applyFont="1" applyFill="1" applyProtection="1">
      <protection locked="0"/>
    </xf>
    <xf numFmtId="0" fontId="5" fillId="32" borderId="1" xfId="0" applyFont="1" applyFill="1" applyBorder="1" applyProtection="1">
      <protection hidden="1"/>
    </xf>
    <xf numFmtId="164" fontId="1" fillId="2" borderId="0" xfId="0" applyNumberFormat="1" applyFont="1" applyFill="1" applyProtection="1">
      <protection hidden="1"/>
    </xf>
    <xf numFmtId="0" fontId="1" fillId="2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10" fillId="3" borderId="14" xfId="0" applyFont="1" applyFill="1" applyBorder="1" applyProtection="1">
      <protection hidden="1"/>
    </xf>
    <xf numFmtId="0" fontId="4" fillId="2" borderId="0" xfId="0" applyFont="1" applyFill="1" applyProtection="1">
      <protection hidden="1"/>
    </xf>
    <xf numFmtId="0" fontId="5" fillId="3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hidden="1"/>
    </xf>
    <xf numFmtId="0" fontId="9" fillId="3" borderId="15" xfId="0" applyFont="1" applyFill="1" applyBorder="1" applyAlignment="1" applyProtection="1">
      <alignment horizontal="left"/>
      <protection hidden="1"/>
    </xf>
    <xf numFmtId="0" fontId="9" fillId="3" borderId="17" xfId="0" applyFont="1" applyFill="1" applyBorder="1" applyAlignment="1" applyProtection="1">
      <alignment horizontal="left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8" fillId="0" borderId="16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/>
      <protection hidden="1"/>
    </xf>
    <xf numFmtId="0" fontId="17" fillId="2" borderId="0" xfId="1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1" fillId="17" borderId="15" xfId="0" applyFont="1" applyFill="1" applyBorder="1" applyAlignment="1" applyProtection="1">
      <alignment horizontal="center"/>
      <protection hidden="1"/>
    </xf>
    <xf numFmtId="0" fontId="1" fillId="17" borderId="16" xfId="0" applyFont="1" applyFill="1" applyBorder="1" applyAlignment="1" applyProtection="1">
      <alignment horizontal="center"/>
      <protection hidden="1"/>
    </xf>
    <xf numFmtId="0" fontId="1" fillId="17" borderId="17" xfId="0" applyFont="1" applyFill="1" applyBorder="1" applyAlignment="1" applyProtection="1">
      <alignment horizontal="center"/>
      <protection hidden="1"/>
    </xf>
    <xf numFmtId="0" fontId="1" fillId="4" borderId="2" xfId="0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0" fontId="16" fillId="2" borderId="0" xfId="1" applyFont="1" applyFill="1" applyBorder="1" applyAlignment="1">
      <alignment horizontal="center"/>
    </xf>
    <xf numFmtId="0" fontId="12" fillId="2" borderId="0" xfId="1" applyFont="1" applyFill="1" applyBorder="1" applyAlignment="1">
      <alignment horizontal="center"/>
    </xf>
    <xf numFmtId="0" fontId="1" fillId="18" borderId="15" xfId="0" applyFont="1" applyFill="1" applyBorder="1" applyAlignment="1" applyProtection="1">
      <alignment horizontal="center"/>
      <protection hidden="1"/>
    </xf>
    <xf numFmtId="0" fontId="1" fillId="18" borderId="16" xfId="0" applyFont="1" applyFill="1" applyBorder="1" applyAlignment="1" applyProtection="1">
      <alignment horizontal="center"/>
      <protection hidden="1"/>
    </xf>
    <xf numFmtId="0" fontId="1" fillId="18" borderId="17" xfId="0" applyFont="1" applyFill="1" applyBorder="1" applyAlignment="1" applyProtection="1">
      <alignment horizontal="center"/>
      <protection hidden="1"/>
    </xf>
    <xf numFmtId="164" fontId="1" fillId="25" borderId="16" xfId="0" applyNumberFormat="1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locked="0"/>
    </xf>
    <xf numFmtId="0" fontId="18" fillId="3" borderId="0" xfId="0" applyFont="1" applyFill="1" applyAlignment="1" applyProtection="1">
      <alignment horizontal="center" vertical="center"/>
      <protection hidden="1"/>
    </xf>
    <xf numFmtId="0" fontId="19" fillId="0" borderId="14" xfId="1" applyFont="1" applyBorder="1" applyAlignment="1" applyProtection="1">
      <alignment horizontal="center"/>
      <protection hidden="1"/>
    </xf>
    <xf numFmtId="0" fontId="13" fillId="2" borderId="0" xfId="1" applyFont="1" applyFill="1" applyBorder="1" applyAlignment="1" applyProtection="1">
      <alignment horizontal="center"/>
      <protection hidden="1"/>
    </xf>
    <xf numFmtId="0" fontId="1" fillId="21" borderId="15" xfId="0" applyFont="1" applyFill="1" applyBorder="1" applyAlignment="1" applyProtection="1">
      <alignment horizontal="center"/>
      <protection hidden="1"/>
    </xf>
    <xf numFmtId="0" fontId="1" fillId="21" borderId="16" xfId="0" applyFont="1" applyFill="1" applyBorder="1" applyAlignment="1" applyProtection="1">
      <alignment horizontal="center"/>
      <protection hidden="1"/>
    </xf>
    <xf numFmtId="0" fontId="1" fillId="21" borderId="17" xfId="0" applyFont="1" applyFill="1" applyBorder="1" applyAlignment="1" applyProtection="1">
      <alignment horizontal="center"/>
      <protection hidden="1"/>
    </xf>
    <xf numFmtId="0" fontId="1" fillId="17" borderId="15" xfId="0" applyFont="1" applyFill="1" applyBorder="1" applyAlignment="1" applyProtection="1">
      <alignment horizontal="left"/>
      <protection hidden="1"/>
    </xf>
    <xf numFmtId="0" fontId="1" fillId="17" borderId="16" xfId="0" applyFont="1" applyFill="1" applyBorder="1" applyAlignment="1" applyProtection="1">
      <alignment horizontal="left"/>
      <protection hidden="1"/>
    </xf>
    <xf numFmtId="0" fontId="1" fillId="17" borderId="17" xfId="0" applyFont="1" applyFill="1" applyBorder="1" applyAlignment="1" applyProtection="1">
      <alignment horizontal="left"/>
      <protection hidden="1"/>
    </xf>
    <xf numFmtId="0" fontId="1" fillId="26" borderId="15" xfId="0" applyFont="1" applyFill="1" applyBorder="1" applyAlignment="1" applyProtection="1">
      <alignment horizontal="left"/>
      <protection hidden="1"/>
    </xf>
    <xf numFmtId="0" fontId="1" fillId="26" borderId="16" xfId="0" applyFont="1" applyFill="1" applyBorder="1" applyAlignment="1" applyProtection="1">
      <alignment horizontal="left"/>
      <protection hidden="1"/>
    </xf>
    <xf numFmtId="0" fontId="1" fillId="26" borderId="17" xfId="0" applyFont="1" applyFill="1" applyBorder="1" applyAlignment="1" applyProtection="1">
      <alignment horizontal="left"/>
      <protection hidden="1"/>
    </xf>
    <xf numFmtId="0" fontId="1" fillId="29" borderId="15" xfId="0" applyFont="1" applyFill="1" applyBorder="1" applyAlignment="1" applyProtection="1">
      <alignment horizontal="left"/>
      <protection hidden="1"/>
    </xf>
    <xf numFmtId="0" fontId="1" fillId="29" borderId="16" xfId="0" applyFont="1" applyFill="1" applyBorder="1" applyAlignment="1" applyProtection="1">
      <alignment horizontal="left"/>
      <protection hidden="1"/>
    </xf>
    <xf numFmtId="0" fontId="1" fillId="29" borderId="17" xfId="0" applyFont="1" applyFill="1" applyBorder="1" applyAlignment="1" applyProtection="1">
      <alignment horizontal="left"/>
      <protection hidden="1"/>
    </xf>
    <xf numFmtId="0" fontId="1" fillId="23" borderId="15" xfId="0" applyFont="1" applyFill="1" applyBorder="1" applyAlignment="1" applyProtection="1">
      <alignment horizontal="left"/>
      <protection hidden="1"/>
    </xf>
    <xf numFmtId="0" fontId="1" fillId="23" borderId="16" xfId="0" applyFont="1" applyFill="1" applyBorder="1" applyAlignment="1" applyProtection="1">
      <alignment horizontal="left"/>
      <protection hidden="1"/>
    </xf>
    <xf numFmtId="0" fontId="1" fillId="23" borderId="17" xfId="0" applyFont="1" applyFill="1" applyBorder="1" applyAlignment="1" applyProtection="1">
      <alignment horizontal="left"/>
      <protection hidden="1"/>
    </xf>
    <xf numFmtId="0" fontId="14" fillId="2" borderId="0" xfId="1" applyFont="1" applyFill="1" applyBorder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17D78"/>
      <color rgb="FFD982FA"/>
      <color rgb="FFF3933D"/>
      <color rgb="FFFDE398"/>
      <color rgb="FFBEFCFD"/>
      <color rgb="FFD6D6D6"/>
      <color rgb="FFD4F878"/>
      <color rgb="FFFF9300"/>
      <color rgb="FFD883FF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6756400</xdr:colOff>
      <xdr:row>1</xdr:row>
      <xdr:rowOff>61234</xdr:rowOff>
    </xdr:from>
    <xdr:to>
      <xdr:col>7</xdr:col>
      <xdr:colOff>583432</xdr:colOff>
      <xdr:row>5</xdr:row>
      <xdr:rowOff>494917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ADBCB-3B34-BAD4-E4C9-8AEDED3C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1800" y="645434"/>
          <a:ext cx="4749799" cy="277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37za5jbz" TargetMode="External"/><Relationship Id="rId2" Type="http://schemas.openxmlformats.org/officeDocument/2006/relationships/hyperlink" Target="https://tinyurl.com/4xtsdbbd" TargetMode="External"/><Relationship Id="rId1" Type="http://schemas.openxmlformats.org/officeDocument/2006/relationships/hyperlink" Target="https://www.youtube.com/channel/UChBT5TlUeG68PKvJSg6Mkq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0283-13A3-194E-9A72-0F9C41D3602A}">
  <dimension ref="A5:T61"/>
  <sheetViews>
    <sheetView showGridLines="0" tabSelected="1" zoomScale="36" zoomScaleNormal="50" workbookViewId="0">
      <selection activeCell="Z17" sqref="Z17"/>
    </sheetView>
  </sheetViews>
  <sheetFormatPr baseColWidth="10" defaultColWidth="10.83203125" defaultRowHeight="45"/>
  <cols>
    <col min="1" max="1" width="10.83203125" style="1"/>
    <col min="2" max="2" width="143.5" style="1" bestFit="1" customWidth="1"/>
    <col min="3" max="3" width="56.83203125" style="1" customWidth="1"/>
    <col min="4" max="4" width="56" style="1" customWidth="1"/>
    <col min="5" max="5" width="5.5" style="1" customWidth="1"/>
    <col min="6" max="6" width="1.5" style="1" customWidth="1"/>
    <col min="7" max="7" width="143" style="1" customWidth="1"/>
    <col min="8" max="8" width="46.1640625" style="1" customWidth="1"/>
    <col min="9" max="9" width="35.1640625" style="1" customWidth="1"/>
    <col min="10" max="10" width="19.83203125" style="1" bestFit="1" customWidth="1"/>
    <col min="11" max="11" width="82.83203125" style="1" bestFit="1" customWidth="1"/>
    <col min="12" max="12" width="42.83203125" style="1" bestFit="1" customWidth="1"/>
    <col min="13" max="13" width="42.5" style="1" customWidth="1"/>
    <col min="14" max="14" width="39.83203125" style="1" customWidth="1"/>
    <col min="15" max="15" width="10.83203125" style="1"/>
    <col min="16" max="16" width="79.5" style="1" bestFit="1" customWidth="1"/>
    <col min="17" max="17" width="31.1640625" style="1" customWidth="1"/>
    <col min="18" max="18" width="42.5" style="1" customWidth="1"/>
    <col min="19" max="19" width="50.1640625" style="1" customWidth="1"/>
    <col min="20" max="16384" width="10.83203125" style="1"/>
  </cols>
  <sheetData>
    <row r="5" spans="1:20">
      <c r="G5" s="86" t="s">
        <v>56</v>
      </c>
    </row>
    <row r="6" spans="1:20" ht="46" thickBot="1"/>
    <row r="7" spans="1:20" ht="47" thickTop="1" thickBot="1">
      <c r="B7" s="87" t="s">
        <v>2</v>
      </c>
      <c r="C7" s="137"/>
      <c r="D7" s="138"/>
      <c r="G7" s="126" t="s">
        <v>55</v>
      </c>
      <c r="H7" s="127"/>
      <c r="I7" s="128" t="s">
        <v>54</v>
      </c>
      <c r="J7" s="129"/>
      <c r="K7" s="130"/>
      <c r="L7" s="57"/>
      <c r="M7" s="57"/>
    </row>
    <row r="8" spans="1:20" ht="47" thickTop="1" thickBot="1">
      <c r="B8" s="88" t="s">
        <v>3</v>
      </c>
      <c r="C8" s="2"/>
      <c r="D8" s="32" t="s">
        <v>22</v>
      </c>
      <c r="I8" s="58"/>
    </row>
    <row r="9" spans="1:20" ht="47" thickTop="1" thickBot="1">
      <c r="B9" s="89" t="s">
        <v>51</v>
      </c>
      <c r="C9" s="2"/>
      <c r="D9" s="32" t="s">
        <v>22</v>
      </c>
    </row>
    <row r="10" spans="1:20" ht="47" thickTop="1" thickBot="1">
      <c r="A10" s="3"/>
      <c r="C10" s="4"/>
      <c r="D10" s="5"/>
    </row>
    <row r="11" spans="1:20" ht="47" thickTop="1" thickBot="1">
      <c r="A11" s="3"/>
      <c r="B11" s="90" t="s">
        <v>42</v>
      </c>
      <c r="C11" s="91"/>
      <c r="D11" s="6"/>
      <c r="G11" s="124" t="s">
        <v>67</v>
      </c>
      <c r="H11" s="124"/>
      <c r="K11" s="134" t="s">
        <v>34</v>
      </c>
      <c r="L11" s="135"/>
      <c r="M11" s="135"/>
      <c r="N11" s="136"/>
      <c r="P11" s="141" t="s">
        <v>66</v>
      </c>
      <c r="Q11" s="142"/>
      <c r="R11" s="142"/>
      <c r="S11" s="143"/>
    </row>
    <row r="12" spans="1:20" ht="47" thickTop="1" thickBot="1">
      <c r="A12" s="3"/>
      <c r="D12" s="7"/>
      <c r="K12" s="149" t="s">
        <v>32</v>
      </c>
      <c r="L12" s="150"/>
      <c r="M12" s="150"/>
      <c r="N12" s="151"/>
      <c r="O12" s="8"/>
      <c r="P12" s="9"/>
      <c r="Q12" s="10"/>
      <c r="R12" s="10"/>
      <c r="S12" s="11"/>
    </row>
    <row r="13" spans="1:20" ht="47" thickTop="1" thickBot="1">
      <c r="B13" s="92" t="s">
        <v>1</v>
      </c>
      <c r="C13" s="93"/>
      <c r="D13" s="94"/>
      <c r="G13" s="61" t="s">
        <v>68</v>
      </c>
      <c r="H13" s="37">
        <f>IF(D57&lt;=500000,0,N33)</f>
        <v>0</v>
      </c>
      <c r="J13" s="12"/>
      <c r="K13" s="62" t="s">
        <v>27</v>
      </c>
      <c r="L13" s="55">
        <f>IF(C8&lt;60,D57,0)</f>
        <v>0</v>
      </c>
      <c r="M13" s="13"/>
      <c r="N13" s="14"/>
      <c r="O13" s="8"/>
      <c r="P13" s="73" t="s">
        <v>60</v>
      </c>
      <c r="Q13" s="144">
        <f>D11-C49</f>
        <v>0</v>
      </c>
      <c r="R13" s="144"/>
      <c r="S13" s="15"/>
      <c r="T13" s="16"/>
    </row>
    <row r="14" spans="1:20" ht="47" thickTop="1" thickBot="1">
      <c r="A14" s="3"/>
      <c r="C14" s="4"/>
      <c r="D14" s="17"/>
      <c r="H14" s="18"/>
      <c r="K14" s="63" t="s">
        <v>28</v>
      </c>
      <c r="L14" s="64" t="s">
        <v>29</v>
      </c>
      <c r="M14" s="64" t="s">
        <v>30</v>
      </c>
      <c r="N14" s="64" t="s">
        <v>31</v>
      </c>
      <c r="P14" s="63" t="s">
        <v>28</v>
      </c>
      <c r="Q14" s="64" t="s">
        <v>29</v>
      </c>
      <c r="R14" s="64" t="s">
        <v>30</v>
      </c>
      <c r="S14" s="64" t="s">
        <v>31</v>
      </c>
    </row>
    <row r="15" spans="1:20" ht="47" thickTop="1" thickBot="1">
      <c r="B15" s="95" t="s">
        <v>0</v>
      </c>
      <c r="C15" s="96"/>
      <c r="D15" s="97"/>
      <c r="G15" s="118" t="s">
        <v>69</v>
      </c>
      <c r="H15" s="37">
        <f>IF(Q13&lt;=700000,0,S33)</f>
        <v>0</v>
      </c>
      <c r="K15" s="65" t="s">
        <v>23</v>
      </c>
      <c r="L15" s="49">
        <v>0</v>
      </c>
      <c r="M15" s="38">
        <f>IF(L13&gt;250000,250000,L13)</f>
        <v>0</v>
      </c>
      <c r="N15" s="38">
        <f>M15*L15</f>
        <v>0</v>
      </c>
      <c r="P15" s="82" t="s">
        <v>57</v>
      </c>
      <c r="Q15" s="52">
        <v>0</v>
      </c>
      <c r="R15" s="38">
        <f>IF(Q13&gt;300000,300000,Q13)</f>
        <v>0</v>
      </c>
      <c r="S15" s="38">
        <f>R15*Q15</f>
        <v>0</v>
      </c>
    </row>
    <row r="16" spans="1:20" ht="47" thickTop="1" thickBot="1">
      <c r="B16" s="98" t="s">
        <v>43</v>
      </c>
      <c r="C16" s="99"/>
      <c r="D16" s="3"/>
      <c r="K16" s="65" t="s">
        <v>24</v>
      </c>
      <c r="L16" s="50">
        <v>0.05</v>
      </c>
      <c r="M16" s="39">
        <f>IF(L13&lt;=250000,0,IF(L13&gt;500000,250000,L13-250000))</f>
        <v>0</v>
      </c>
      <c r="N16" s="38">
        <f>M16*L16</f>
        <v>0</v>
      </c>
      <c r="P16" s="82" t="s">
        <v>62</v>
      </c>
      <c r="Q16" s="52">
        <v>0.05</v>
      </c>
      <c r="R16" s="46">
        <f>IF(Q13&lt;=300000,0,IF(Q13&gt;700000,400000,Q13-300000))</f>
        <v>0</v>
      </c>
      <c r="S16" s="38">
        <f t="shared" ref="S16:S21" si="0">R16*Q16</f>
        <v>0</v>
      </c>
    </row>
    <row r="17" spans="1:20" ht="47" thickTop="1" thickBot="1">
      <c r="B17" s="87" t="s">
        <v>6</v>
      </c>
      <c r="C17" s="19">
        <v>0</v>
      </c>
      <c r="D17" s="3"/>
      <c r="G17" s="120"/>
      <c r="H17" s="119"/>
      <c r="I17" s="120"/>
      <c r="K17" s="65" t="s">
        <v>25</v>
      </c>
      <c r="L17" s="49">
        <v>0.2</v>
      </c>
      <c r="M17" s="38">
        <f>IF(L13&lt;=500000,0,IF(L13&gt;1000000,500000,L13-500000))</f>
        <v>0</v>
      </c>
      <c r="N17" s="38">
        <f>M17*L17</f>
        <v>0</v>
      </c>
      <c r="O17" s="8"/>
      <c r="P17" s="83" t="s">
        <v>63</v>
      </c>
      <c r="Q17" s="53">
        <v>0.1</v>
      </c>
      <c r="R17" s="48">
        <f>IF(Q13&lt;=700000,0,IF(Q13&gt;1000000,300000,Q13-700000))</f>
        <v>0</v>
      </c>
      <c r="S17" s="47">
        <f t="shared" si="0"/>
        <v>0</v>
      </c>
    </row>
    <row r="18" spans="1:20" ht="47" thickTop="1" thickBot="1">
      <c r="B18" s="100" t="s">
        <v>7</v>
      </c>
      <c r="C18" s="6">
        <v>0</v>
      </c>
      <c r="D18" s="3"/>
      <c r="G18" s="120"/>
      <c r="H18" s="120"/>
      <c r="I18" s="120"/>
      <c r="K18" s="65" t="s">
        <v>26</v>
      </c>
      <c r="L18" s="49">
        <v>0.3</v>
      </c>
      <c r="M18" s="38">
        <f>IF(L13&lt;=1000000,0,L13-1000000)</f>
        <v>0</v>
      </c>
      <c r="N18" s="38">
        <f>M18*L18</f>
        <v>0</v>
      </c>
      <c r="P18" s="84" t="s">
        <v>64</v>
      </c>
      <c r="Q18" s="52">
        <v>0.15</v>
      </c>
      <c r="R18" s="38">
        <f>IF(Q13&lt;=1000000,0,IF(Q13&gt;1200000,200000,Q13-1000000))</f>
        <v>0</v>
      </c>
      <c r="S18" s="46">
        <f t="shared" si="0"/>
        <v>0</v>
      </c>
    </row>
    <row r="19" spans="1:20" ht="47" thickTop="1" thickBot="1">
      <c r="B19" s="101" t="s">
        <v>8</v>
      </c>
      <c r="C19" s="6"/>
      <c r="D19" s="3"/>
      <c r="G19" s="146" t="s">
        <v>70</v>
      </c>
      <c r="H19" s="146"/>
      <c r="I19" s="120"/>
      <c r="K19" s="66" t="s">
        <v>36</v>
      </c>
      <c r="L19" s="67"/>
      <c r="M19" s="68"/>
      <c r="N19" s="40">
        <f>N15+N16+N17+N18</f>
        <v>0</v>
      </c>
      <c r="P19" s="85" t="s">
        <v>58</v>
      </c>
      <c r="Q19" s="49">
        <v>0.2</v>
      </c>
      <c r="R19" s="46">
        <f>IF(Q13&lt;=1200000,0,IF(Q13&gt;1500000,300000,Q13-1200000))</f>
        <v>0</v>
      </c>
      <c r="S19" s="46">
        <f t="shared" si="0"/>
        <v>0</v>
      </c>
    </row>
    <row r="20" spans="1:20" ht="47" thickTop="1" thickBot="1">
      <c r="B20" s="88" t="s">
        <v>9</v>
      </c>
      <c r="C20" s="6">
        <v>0</v>
      </c>
      <c r="D20" s="3"/>
      <c r="G20" s="146"/>
      <c r="H20" s="146"/>
      <c r="I20" s="123"/>
      <c r="J20" s="12"/>
      <c r="N20" s="11"/>
      <c r="P20" s="83" t="s">
        <v>59</v>
      </c>
      <c r="Q20" s="49">
        <v>0</v>
      </c>
      <c r="R20" s="46">
        <v>0</v>
      </c>
      <c r="S20" s="46">
        <f t="shared" si="0"/>
        <v>0</v>
      </c>
    </row>
    <row r="21" spans="1:20" ht="47" thickTop="1" thickBot="1">
      <c r="B21" s="87" t="s">
        <v>15</v>
      </c>
      <c r="C21" s="20">
        <v>0</v>
      </c>
      <c r="D21" s="3"/>
      <c r="G21" s="120"/>
      <c r="H21" s="120"/>
      <c r="I21" s="120"/>
      <c r="J21" s="59"/>
      <c r="K21" s="150" t="s">
        <v>33</v>
      </c>
      <c r="L21" s="150"/>
      <c r="M21" s="150"/>
      <c r="N21" s="151"/>
      <c r="O21" s="8"/>
      <c r="P21" s="82" t="s">
        <v>35</v>
      </c>
      <c r="Q21" s="54">
        <v>0.3</v>
      </c>
      <c r="R21" s="45">
        <f>IF(Q13&lt;=1500000,0,Q13-1500000)</f>
        <v>0</v>
      </c>
      <c r="S21" s="45">
        <f t="shared" si="0"/>
        <v>0</v>
      </c>
    </row>
    <row r="22" spans="1:20" ht="49" thickTop="1" thickBot="1">
      <c r="B22" s="102" t="s">
        <v>10</v>
      </c>
      <c r="C22" s="6">
        <v>0</v>
      </c>
      <c r="D22" s="3"/>
      <c r="G22" s="122" t="s">
        <v>71</v>
      </c>
      <c r="H22" s="147" t="s">
        <v>72</v>
      </c>
      <c r="I22" s="147"/>
      <c r="J22" s="3"/>
      <c r="K22" s="69" t="s">
        <v>27</v>
      </c>
      <c r="L22" s="56">
        <f>IF(C8&gt;=60,D57,0)</f>
        <v>0</v>
      </c>
      <c r="M22" s="15"/>
      <c r="N22" s="21"/>
      <c r="O22" s="8"/>
      <c r="P22" s="80" t="s">
        <v>36</v>
      </c>
      <c r="Q22" s="79"/>
      <c r="R22" s="81"/>
      <c r="S22" s="41">
        <f>S15+S16+S17+S18+S19+S20+S21</f>
        <v>0</v>
      </c>
    </row>
    <row r="23" spans="1:20" ht="49" thickTop="1" thickBot="1">
      <c r="B23" s="87" t="s">
        <v>11</v>
      </c>
      <c r="C23" s="20">
        <v>0</v>
      </c>
      <c r="D23" s="3"/>
      <c r="G23" s="122" t="s">
        <v>73</v>
      </c>
      <c r="H23" s="147" t="s">
        <v>74</v>
      </c>
      <c r="I23" s="147"/>
      <c r="J23" s="3"/>
      <c r="K23" s="70" t="s">
        <v>28</v>
      </c>
      <c r="L23" s="64" t="s">
        <v>29</v>
      </c>
      <c r="M23" s="64" t="s">
        <v>30</v>
      </c>
      <c r="N23" s="64" t="s">
        <v>31</v>
      </c>
      <c r="O23" s="8"/>
      <c r="S23" s="22"/>
    </row>
    <row r="24" spans="1:20" ht="49" thickTop="1" thickBot="1">
      <c r="B24" s="102" t="s">
        <v>12</v>
      </c>
      <c r="C24" s="6">
        <v>0</v>
      </c>
      <c r="D24" s="3"/>
      <c r="G24" s="121"/>
      <c r="H24" s="148"/>
      <c r="I24" s="148"/>
      <c r="J24" s="60"/>
      <c r="K24" s="71" t="s">
        <v>23</v>
      </c>
      <c r="L24" s="50">
        <v>0</v>
      </c>
      <c r="M24" s="39">
        <f>IF(L22&gt;300000,300000,L22)</f>
        <v>0</v>
      </c>
      <c r="N24" s="38">
        <f>M24*L24</f>
        <v>0</v>
      </c>
      <c r="O24" s="8"/>
      <c r="S24" s="12"/>
    </row>
    <row r="25" spans="1:20" ht="49" thickTop="1" thickBot="1">
      <c r="B25" s="87" t="s">
        <v>13</v>
      </c>
      <c r="C25" s="20">
        <v>0</v>
      </c>
      <c r="D25" s="3"/>
      <c r="G25" s="121"/>
      <c r="H25" s="164"/>
      <c r="I25" s="165"/>
      <c r="K25" s="72" t="s">
        <v>24</v>
      </c>
      <c r="L25" s="49">
        <v>0.05</v>
      </c>
      <c r="M25" s="38">
        <f>IF(L22&lt;=250000,0,IF(L22&gt;500000,200000,L22-300000))</f>
        <v>0</v>
      </c>
      <c r="N25" s="38">
        <f>M25*L25</f>
        <v>0</v>
      </c>
      <c r="O25" s="8"/>
      <c r="S25" s="12"/>
    </row>
    <row r="26" spans="1:20" ht="47" thickTop="1" thickBot="1">
      <c r="B26" s="88" t="s">
        <v>14</v>
      </c>
      <c r="C26" s="19">
        <v>0</v>
      </c>
      <c r="D26" s="3"/>
      <c r="G26" s="116"/>
      <c r="H26" s="115"/>
      <c r="I26" s="115"/>
      <c r="K26" s="72" t="s">
        <v>25</v>
      </c>
      <c r="L26" s="49">
        <v>0.2</v>
      </c>
      <c r="M26" s="38">
        <f>IF(L22&lt;=500000,0,IF(L22&gt;1000000,500000,L22-500000))</f>
        <v>0</v>
      </c>
      <c r="N26" s="38">
        <f>M26*L26</f>
        <v>0</v>
      </c>
      <c r="O26" s="8"/>
      <c r="S26" s="12"/>
    </row>
    <row r="27" spans="1:20" ht="47" thickTop="1" thickBot="1">
      <c r="B27" s="103" t="s">
        <v>21</v>
      </c>
      <c r="C27" s="33">
        <f>IF(SUM(C17:C26)&lt;=150000,SUM(C17:C26),150000)</f>
        <v>0</v>
      </c>
      <c r="D27" s="3"/>
      <c r="G27" s="116"/>
      <c r="H27" s="115"/>
      <c r="I27" s="115"/>
      <c r="K27" s="73" t="s">
        <v>26</v>
      </c>
      <c r="L27" s="51">
        <v>0.3</v>
      </c>
      <c r="M27" s="38">
        <f>IF(L22&lt;=1000000,0,L22-1000000)</f>
        <v>0</v>
      </c>
      <c r="N27" s="38">
        <f>M27*L27</f>
        <v>0</v>
      </c>
      <c r="O27" s="8"/>
      <c r="S27" s="12"/>
    </row>
    <row r="28" spans="1:20" ht="49" thickTop="1" thickBot="1">
      <c r="A28" s="3"/>
      <c r="C28" s="24"/>
      <c r="D28" s="3"/>
      <c r="G28" s="121"/>
      <c r="H28" s="139"/>
      <c r="I28" s="139"/>
      <c r="K28" s="72" t="s">
        <v>36</v>
      </c>
      <c r="L28" s="10"/>
      <c r="M28" s="11"/>
      <c r="N28" s="41">
        <f>N24+N25+N26+N27</f>
        <v>0</v>
      </c>
      <c r="O28" s="8"/>
      <c r="S28" s="12"/>
    </row>
    <row r="29" spans="1:20" ht="49" thickTop="1" thickBot="1">
      <c r="B29" s="104" t="s">
        <v>17</v>
      </c>
      <c r="C29" s="6"/>
      <c r="D29" s="3"/>
      <c r="G29" s="121"/>
      <c r="H29" s="140"/>
      <c r="I29" s="140"/>
      <c r="J29" s="12"/>
      <c r="N29" s="11"/>
      <c r="O29" s="8"/>
      <c r="S29" s="25"/>
    </row>
    <row r="30" spans="1:20" ht="47" thickTop="1" thickBot="1">
      <c r="A30" s="3"/>
      <c r="C30" s="24"/>
      <c r="D30" s="3"/>
      <c r="G30" s="116"/>
      <c r="H30" s="115"/>
      <c r="I30" s="115"/>
      <c r="K30" s="152" t="s">
        <v>38</v>
      </c>
      <c r="L30" s="153"/>
      <c r="M30" s="154"/>
      <c r="N30" s="42">
        <f>IF(C8&lt;60,IF(N19&lt;=12500,0,N19),IF(N28&lt;=10000,0,N28))</f>
        <v>0</v>
      </c>
      <c r="P30" s="158" t="s">
        <v>61</v>
      </c>
      <c r="Q30" s="159"/>
      <c r="R30" s="160"/>
      <c r="S30" s="41">
        <f>S22</f>
        <v>0</v>
      </c>
    </row>
    <row r="31" spans="1:20" ht="47" thickTop="1" thickBot="1">
      <c r="A31" s="3"/>
      <c r="B31" s="105" t="s">
        <v>52</v>
      </c>
      <c r="C31" s="106"/>
      <c r="D31" s="34">
        <f>C27+IF(C29&lt;=50000,C29,50000)</f>
        <v>0</v>
      </c>
      <c r="G31" s="23"/>
      <c r="K31" s="74" t="s">
        <v>37</v>
      </c>
      <c r="L31" s="75"/>
      <c r="M31" s="76"/>
      <c r="N31" s="43">
        <f>N30*4%</f>
        <v>0</v>
      </c>
      <c r="P31" s="77" t="s">
        <v>37</v>
      </c>
      <c r="Q31" s="78"/>
      <c r="R31" s="76"/>
      <c r="S31" s="43">
        <f>S30*4%</f>
        <v>0</v>
      </c>
    </row>
    <row r="32" spans="1:20" ht="47" thickTop="1" thickBot="1">
      <c r="A32" s="3"/>
      <c r="D32" s="17"/>
      <c r="J32" s="12"/>
      <c r="N32" s="11"/>
      <c r="O32" s="8"/>
      <c r="S32" s="10"/>
      <c r="T32" s="16"/>
    </row>
    <row r="33" spans="1:20" ht="47" thickTop="1" thickBot="1">
      <c r="B33" s="88" t="s">
        <v>18</v>
      </c>
      <c r="C33" s="19"/>
      <c r="D33" s="34">
        <f>C33</f>
        <v>0</v>
      </c>
      <c r="J33" s="12"/>
      <c r="K33" s="155" t="s">
        <v>39</v>
      </c>
      <c r="L33" s="156"/>
      <c r="M33" s="157"/>
      <c r="N33" s="41">
        <f>N30+N31</f>
        <v>0</v>
      </c>
      <c r="O33" s="8"/>
      <c r="P33" s="161" t="s">
        <v>65</v>
      </c>
      <c r="Q33" s="162"/>
      <c r="R33" s="163"/>
      <c r="S33" s="44">
        <f>S30+S31</f>
        <v>0</v>
      </c>
      <c r="T33" s="16"/>
    </row>
    <row r="34" spans="1:20" ht="47" thickTop="1" thickBot="1">
      <c r="A34" s="3"/>
      <c r="C34" s="26"/>
      <c r="D34" s="27"/>
    </row>
    <row r="35" spans="1:20" ht="47" thickTop="1" thickBot="1">
      <c r="B35" s="88" t="s">
        <v>16</v>
      </c>
      <c r="C35" s="6">
        <v>0</v>
      </c>
      <c r="D35" s="33">
        <f>C35</f>
        <v>0</v>
      </c>
      <c r="G35" s="115"/>
      <c r="H35" s="115"/>
      <c r="I35" s="115"/>
      <c r="J35" s="117"/>
      <c r="K35" s="117"/>
    </row>
    <row r="36" spans="1:20" ht="47" thickTop="1" thickBot="1">
      <c r="A36" s="3"/>
      <c r="C36" s="26"/>
      <c r="D36" s="28"/>
      <c r="G36" s="120"/>
      <c r="H36" s="115"/>
      <c r="I36" s="115"/>
      <c r="J36" s="115"/>
      <c r="K36" s="115"/>
    </row>
    <row r="37" spans="1:20" ht="49" thickTop="1" thickBot="1">
      <c r="A37" s="3"/>
      <c r="B37" s="88" t="s">
        <v>44</v>
      </c>
      <c r="C37" s="6">
        <v>0</v>
      </c>
      <c r="D37" s="34">
        <f>IF(C37&lt;150000,C37,150000)</f>
        <v>0</v>
      </c>
      <c r="G37" s="120"/>
      <c r="H37" s="131"/>
      <c r="I37" s="132"/>
      <c r="J37" s="132"/>
      <c r="K37" s="132"/>
    </row>
    <row r="38" spans="1:20" ht="49" thickTop="1" thickBot="1">
      <c r="A38" s="3"/>
      <c r="B38" s="29"/>
      <c r="C38" s="30"/>
      <c r="D38" s="24"/>
      <c r="G38" s="120"/>
      <c r="H38" s="131"/>
      <c r="I38" s="132"/>
      <c r="J38" s="132"/>
      <c r="K38" s="132"/>
    </row>
    <row r="39" spans="1:20" ht="49" thickTop="1" thickBot="1">
      <c r="B39" s="107" t="s">
        <v>41</v>
      </c>
      <c r="C39" s="108"/>
      <c r="D39" s="109"/>
      <c r="G39" s="120"/>
      <c r="H39" s="131"/>
      <c r="I39" s="132"/>
      <c r="J39" s="132"/>
      <c r="K39" s="132"/>
    </row>
    <row r="40" spans="1:20" ht="47" thickTop="1" thickBot="1">
      <c r="B40" s="110" t="s">
        <v>4</v>
      </c>
      <c r="C40" s="6"/>
      <c r="D40" s="3"/>
      <c r="G40" s="115"/>
      <c r="H40" s="145"/>
      <c r="I40" s="145"/>
      <c r="J40" s="145"/>
      <c r="K40" s="145"/>
    </row>
    <row r="41" spans="1:20" ht="47" thickTop="1" thickBot="1">
      <c r="B41" s="111" t="s">
        <v>5</v>
      </c>
      <c r="C41" s="31">
        <v>0</v>
      </c>
      <c r="D41" s="7"/>
      <c r="G41" s="115"/>
      <c r="H41" s="115"/>
      <c r="I41" s="115"/>
      <c r="J41" s="115"/>
      <c r="K41" s="115"/>
    </row>
    <row r="42" spans="1:20" ht="47" thickTop="1" thickBot="1">
      <c r="B42" s="100" t="s">
        <v>20</v>
      </c>
      <c r="C42" s="112"/>
      <c r="D42" s="35">
        <f>IF(C8&lt;60,IF(C40&lt;=25000,C40,25000),IF(C8&gt;=60,IF(C40&lt;=50000,C40,50000)))+IF(C9&lt;60,IF(C41&lt;=25000,C41,25000),IF(C9&gt;=60,IF(C41&lt;=50000,C41,50000)))</f>
        <v>0</v>
      </c>
    </row>
    <row r="43" spans="1:20" ht="46" thickTop="1">
      <c r="A43" s="3"/>
      <c r="D43" s="5"/>
    </row>
    <row r="44" spans="1:20" ht="46" thickBot="1">
      <c r="A44" s="3"/>
      <c r="D44" s="3"/>
    </row>
    <row r="45" spans="1:20" ht="47" thickTop="1" thickBot="1">
      <c r="A45" s="3"/>
      <c r="B45" s="99" t="s">
        <v>19</v>
      </c>
      <c r="C45" s="6"/>
      <c r="D45" s="34">
        <f>IF(C45&lt;200000,C45,200000)</f>
        <v>0</v>
      </c>
    </row>
    <row r="46" spans="1:20" ht="47" thickTop="1" thickBot="1">
      <c r="A46" s="3"/>
      <c r="D46" s="7"/>
    </row>
    <row r="47" spans="1:20" ht="47" thickTop="1" thickBot="1">
      <c r="A47" s="3"/>
      <c r="B47" s="99" t="s">
        <v>45</v>
      </c>
      <c r="C47" s="6">
        <v>0</v>
      </c>
      <c r="D47" s="34">
        <f>IF(C47&lt;150000,C47,150000)</f>
        <v>0</v>
      </c>
    </row>
    <row r="48" spans="1:20" ht="47" thickTop="1" thickBot="1">
      <c r="A48" s="3"/>
      <c r="D48" s="7"/>
    </row>
    <row r="49" spans="1:9" ht="47" thickTop="1" thickBot="1">
      <c r="A49" s="3"/>
      <c r="B49" s="88" t="s">
        <v>46</v>
      </c>
      <c r="C49" s="6"/>
      <c r="D49" s="34">
        <f>IF(C49&lt;50000,C49,50000)</f>
        <v>0</v>
      </c>
    </row>
    <row r="50" spans="1:9" ht="47" thickTop="1" thickBot="1">
      <c r="A50" s="3"/>
      <c r="D50" s="3"/>
    </row>
    <row r="51" spans="1:9" ht="47" thickTop="1" thickBot="1">
      <c r="A51" s="3"/>
      <c r="B51" s="88" t="s">
        <v>47</v>
      </c>
      <c r="C51" s="6">
        <v>0</v>
      </c>
      <c r="D51" s="34">
        <f>C51</f>
        <v>0</v>
      </c>
    </row>
    <row r="52" spans="1:9" ht="47" thickTop="1" thickBot="1">
      <c r="A52" s="3"/>
      <c r="D52" s="17"/>
    </row>
    <row r="53" spans="1:9" ht="47" thickTop="1" thickBot="1">
      <c r="A53" s="3"/>
      <c r="B53" s="88" t="s">
        <v>48</v>
      </c>
      <c r="C53" s="6">
        <v>0</v>
      </c>
      <c r="D53" s="34">
        <f>C53</f>
        <v>0</v>
      </c>
    </row>
    <row r="54" spans="1:9" ht="47" thickTop="1" thickBot="1">
      <c r="A54" s="3"/>
      <c r="D54" s="3"/>
    </row>
    <row r="55" spans="1:9" ht="47" thickTop="1" thickBot="1">
      <c r="A55" s="3"/>
      <c r="B55" s="113" t="s">
        <v>49</v>
      </c>
      <c r="C55" s="114"/>
      <c r="D55" s="34">
        <f>D31+D33+D35+D37+D42+D45+D47+D49+D51+D53</f>
        <v>0</v>
      </c>
    </row>
    <row r="56" spans="1:9" ht="47" thickTop="1" thickBot="1">
      <c r="A56" s="3"/>
      <c r="D56" s="3"/>
    </row>
    <row r="57" spans="1:9" ht="47" thickTop="1" thickBot="1">
      <c r="A57" s="3"/>
      <c r="B57" s="113" t="s">
        <v>50</v>
      </c>
      <c r="C57" s="114"/>
      <c r="D57" s="36">
        <f>D11-D55</f>
        <v>0</v>
      </c>
    </row>
    <row r="58" spans="1:9" ht="46" thickTop="1"/>
    <row r="60" spans="1:9" ht="35" customHeight="1">
      <c r="B60" s="133" t="s">
        <v>40</v>
      </c>
      <c r="C60" s="133"/>
      <c r="D60" s="133"/>
      <c r="E60" s="133"/>
      <c r="F60" s="133"/>
      <c r="G60" s="133"/>
      <c r="H60" s="133"/>
      <c r="I60" s="133"/>
    </row>
    <row r="61" spans="1:9">
      <c r="B61" s="125" t="s">
        <v>53</v>
      </c>
      <c r="C61" s="125"/>
    </row>
  </sheetData>
  <sheetProtection algorithmName="SHA-512" hashValue="lWfEHgWmUqLHGIalvYq6jlV+OpJ8LoBh3oZsN6zsXoZMitVXHUwgopFUYMIkVAmbyf2/Opt/PNSmEV3L+KaVTQ==" saltValue="vLHH9QEx4vsxkSV/aHSumQ==" spinCount="100000" sheet="1" objects="1" scenarios="1"/>
  <mergeCells count="26">
    <mergeCell ref="P11:S11"/>
    <mergeCell ref="Q13:R13"/>
    <mergeCell ref="H38:K38"/>
    <mergeCell ref="H40:K40"/>
    <mergeCell ref="H39:K39"/>
    <mergeCell ref="G19:H20"/>
    <mergeCell ref="H22:I22"/>
    <mergeCell ref="H24:I24"/>
    <mergeCell ref="H23:I23"/>
    <mergeCell ref="K12:N12"/>
    <mergeCell ref="K30:M30"/>
    <mergeCell ref="K33:M33"/>
    <mergeCell ref="P30:R30"/>
    <mergeCell ref="P33:R33"/>
    <mergeCell ref="K21:N21"/>
    <mergeCell ref="H25:I25"/>
    <mergeCell ref="G11:H11"/>
    <mergeCell ref="B61:C61"/>
    <mergeCell ref="G7:H7"/>
    <mergeCell ref="I7:K7"/>
    <mergeCell ref="H37:K37"/>
    <mergeCell ref="B60:I60"/>
    <mergeCell ref="K11:N11"/>
    <mergeCell ref="C7:D7"/>
    <mergeCell ref="H28:I28"/>
    <mergeCell ref="H29:I29"/>
  </mergeCells>
  <hyperlinks>
    <hyperlink ref="I7" r:id="rId1" xr:uid="{7099EA9C-061A-1447-AF09-8386B411FD6F}"/>
    <hyperlink ref="H22" r:id="rId2" xr:uid="{C0A69BC4-FFD2-D54E-888E-76FF56F2B113}"/>
    <hyperlink ref="H23" r:id="rId3" xr:uid="{ADDFDCD9-2BCF-8B4C-9EDE-85DFDCAA358B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TAX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Raise Basha Naik</cp:lastModifiedBy>
  <dcterms:created xsi:type="dcterms:W3CDTF">2020-11-22T13:25:26Z</dcterms:created>
  <dcterms:modified xsi:type="dcterms:W3CDTF">2024-07-23T10:42:00Z</dcterms:modified>
</cp:coreProperties>
</file>