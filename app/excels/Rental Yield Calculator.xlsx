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isebashanaik/Downloads/"/>
    </mc:Choice>
  </mc:AlternateContent>
  <xr:revisionPtr revIDLastSave="0" documentId="13_ncr:1_{15A427D9-14AD-8F4A-A891-74C415390FFE}" xr6:coauthVersionLast="47" xr6:coauthVersionMax="47" xr10:uidLastSave="{00000000-0000-0000-0000-000000000000}"/>
  <bookViews>
    <workbookView xWindow="0" yWindow="760" windowWidth="34560" windowHeight="19860" xr2:uid="{37DBC02E-0AD2-B24B-9C22-9D64DF1C115F}"/>
  </bookViews>
  <sheets>
    <sheet name="PROPERTY WITOUT LOAN" sheetId="1" r:id="rId1"/>
    <sheet name="PROPERTY WITH LOAN" sheetId="2" r:id="rId2"/>
    <sheet name="COMMERCIAL BUILDING" sheetId="3" r:id="rId3"/>
    <sheet name="NO FreeHold COMMERCIAL BUILDING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" i="3" l="1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8" i="3"/>
  <c r="P7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8" i="3"/>
  <c r="O7" i="3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8" i="4"/>
  <c r="Q7" i="4"/>
  <c r="M32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5" i="2"/>
  <c r="S4" i="2"/>
  <c r="T4" i="2"/>
  <c r="D28" i="2"/>
  <c r="D27" i="4"/>
  <c r="D26" i="4"/>
  <c r="D25" i="4"/>
  <c r="E11" i="4"/>
  <c r="H8" i="4"/>
  <c r="D8" i="4"/>
  <c r="D13" i="4" s="1"/>
  <c r="P7" i="4" s="1"/>
  <c r="J7" i="4"/>
  <c r="I7" i="4"/>
  <c r="Q5" i="4"/>
  <c r="I5" i="4"/>
  <c r="R5" i="3"/>
  <c r="H8" i="3"/>
  <c r="J7" i="3"/>
  <c r="I7" i="3"/>
  <c r="I5" i="3"/>
  <c r="D25" i="3"/>
  <c r="E11" i="3"/>
  <c r="D27" i="3"/>
  <c r="D26" i="3"/>
  <c r="D28" i="3" s="1"/>
  <c r="D8" i="3"/>
  <c r="D13" i="3" s="1"/>
  <c r="Q7" i="3" s="1"/>
  <c r="E18" i="2"/>
  <c r="S2" i="2"/>
  <c r="I8" i="3" l="1"/>
  <c r="P8" i="4"/>
  <c r="H9" i="3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K7" i="4"/>
  <c r="L7" i="4" s="1"/>
  <c r="I8" i="4"/>
  <c r="J8" i="4"/>
  <c r="H9" i="4"/>
  <c r="D28" i="4"/>
  <c r="K7" i="3"/>
  <c r="L7" i="3" s="1"/>
  <c r="Q8" i="3"/>
  <c r="J8" i="3"/>
  <c r="K8" i="3" s="1"/>
  <c r="P9" i="4" l="1"/>
  <c r="H33" i="3"/>
  <c r="R32" i="3"/>
  <c r="M7" i="3"/>
  <c r="M7" i="4"/>
  <c r="N7" i="4" s="1"/>
  <c r="O7" i="4" s="1"/>
  <c r="K8" i="4"/>
  <c r="L8" i="4" s="1"/>
  <c r="M8" i="4" s="1"/>
  <c r="N8" i="4" s="1"/>
  <c r="O8" i="4" s="1"/>
  <c r="I9" i="4"/>
  <c r="H10" i="4"/>
  <c r="J9" i="4"/>
  <c r="J10" i="4" s="1"/>
  <c r="L8" i="3"/>
  <c r="M8" i="3" s="1"/>
  <c r="Q9" i="3"/>
  <c r="J9" i="3"/>
  <c r="I9" i="3"/>
  <c r="N8" i="3" l="1"/>
  <c r="R7" i="3"/>
  <c r="N7" i="3"/>
  <c r="H34" i="3"/>
  <c r="R33" i="3"/>
  <c r="R8" i="3"/>
  <c r="I10" i="4"/>
  <c r="K10" i="4" s="1"/>
  <c r="L10" i="4" s="1"/>
  <c r="M10" i="4" s="1"/>
  <c r="N10" i="4" s="1"/>
  <c r="O10" i="4" s="1"/>
  <c r="P10" i="4"/>
  <c r="H11" i="4"/>
  <c r="K9" i="4"/>
  <c r="L9" i="4" s="1"/>
  <c r="M9" i="4" s="1"/>
  <c r="N9" i="4" s="1"/>
  <c r="O9" i="4" s="1"/>
  <c r="K9" i="3"/>
  <c r="L9" i="3" s="1"/>
  <c r="M9" i="3" s="1"/>
  <c r="J10" i="3"/>
  <c r="I10" i="3"/>
  <c r="Q10" i="3"/>
  <c r="N9" i="3" l="1"/>
  <c r="I11" i="4"/>
  <c r="H35" i="3"/>
  <c r="R34" i="3"/>
  <c r="R9" i="3"/>
  <c r="J11" i="4"/>
  <c r="P11" i="4"/>
  <c r="H12" i="4"/>
  <c r="K10" i="3"/>
  <c r="L10" i="3" s="1"/>
  <c r="M10" i="3" s="1"/>
  <c r="I11" i="3"/>
  <c r="Q11" i="3"/>
  <c r="J11" i="3"/>
  <c r="E15" i="1"/>
  <c r="D34" i="2"/>
  <c r="D33" i="2"/>
  <c r="C33" i="2"/>
  <c r="D32" i="2"/>
  <c r="D15" i="2"/>
  <c r="D13" i="2"/>
  <c r="D11" i="2"/>
  <c r="D6" i="2"/>
  <c r="AK4" i="2" s="1"/>
  <c r="AH5" i="2"/>
  <c r="H5" i="2"/>
  <c r="AG4" i="2"/>
  <c r="Q4" i="2"/>
  <c r="J4" i="2"/>
  <c r="I4" i="2"/>
  <c r="I2" i="2"/>
  <c r="D31" i="1"/>
  <c r="D30" i="1"/>
  <c r="D29" i="1"/>
  <c r="D12" i="1"/>
  <c r="D10" i="1"/>
  <c r="H8" i="1"/>
  <c r="H9" i="1" s="1"/>
  <c r="D8" i="1"/>
  <c r="P7" i="1"/>
  <c r="J7" i="1"/>
  <c r="I7" i="1"/>
  <c r="S5" i="1"/>
  <c r="I5" i="1"/>
  <c r="N10" i="3" l="1"/>
  <c r="H36" i="3"/>
  <c r="R35" i="3"/>
  <c r="R10" i="3"/>
  <c r="K4" i="2"/>
  <c r="L4" i="2" s="1"/>
  <c r="I12" i="4"/>
  <c r="P12" i="4"/>
  <c r="J12" i="4"/>
  <c r="H13" i="4"/>
  <c r="K11" i="4"/>
  <c r="D32" i="1"/>
  <c r="D17" i="1"/>
  <c r="K11" i="3"/>
  <c r="L11" i="3" s="1"/>
  <c r="M11" i="3" s="1"/>
  <c r="J12" i="3"/>
  <c r="Q12" i="3"/>
  <c r="I12" i="3"/>
  <c r="I8" i="1"/>
  <c r="I9" i="1" s="1"/>
  <c r="J8" i="1"/>
  <c r="J9" i="1" s="1"/>
  <c r="P8" i="1"/>
  <c r="P9" i="1" s="1"/>
  <c r="R7" i="1"/>
  <c r="R8" i="1" s="1"/>
  <c r="R9" i="1" s="1"/>
  <c r="K7" i="1"/>
  <c r="L7" i="1" s="1"/>
  <c r="M7" i="1" s="1"/>
  <c r="N7" i="1" s="1"/>
  <c r="O7" i="1" s="1"/>
  <c r="Q7" i="1" s="1"/>
  <c r="D35" i="2"/>
  <c r="D20" i="2"/>
  <c r="R4" i="2" s="1"/>
  <c r="R5" i="2" s="1"/>
  <c r="AJ5" i="2"/>
  <c r="AH6" i="2"/>
  <c r="H6" i="2"/>
  <c r="Q5" i="2"/>
  <c r="I5" i="2"/>
  <c r="D9" i="2"/>
  <c r="AJ4" i="2"/>
  <c r="AK5" i="2"/>
  <c r="J5" i="2"/>
  <c r="H10" i="1"/>
  <c r="R11" i="3" l="1"/>
  <c r="N11" i="3"/>
  <c r="H37" i="3"/>
  <c r="R36" i="3"/>
  <c r="L11" i="4"/>
  <c r="M11" i="4" s="1"/>
  <c r="N11" i="4" s="1"/>
  <c r="O11" i="4" s="1"/>
  <c r="K12" i="4"/>
  <c r="L12" i="4" s="1"/>
  <c r="M12" i="4" s="1"/>
  <c r="N12" i="4" s="1"/>
  <c r="O12" i="4" s="1"/>
  <c r="J13" i="4"/>
  <c r="I13" i="4"/>
  <c r="H14" i="4"/>
  <c r="P13" i="4"/>
  <c r="AI4" i="2"/>
  <c r="AN4" i="2" s="1"/>
  <c r="U2" i="2"/>
  <c r="K12" i="3"/>
  <c r="L12" i="3" s="1"/>
  <c r="M12" i="3" s="1"/>
  <c r="Q13" i="3"/>
  <c r="I13" i="3"/>
  <c r="J13" i="3"/>
  <c r="R6" i="2"/>
  <c r="S7" i="1"/>
  <c r="K8" i="1"/>
  <c r="L8" i="1" s="1"/>
  <c r="M8" i="1" s="1"/>
  <c r="N8" i="1" s="1"/>
  <c r="O8" i="1" s="1"/>
  <c r="K5" i="2"/>
  <c r="L5" i="2" s="1"/>
  <c r="AI5" i="2"/>
  <c r="AM5" i="2" s="1"/>
  <c r="Q6" i="2"/>
  <c r="H7" i="2"/>
  <c r="J6" i="2"/>
  <c r="I6" i="2"/>
  <c r="AH7" i="2"/>
  <c r="AJ6" i="2"/>
  <c r="AK6" i="2"/>
  <c r="AI6" i="2"/>
  <c r="AM4" i="2"/>
  <c r="AL4" i="2"/>
  <c r="AL5" i="2" s="1"/>
  <c r="J10" i="1"/>
  <c r="I10" i="1"/>
  <c r="H11" i="1"/>
  <c r="R10" i="1"/>
  <c r="P10" i="1"/>
  <c r="K9" i="1"/>
  <c r="N12" i="3" l="1"/>
  <c r="H38" i="3"/>
  <c r="R37" i="3"/>
  <c r="K13" i="4"/>
  <c r="L13" i="4" s="1"/>
  <c r="P14" i="4"/>
  <c r="H15" i="4"/>
  <c r="J14" i="4"/>
  <c r="I14" i="4"/>
  <c r="AN5" i="2"/>
  <c r="T5" i="2"/>
  <c r="T6" i="2" s="1"/>
  <c r="T7" i="2" s="1"/>
  <c r="K13" i="3"/>
  <c r="L13" i="3" s="1"/>
  <c r="M13" i="3" s="1"/>
  <c r="J14" i="3"/>
  <c r="Q14" i="3"/>
  <c r="I14" i="3"/>
  <c r="S8" i="1"/>
  <c r="Q8" i="1"/>
  <c r="K10" i="1"/>
  <c r="L10" i="1" s="1"/>
  <c r="R7" i="2"/>
  <c r="AN6" i="2"/>
  <c r="K6" i="2"/>
  <c r="L6" i="2" s="1"/>
  <c r="AL6" i="2"/>
  <c r="AL7" i="2" s="1"/>
  <c r="J7" i="2"/>
  <c r="I7" i="2"/>
  <c r="Q7" i="2"/>
  <c r="H8" i="2"/>
  <c r="AM6" i="2"/>
  <c r="AI7" i="2"/>
  <c r="AK7" i="2"/>
  <c r="AJ7" i="2"/>
  <c r="AH8" i="2"/>
  <c r="H12" i="1"/>
  <c r="J11" i="1"/>
  <c r="I11" i="1"/>
  <c r="K11" i="1"/>
  <c r="R11" i="1"/>
  <c r="P11" i="1"/>
  <c r="L9" i="1"/>
  <c r="M9" i="1" s="1"/>
  <c r="N9" i="1" s="1"/>
  <c r="O9" i="1" s="1"/>
  <c r="R13" i="3" l="1"/>
  <c r="N13" i="3"/>
  <c r="I15" i="4"/>
  <c r="H39" i="3"/>
  <c r="R38" i="3"/>
  <c r="R12" i="3"/>
  <c r="M13" i="4"/>
  <c r="N13" i="4" s="1"/>
  <c r="O13" i="4" s="1"/>
  <c r="J15" i="4"/>
  <c r="H16" i="4"/>
  <c r="P15" i="4"/>
  <c r="K14" i="4"/>
  <c r="L14" i="4" s="1"/>
  <c r="M14" i="4" s="1"/>
  <c r="N14" i="4" s="1"/>
  <c r="O14" i="4" s="1"/>
  <c r="K14" i="3"/>
  <c r="L14" i="3" s="1"/>
  <c r="M14" i="3" s="1"/>
  <c r="J15" i="3"/>
  <c r="I15" i="3"/>
  <c r="K15" i="3" s="1"/>
  <c r="Q15" i="3"/>
  <c r="S9" i="1"/>
  <c r="Q9" i="1"/>
  <c r="M10" i="1"/>
  <c r="N10" i="1" s="1"/>
  <c r="O10" i="1" s="1"/>
  <c r="T8" i="2"/>
  <c r="R8" i="2"/>
  <c r="AN7" i="2"/>
  <c r="AM7" i="2"/>
  <c r="K7" i="2"/>
  <c r="L7" i="2" s="1"/>
  <c r="Q8" i="2"/>
  <c r="J8" i="2"/>
  <c r="H9" i="2"/>
  <c r="I8" i="2"/>
  <c r="AK8" i="2"/>
  <c r="AH9" i="2"/>
  <c r="AI8" i="2"/>
  <c r="AJ8" i="2"/>
  <c r="L11" i="1"/>
  <c r="M11" i="1" s="1"/>
  <c r="N11" i="1" s="1"/>
  <c r="O11" i="1" s="1"/>
  <c r="R12" i="1"/>
  <c r="J12" i="1"/>
  <c r="H13" i="1"/>
  <c r="I12" i="1"/>
  <c r="P12" i="1"/>
  <c r="R14" i="3" l="1"/>
  <c r="N14" i="3"/>
  <c r="H40" i="3"/>
  <c r="R39" i="3"/>
  <c r="K15" i="4"/>
  <c r="H17" i="4"/>
  <c r="J16" i="4"/>
  <c r="I16" i="4"/>
  <c r="P16" i="4"/>
  <c r="L15" i="3"/>
  <c r="M15" i="3" s="1"/>
  <c r="Q16" i="3"/>
  <c r="I16" i="3"/>
  <c r="J16" i="3"/>
  <c r="S10" i="1"/>
  <c r="Q10" i="1"/>
  <c r="S11" i="1"/>
  <c r="Q11" i="1"/>
  <c r="K12" i="1"/>
  <c r="L12" i="1" s="1"/>
  <c r="T9" i="2"/>
  <c r="R9" i="2"/>
  <c r="AM8" i="2"/>
  <c r="K8" i="2"/>
  <c r="L8" i="2"/>
  <c r="AI9" i="2"/>
  <c r="AJ9" i="2"/>
  <c r="AM9" i="2" s="1"/>
  <c r="AH10" i="2"/>
  <c r="AK9" i="2"/>
  <c r="AL8" i="2"/>
  <c r="AN8" i="2"/>
  <c r="Q9" i="2"/>
  <c r="H10" i="2"/>
  <c r="J9" i="2"/>
  <c r="I9" i="2"/>
  <c r="R13" i="1"/>
  <c r="P13" i="1"/>
  <c r="I13" i="1"/>
  <c r="J13" i="1"/>
  <c r="H14" i="1"/>
  <c r="N15" i="3" l="1"/>
  <c r="L15" i="4"/>
  <c r="M15" i="4" s="1"/>
  <c r="N15" i="4" s="1"/>
  <c r="O15" i="4" s="1"/>
  <c r="H41" i="3"/>
  <c r="R40" i="3"/>
  <c r="R15" i="3"/>
  <c r="K16" i="4"/>
  <c r="L16" i="4" s="1"/>
  <c r="M16" i="4" s="1"/>
  <c r="N16" i="4" s="1"/>
  <c r="O16" i="4" s="1"/>
  <c r="P17" i="4"/>
  <c r="J17" i="4"/>
  <c r="H18" i="4"/>
  <c r="I17" i="4"/>
  <c r="K17" i="4" s="1"/>
  <c r="L17" i="4" s="1"/>
  <c r="M17" i="4" s="1"/>
  <c r="N17" i="4" s="1"/>
  <c r="O17" i="4" s="1"/>
  <c r="AL9" i="2"/>
  <c r="AN9" i="2"/>
  <c r="K16" i="3"/>
  <c r="L16" i="3" s="1"/>
  <c r="M16" i="3" s="1"/>
  <c r="Q17" i="3"/>
  <c r="I17" i="3"/>
  <c r="J17" i="3"/>
  <c r="M12" i="1"/>
  <c r="N12" i="1" s="1"/>
  <c r="O12" i="1" s="1"/>
  <c r="T10" i="2"/>
  <c r="R10" i="2"/>
  <c r="K13" i="1"/>
  <c r="K9" i="2"/>
  <c r="L9" i="2" s="1"/>
  <c r="I10" i="2"/>
  <c r="J10" i="2"/>
  <c r="Q10" i="2"/>
  <c r="H11" i="2"/>
  <c r="AK10" i="2"/>
  <c r="AJ10" i="2"/>
  <c r="AI10" i="2"/>
  <c r="AH11" i="2"/>
  <c r="L13" i="1"/>
  <c r="M13" i="1" s="1"/>
  <c r="N13" i="1" s="1"/>
  <c r="O13" i="1" s="1"/>
  <c r="I14" i="1"/>
  <c r="J14" i="1"/>
  <c r="P14" i="1"/>
  <c r="H15" i="1"/>
  <c r="R14" i="1"/>
  <c r="R16" i="3" l="1"/>
  <c r="N16" i="3"/>
  <c r="H42" i="3"/>
  <c r="R41" i="3"/>
  <c r="P18" i="4"/>
  <c r="H19" i="4"/>
  <c r="J18" i="4"/>
  <c r="I18" i="4"/>
  <c r="K18" i="4" s="1"/>
  <c r="L18" i="4" s="1"/>
  <c r="M18" i="4" s="1"/>
  <c r="N18" i="4" s="1"/>
  <c r="O18" i="4" s="1"/>
  <c r="K17" i="3"/>
  <c r="L17" i="3" s="1"/>
  <c r="M17" i="3" s="1"/>
  <c r="Q18" i="3"/>
  <c r="I18" i="3"/>
  <c r="J18" i="3"/>
  <c r="K14" i="1"/>
  <c r="L14" i="1" s="1"/>
  <c r="M14" i="1" s="1"/>
  <c r="N14" i="1" s="1"/>
  <c r="O14" i="1" s="1"/>
  <c r="S13" i="1"/>
  <c r="Q13" i="1"/>
  <c r="S12" i="1"/>
  <c r="Q12" i="1"/>
  <c r="R11" i="2"/>
  <c r="T11" i="2"/>
  <c r="AM10" i="2"/>
  <c r="K10" i="2"/>
  <c r="L10" i="2" s="1"/>
  <c r="H12" i="2"/>
  <c r="J11" i="2"/>
  <c r="I11" i="2"/>
  <c r="Q11" i="2"/>
  <c r="AH12" i="2"/>
  <c r="AK11" i="2"/>
  <c r="AJ11" i="2"/>
  <c r="AI11" i="2"/>
  <c r="AN10" i="2"/>
  <c r="AL10" i="2"/>
  <c r="I15" i="1"/>
  <c r="J15" i="1"/>
  <c r="K15" i="1" s="1"/>
  <c r="R15" i="1"/>
  <c r="H16" i="1"/>
  <c r="P15" i="1"/>
  <c r="R17" i="3" l="1"/>
  <c r="N17" i="3"/>
  <c r="I19" i="4"/>
  <c r="H43" i="3"/>
  <c r="R42" i="3"/>
  <c r="J19" i="4"/>
  <c r="K19" i="4"/>
  <c r="L19" i="4" s="1"/>
  <c r="M19" i="4" s="1"/>
  <c r="N19" i="4" s="1"/>
  <c r="O19" i="4" s="1"/>
  <c r="H20" i="4"/>
  <c r="P19" i="4"/>
  <c r="K11" i="2"/>
  <c r="L11" i="2" s="1"/>
  <c r="K18" i="3"/>
  <c r="L18" i="3" s="1"/>
  <c r="M18" i="3" s="1"/>
  <c r="Q19" i="3"/>
  <c r="I19" i="3"/>
  <c r="J19" i="3"/>
  <c r="S14" i="1"/>
  <c r="Q14" i="1"/>
  <c r="R12" i="2"/>
  <c r="T12" i="2"/>
  <c r="AM11" i="2"/>
  <c r="AN11" i="2"/>
  <c r="AL11" i="2"/>
  <c r="AH13" i="2"/>
  <c r="AK12" i="2"/>
  <c r="AJ12" i="2"/>
  <c r="AI12" i="2"/>
  <c r="Q12" i="2"/>
  <c r="H13" i="2"/>
  <c r="J12" i="2"/>
  <c r="I12" i="2"/>
  <c r="L15" i="1"/>
  <c r="M15" i="1" s="1"/>
  <c r="N15" i="1" s="1"/>
  <c r="O15" i="1" s="1"/>
  <c r="P16" i="1"/>
  <c r="J16" i="1"/>
  <c r="R16" i="1"/>
  <c r="I16" i="1"/>
  <c r="H17" i="1"/>
  <c r="R18" i="3" l="1"/>
  <c r="N18" i="3"/>
  <c r="H44" i="3"/>
  <c r="R43" i="3"/>
  <c r="H21" i="4"/>
  <c r="J20" i="4"/>
  <c r="I20" i="4"/>
  <c r="P20" i="4"/>
  <c r="K12" i="2"/>
  <c r="L12" i="2" s="1"/>
  <c r="AL12" i="2"/>
  <c r="K19" i="3"/>
  <c r="L19" i="3" s="1"/>
  <c r="M19" i="3" s="1"/>
  <c r="Q20" i="3"/>
  <c r="I20" i="3"/>
  <c r="J20" i="3"/>
  <c r="S15" i="1"/>
  <c r="Q15" i="1"/>
  <c r="R13" i="2"/>
  <c r="T13" i="2"/>
  <c r="K16" i="1"/>
  <c r="L16" i="1" s="1"/>
  <c r="M16" i="1" s="1"/>
  <c r="N16" i="1" s="1"/>
  <c r="O16" i="1" s="1"/>
  <c r="AN12" i="2"/>
  <c r="AK13" i="2"/>
  <c r="AI13" i="2"/>
  <c r="AJ13" i="2"/>
  <c r="AM13" i="2" s="1"/>
  <c r="AH14" i="2"/>
  <c r="I13" i="2"/>
  <c r="J13" i="2"/>
  <c r="Q13" i="2"/>
  <c r="H14" i="2"/>
  <c r="AM12" i="2"/>
  <c r="R17" i="1"/>
  <c r="P17" i="1"/>
  <c r="I17" i="1"/>
  <c r="H18" i="1"/>
  <c r="J17" i="1"/>
  <c r="R19" i="3" l="1"/>
  <c r="N19" i="3"/>
  <c r="H45" i="3"/>
  <c r="R44" i="3"/>
  <c r="K20" i="4"/>
  <c r="L20" i="4" s="1"/>
  <c r="M20" i="4" s="1"/>
  <c r="N20" i="4" s="1"/>
  <c r="O20" i="4" s="1"/>
  <c r="I21" i="4"/>
  <c r="P21" i="4"/>
  <c r="H22" i="4"/>
  <c r="J21" i="4"/>
  <c r="K20" i="3"/>
  <c r="L20" i="3" s="1"/>
  <c r="M20" i="3" s="1"/>
  <c r="I21" i="3"/>
  <c r="Q21" i="3"/>
  <c r="J21" i="3"/>
  <c r="S16" i="1"/>
  <c r="Q16" i="1"/>
  <c r="K17" i="1"/>
  <c r="L17" i="1" s="1"/>
  <c r="M17" i="1" s="1"/>
  <c r="N17" i="1" s="1"/>
  <c r="O17" i="1" s="1"/>
  <c r="T14" i="2"/>
  <c r="R14" i="2"/>
  <c r="AN13" i="2"/>
  <c r="AL13" i="2"/>
  <c r="K13" i="2"/>
  <c r="L13" i="2" s="1"/>
  <c r="AJ14" i="2"/>
  <c r="AL14" i="2" s="1"/>
  <c r="AI14" i="2"/>
  <c r="AK14" i="2"/>
  <c r="AN14" i="2" s="1"/>
  <c r="AH15" i="2"/>
  <c r="Q14" i="2"/>
  <c r="J14" i="2"/>
  <c r="H15" i="2"/>
  <c r="I14" i="2"/>
  <c r="H19" i="1"/>
  <c r="J18" i="1"/>
  <c r="R18" i="1"/>
  <c r="P18" i="1"/>
  <c r="I18" i="1"/>
  <c r="R20" i="3" l="1"/>
  <c r="N20" i="3"/>
  <c r="H46" i="3"/>
  <c r="R45" i="3"/>
  <c r="P22" i="4"/>
  <c r="H23" i="4"/>
  <c r="J22" i="4"/>
  <c r="I22" i="4"/>
  <c r="K21" i="4"/>
  <c r="L21" i="4" s="1"/>
  <c r="M21" i="4" s="1"/>
  <c r="N21" i="4" s="1"/>
  <c r="O21" i="4" s="1"/>
  <c r="K21" i="3"/>
  <c r="L21" i="3" s="1"/>
  <c r="M21" i="3" s="1"/>
  <c r="I22" i="3"/>
  <c r="Q22" i="3"/>
  <c r="J22" i="3"/>
  <c r="S17" i="1"/>
  <c r="Q17" i="1"/>
  <c r="K18" i="1"/>
  <c r="R15" i="2"/>
  <c r="T15" i="2"/>
  <c r="K14" i="2"/>
  <c r="L14" i="2" s="1"/>
  <c r="AK15" i="2"/>
  <c r="AH16" i="2"/>
  <c r="AJ15" i="2"/>
  <c r="AL15" i="2" s="1"/>
  <c r="AI15" i="2"/>
  <c r="Q15" i="2"/>
  <c r="H16" i="2"/>
  <c r="J15" i="2"/>
  <c r="I15" i="2"/>
  <c r="AM14" i="2"/>
  <c r="L18" i="1"/>
  <c r="M18" i="1" s="1"/>
  <c r="N18" i="1" s="1"/>
  <c r="O18" i="1" s="1"/>
  <c r="I19" i="1"/>
  <c r="H20" i="1"/>
  <c r="P19" i="1"/>
  <c r="R19" i="1"/>
  <c r="J19" i="1"/>
  <c r="N21" i="3" l="1"/>
  <c r="I23" i="4"/>
  <c r="H47" i="3"/>
  <c r="R46" i="3"/>
  <c r="R21" i="3"/>
  <c r="K22" i="4"/>
  <c r="L22" i="4" s="1"/>
  <c r="M22" i="4"/>
  <c r="N22" i="4" s="1"/>
  <c r="O22" i="4" s="1"/>
  <c r="H24" i="4"/>
  <c r="P23" i="4"/>
  <c r="J23" i="4"/>
  <c r="K23" i="4" s="1"/>
  <c r="K15" i="2"/>
  <c r="L15" i="2" s="1"/>
  <c r="K22" i="3"/>
  <c r="L22" i="3" s="1"/>
  <c r="I23" i="3"/>
  <c r="Q23" i="3"/>
  <c r="J23" i="3"/>
  <c r="S18" i="1"/>
  <c r="Q18" i="1"/>
  <c r="T16" i="2"/>
  <c r="R16" i="2"/>
  <c r="K19" i="1"/>
  <c r="L19" i="1" s="1"/>
  <c r="M19" i="1" s="1"/>
  <c r="N19" i="1" s="1"/>
  <c r="O19" i="1" s="1"/>
  <c r="AM15" i="2"/>
  <c r="J16" i="2"/>
  <c r="I16" i="2"/>
  <c r="H17" i="2"/>
  <c r="Q16" i="2"/>
  <c r="AJ16" i="2"/>
  <c r="AL16" i="2" s="1"/>
  <c r="AI16" i="2"/>
  <c r="AH17" i="2"/>
  <c r="AK16" i="2"/>
  <c r="AG16" i="2"/>
  <c r="AN15" i="2"/>
  <c r="M4" i="2"/>
  <c r="N4" i="2" s="1"/>
  <c r="O4" i="2" s="1"/>
  <c r="P4" i="2" s="1"/>
  <c r="J20" i="1"/>
  <c r="K20" i="1" s="1"/>
  <c r="I20" i="1"/>
  <c r="H21" i="1"/>
  <c r="R20" i="1"/>
  <c r="P20" i="1"/>
  <c r="H48" i="3" l="1"/>
  <c r="R47" i="3"/>
  <c r="L23" i="4"/>
  <c r="M23" i="4" s="1"/>
  <c r="N23" i="4" s="1"/>
  <c r="O23" i="4" s="1"/>
  <c r="J24" i="4"/>
  <c r="I24" i="4"/>
  <c r="K24" i="4" s="1"/>
  <c r="P24" i="4"/>
  <c r="H25" i="4"/>
  <c r="M22" i="3"/>
  <c r="U4" i="2"/>
  <c r="K23" i="3"/>
  <c r="L23" i="3" s="1"/>
  <c r="M23" i="3" s="1"/>
  <c r="I24" i="3"/>
  <c r="Q24" i="3"/>
  <c r="J24" i="3"/>
  <c r="S19" i="1"/>
  <c r="Q19" i="1"/>
  <c r="R17" i="2"/>
  <c r="T17" i="2"/>
  <c r="K16" i="2"/>
  <c r="L16" i="2"/>
  <c r="I17" i="2"/>
  <c r="H18" i="2"/>
  <c r="Q17" i="2"/>
  <c r="J17" i="2"/>
  <c r="AN16" i="2"/>
  <c r="AK17" i="2"/>
  <c r="AJ17" i="2"/>
  <c r="AI17" i="2"/>
  <c r="AH18" i="2"/>
  <c r="AM16" i="2"/>
  <c r="L20" i="1"/>
  <c r="M20" i="1" s="1"/>
  <c r="N20" i="1" s="1"/>
  <c r="O20" i="1" s="1"/>
  <c r="H22" i="1"/>
  <c r="I21" i="1"/>
  <c r="J21" i="1"/>
  <c r="R21" i="1"/>
  <c r="P21" i="1"/>
  <c r="N22" i="3" l="1"/>
  <c r="N23" i="3"/>
  <c r="H49" i="3"/>
  <c r="R48" i="3"/>
  <c r="R22" i="3"/>
  <c r="R23" i="3"/>
  <c r="I25" i="4"/>
  <c r="P25" i="4"/>
  <c r="H26" i="4"/>
  <c r="J25" i="4"/>
  <c r="L24" i="4"/>
  <c r="M24" i="4" s="1"/>
  <c r="N24" i="4" s="1"/>
  <c r="O24" i="4" s="1"/>
  <c r="K24" i="3"/>
  <c r="L24" i="3" s="1"/>
  <c r="M24" i="3" s="1"/>
  <c r="J25" i="3"/>
  <c r="I25" i="3"/>
  <c r="Q25" i="3"/>
  <c r="K21" i="1"/>
  <c r="L21" i="1" s="1"/>
  <c r="M21" i="1" s="1"/>
  <c r="N21" i="1" s="1"/>
  <c r="O21" i="1" s="1"/>
  <c r="S20" i="1"/>
  <c r="Q20" i="1"/>
  <c r="T18" i="2"/>
  <c r="R18" i="2"/>
  <c r="AM17" i="2"/>
  <c r="K17" i="2"/>
  <c r="L17" i="2" s="1"/>
  <c r="AL17" i="2"/>
  <c r="AH19" i="2"/>
  <c r="AK18" i="2"/>
  <c r="AJ18" i="2"/>
  <c r="AI18" i="2"/>
  <c r="H19" i="2"/>
  <c r="Q18" i="2"/>
  <c r="I18" i="2"/>
  <c r="J18" i="2"/>
  <c r="AN17" i="2"/>
  <c r="J22" i="1"/>
  <c r="I22" i="1"/>
  <c r="K22" i="1" s="1"/>
  <c r="H23" i="1"/>
  <c r="R22" i="1"/>
  <c r="P22" i="1"/>
  <c r="R24" i="3" l="1"/>
  <c r="N24" i="3"/>
  <c r="H50" i="3"/>
  <c r="R49" i="3"/>
  <c r="P26" i="4"/>
  <c r="J26" i="4"/>
  <c r="I26" i="4"/>
  <c r="K26" i="4" s="1"/>
  <c r="L26" i="4" s="1"/>
  <c r="M26" i="4" s="1"/>
  <c r="N26" i="4" s="1"/>
  <c r="O26" i="4" s="1"/>
  <c r="H27" i="4"/>
  <c r="K25" i="4"/>
  <c r="L25" i="4" s="1"/>
  <c r="M25" i="4" s="1"/>
  <c r="N25" i="4" s="1"/>
  <c r="O25" i="4" s="1"/>
  <c r="K25" i="3"/>
  <c r="L25" i="3" s="1"/>
  <c r="M25" i="3" s="1"/>
  <c r="R19" i="2"/>
  <c r="T19" i="2"/>
  <c r="I26" i="3"/>
  <c r="J26" i="3"/>
  <c r="Q26" i="3"/>
  <c r="S21" i="1"/>
  <c r="Q21" i="1"/>
  <c r="AM18" i="2"/>
  <c r="K18" i="2"/>
  <c r="L18" i="2" s="1"/>
  <c r="AL18" i="2"/>
  <c r="J19" i="2"/>
  <c r="I19" i="2"/>
  <c r="Q19" i="2"/>
  <c r="H20" i="2"/>
  <c r="T20" i="2" s="1"/>
  <c r="AN18" i="2"/>
  <c r="AK19" i="2"/>
  <c r="AJ19" i="2"/>
  <c r="AI19" i="2"/>
  <c r="AH20" i="2"/>
  <c r="L22" i="1"/>
  <c r="M22" i="1" s="1"/>
  <c r="N22" i="1" s="1"/>
  <c r="O22" i="1" s="1"/>
  <c r="R23" i="1"/>
  <c r="J23" i="1"/>
  <c r="I23" i="1"/>
  <c r="P23" i="1"/>
  <c r="H24" i="1"/>
  <c r="N25" i="3" l="1"/>
  <c r="L27" i="4"/>
  <c r="M27" i="4" s="1"/>
  <c r="N27" i="4" s="1"/>
  <c r="O27" i="4" s="1"/>
  <c r="H51" i="3"/>
  <c r="R50" i="3"/>
  <c r="R25" i="3"/>
  <c r="K23" i="1"/>
  <c r="J27" i="4"/>
  <c r="K27" i="4"/>
  <c r="I27" i="4"/>
  <c r="P27" i="4"/>
  <c r="H28" i="4"/>
  <c r="K26" i="3"/>
  <c r="L26" i="3" s="1"/>
  <c r="Q27" i="3"/>
  <c r="J27" i="3"/>
  <c r="I27" i="3"/>
  <c r="S22" i="1"/>
  <c r="Q22" i="1"/>
  <c r="R20" i="2"/>
  <c r="AL19" i="2"/>
  <c r="K19" i="2"/>
  <c r="L19" i="2"/>
  <c r="AI20" i="2"/>
  <c r="AH21" i="2"/>
  <c r="AK20" i="2"/>
  <c r="AN20" i="2" s="1"/>
  <c r="AJ20" i="2"/>
  <c r="AM20" i="2" s="1"/>
  <c r="AM19" i="2"/>
  <c r="AN19" i="2"/>
  <c r="J20" i="2"/>
  <c r="H21" i="2"/>
  <c r="Q20" i="2"/>
  <c r="I20" i="2"/>
  <c r="P24" i="1"/>
  <c r="J24" i="1"/>
  <c r="H25" i="1"/>
  <c r="I24" i="1"/>
  <c r="R24" i="1"/>
  <c r="L28" i="4" l="1"/>
  <c r="M28" i="4" s="1"/>
  <c r="N28" i="4" s="1"/>
  <c r="O28" i="4" s="1"/>
  <c r="H52" i="3"/>
  <c r="R51" i="3"/>
  <c r="M26" i="3"/>
  <c r="L23" i="1"/>
  <c r="M23" i="1" s="1"/>
  <c r="N23" i="1" s="1"/>
  <c r="O23" i="1" s="1"/>
  <c r="P28" i="4"/>
  <c r="J28" i="4"/>
  <c r="I28" i="4"/>
  <c r="K28" i="4" s="1"/>
  <c r="H29" i="4"/>
  <c r="AL20" i="2"/>
  <c r="K24" i="1"/>
  <c r="K27" i="3"/>
  <c r="L27" i="3" s="1"/>
  <c r="M27" i="3" s="1"/>
  <c r="I28" i="3"/>
  <c r="Q28" i="3"/>
  <c r="J28" i="3"/>
  <c r="R21" i="2"/>
  <c r="T21" i="2"/>
  <c r="K20" i="2"/>
  <c r="L20" i="2" s="1"/>
  <c r="AK21" i="2"/>
  <c r="AJ21" i="2"/>
  <c r="AL21" i="2" s="1"/>
  <c r="AI21" i="2"/>
  <c r="AH22" i="2"/>
  <c r="Q21" i="2"/>
  <c r="H22" i="2"/>
  <c r="J21" i="2"/>
  <c r="I21" i="2"/>
  <c r="L24" i="1"/>
  <c r="M24" i="1" s="1"/>
  <c r="N24" i="1" s="1"/>
  <c r="O24" i="1" s="1"/>
  <c r="I25" i="1"/>
  <c r="H26" i="1"/>
  <c r="J25" i="1"/>
  <c r="R25" i="1"/>
  <c r="P25" i="1"/>
  <c r="N26" i="3" l="1"/>
  <c r="N27" i="3"/>
  <c r="L29" i="4"/>
  <c r="M29" i="4" s="1"/>
  <c r="N29" i="4" s="1"/>
  <c r="O29" i="4" s="1"/>
  <c r="H53" i="3"/>
  <c r="R52" i="3"/>
  <c r="R27" i="3"/>
  <c r="R26" i="3"/>
  <c r="S23" i="1"/>
  <c r="Q23" i="1"/>
  <c r="P29" i="4"/>
  <c r="I29" i="4"/>
  <c r="J29" i="4"/>
  <c r="K29" i="4" s="1"/>
  <c r="H30" i="4"/>
  <c r="K28" i="3"/>
  <c r="L28" i="3" s="1"/>
  <c r="M28" i="3" s="1"/>
  <c r="J29" i="3"/>
  <c r="I29" i="3"/>
  <c r="K29" i="3" s="1"/>
  <c r="Q29" i="3"/>
  <c r="K25" i="1"/>
  <c r="L25" i="1" s="1"/>
  <c r="S24" i="1"/>
  <c r="Q24" i="1"/>
  <c r="T22" i="2"/>
  <c r="R22" i="2"/>
  <c r="R23" i="2" s="1"/>
  <c r="AM21" i="2"/>
  <c r="K21" i="2"/>
  <c r="L21" i="2" s="1"/>
  <c r="AK22" i="2"/>
  <c r="AJ22" i="2"/>
  <c r="AI22" i="2"/>
  <c r="AH23" i="2"/>
  <c r="J22" i="2"/>
  <c r="I22" i="2"/>
  <c r="H23" i="2"/>
  <c r="Q22" i="2"/>
  <c r="AN21" i="2"/>
  <c r="I26" i="1"/>
  <c r="H27" i="1"/>
  <c r="J26" i="1"/>
  <c r="R26" i="1"/>
  <c r="P26" i="1"/>
  <c r="N28" i="3" l="1"/>
  <c r="H54" i="3"/>
  <c r="R53" i="3"/>
  <c r="R28" i="3"/>
  <c r="H31" i="4"/>
  <c r="P30" i="4"/>
  <c r="J30" i="4"/>
  <c r="I30" i="4"/>
  <c r="K30" i="4" s="1"/>
  <c r="L30" i="4"/>
  <c r="M30" i="4" s="1"/>
  <c r="N30" i="4" s="1"/>
  <c r="O30" i="4" s="1"/>
  <c r="T23" i="2"/>
  <c r="L29" i="3"/>
  <c r="M29" i="3" s="1"/>
  <c r="J30" i="3"/>
  <c r="I30" i="3"/>
  <c r="Q30" i="3"/>
  <c r="M25" i="1"/>
  <c r="N25" i="1" s="1"/>
  <c r="O25" i="1" s="1"/>
  <c r="S25" i="1" s="1"/>
  <c r="K26" i="1"/>
  <c r="L26" i="1" s="1"/>
  <c r="AM22" i="2"/>
  <c r="K22" i="2"/>
  <c r="L22" i="2"/>
  <c r="AH24" i="2"/>
  <c r="AK23" i="2"/>
  <c r="AJ23" i="2"/>
  <c r="AI23" i="2"/>
  <c r="AN22" i="2"/>
  <c r="H24" i="2"/>
  <c r="T24" i="2" s="1"/>
  <c r="J23" i="2"/>
  <c r="I23" i="2"/>
  <c r="Q23" i="2"/>
  <c r="AL22" i="2"/>
  <c r="I27" i="1"/>
  <c r="H28" i="1"/>
  <c r="R27" i="1"/>
  <c r="P27" i="1"/>
  <c r="J27" i="1"/>
  <c r="N29" i="3" l="1"/>
  <c r="K30" i="3"/>
  <c r="L30" i="3" s="1"/>
  <c r="M30" i="3" s="1"/>
  <c r="H55" i="3"/>
  <c r="R54" i="3"/>
  <c r="R29" i="3"/>
  <c r="I31" i="4"/>
  <c r="K31" i="4" s="1"/>
  <c r="P31" i="4"/>
  <c r="H32" i="4"/>
  <c r="J31" i="4"/>
  <c r="M31" i="4"/>
  <c r="N31" i="4" s="1"/>
  <c r="O31" i="4" s="1"/>
  <c r="L31" i="4"/>
  <c r="Q25" i="1"/>
  <c r="J31" i="3"/>
  <c r="I31" i="3"/>
  <c r="K31" i="3" s="1"/>
  <c r="Q31" i="3"/>
  <c r="M26" i="1"/>
  <c r="N26" i="1" s="1"/>
  <c r="O26" i="1" s="1"/>
  <c r="S26" i="1" s="1"/>
  <c r="R24" i="2"/>
  <c r="AL23" i="2"/>
  <c r="K27" i="1"/>
  <c r="L27" i="1" s="1"/>
  <c r="M27" i="1" s="1"/>
  <c r="N27" i="1" s="1"/>
  <c r="O27" i="1" s="1"/>
  <c r="AM23" i="2"/>
  <c r="K23" i="2"/>
  <c r="L23" i="2"/>
  <c r="Q24" i="2"/>
  <c r="I24" i="2"/>
  <c r="H25" i="2"/>
  <c r="J24" i="2"/>
  <c r="AN23" i="2"/>
  <c r="AH25" i="2"/>
  <c r="AI24" i="2"/>
  <c r="AK24" i="2"/>
  <c r="AJ24" i="2"/>
  <c r="H29" i="1"/>
  <c r="I28" i="1"/>
  <c r="P28" i="1"/>
  <c r="R28" i="1"/>
  <c r="J28" i="1"/>
  <c r="N30" i="3" l="1"/>
  <c r="H56" i="3"/>
  <c r="R55" i="3"/>
  <c r="R30" i="3"/>
  <c r="J32" i="4"/>
  <c r="O32" i="4"/>
  <c r="N32" i="4"/>
  <c r="M32" i="4"/>
  <c r="P32" i="4"/>
  <c r="L32" i="4"/>
  <c r="K32" i="4"/>
  <c r="I32" i="4"/>
  <c r="H33" i="4"/>
  <c r="R25" i="2"/>
  <c r="Q26" i="1"/>
  <c r="L31" i="3"/>
  <c r="J32" i="3"/>
  <c r="Q32" i="3"/>
  <c r="I32" i="3"/>
  <c r="K28" i="1"/>
  <c r="S27" i="1"/>
  <c r="Q27" i="1"/>
  <c r="K24" i="2"/>
  <c r="T25" i="2"/>
  <c r="AM24" i="2"/>
  <c r="AN24" i="2"/>
  <c r="L24" i="2"/>
  <c r="I25" i="2"/>
  <c r="J25" i="2"/>
  <c r="H26" i="2"/>
  <c r="Q25" i="2"/>
  <c r="AL24" i="2"/>
  <c r="AJ25" i="2"/>
  <c r="AL25" i="2" s="1"/>
  <c r="AK25" i="2"/>
  <c r="AI25" i="2"/>
  <c r="AH26" i="2"/>
  <c r="L28" i="1"/>
  <c r="M28" i="1"/>
  <c r="N28" i="1" s="1"/>
  <c r="O28" i="1" s="1"/>
  <c r="I29" i="1"/>
  <c r="R29" i="1"/>
  <c r="J29" i="1"/>
  <c r="P29" i="1"/>
  <c r="H30" i="1"/>
  <c r="M31" i="3" l="1"/>
  <c r="N31" i="3" s="1"/>
  <c r="H57" i="3"/>
  <c r="R56" i="3"/>
  <c r="J33" i="4"/>
  <c r="P33" i="4"/>
  <c r="N33" i="4"/>
  <c r="L33" i="4"/>
  <c r="M33" i="4"/>
  <c r="O33" i="4"/>
  <c r="K33" i="4"/>
  <c r="H34" i="4"/>
  <c r="I33" i="4"/>
  <c r="K32" i="3"/>
  <c r="K25" i="2"/>
  <c r="L25" i="2" s="1"/>
  <c r="K29" i="1"/>
  <c r="L32" i="3"/>
  <c r="J33" i="3"/>
  <c r="I33" i="3"/>
  <c r="K33" i="3" s="1"/>
  <c r="Q33" i="3"/>
  <c r="S28" i="1"/>
  <c r="Q28" i="1"/>
  <c r="T26" i="2"/>
  <c r="R26" i="2"/>
  <c r="AN25" i="2"/>
  <c r="Q26" i="2"/>
  <c r="H27" i="2"/>
  <c r="J26" i="2"/>
  <c r="I26" i="2"/>
  <c r="AJ26" i="2"/>
  <c r="AL26" i="2" s="1"/>
  <c r="AH27" i="2"/>
  <c r="AK26" i="2"/>
  <c r="AI26" i="2"/>
  <c r="AM25" i="2"/>
  <c r="L29" i="1"/>
  <c r="M29" i="1" s="1"/>
  <c r="N29" i="1" s="1"/>
  <c r="O29" i="1" s="1"/>
  <c r="R30" i="1"/>
  <c r="P30" i="1"/>
  <c r="J30" i="1"/>
  <c r="I30" i="1"/>
  <c r="H31" i="1"/>
  <c r="R31" i="3" l="1"/>
  <c r="H58" i="3"/>
  <c r="R57" i="3"/>
  <c r="K26" i="2"/>
  <c r="L26" i="2" s="1"/>
  <c r="P34" i="4"/>
  <c r="I34" i="4"/>
  <c r="L34" i="4"/>
  <c r="H35" i="4"/>
  <c r="O34" i="4"/>
  <c r="N34" i="4"/>
  <c r="M34" i="4"/>
  <c r="J34" i="4"/>
  <c r="K34" i="4"/>
  <c r="L33" i="3"/>
  <c r="M33" i="3" s="1"/>
  <c r="I34" i="3"/>
  <c r="Q34" i="3"/>
  <c r="J34" i="3"/>
  <c r="K30" i="1"/>
  <c r="L30" i="1" s="1"/>
  <c r="M30" i="1" s="1"/>
  <c r="N30" i="1" s="1"/>
  <c r="O30" i="1" s="1"/>
  <c r="S29" i="1"/>
  <c r="Q29" i="1"/>
  <c r="T27" i="2"/>
  <c r="R27" i="2"/>
  <c r="J27" i="2"/>
  <c r="I27" i="2"/>
  <c r="H28" i="2"/>
  <c r="K27" i="2"/>
  <c r="L27" i="2" s="1"/>
  <c r="Q27" i="2"/>
  <c r="AJ27" i="2"/>
  <c r="AI27" i="2"/>
  <c r="AH28" i="2"/>
  <c r="AK27" i="2"/>
  <c r="AN26" i="2"/>
  <c r="AM26" i="2"/>
  <c r="R31" i="1"/>
  <c r="P31" i="1"/>
  <c r="J31" i="1"/>
  <c r="I31" i="1"/>
  <c r="K31" i="1" s="1"/>
  <c r="H32" i="1"/>
  <c r="Q32" i="1" s="1"/>
  <c r="H59" i="3" l="1"/>
  <c r="R58" i="3"/>
  <c r="P35" i="4"/>
  <c r="L35" i="4"/>
  <c r="N35" i="4"/>
  <c r="J35" i="4"/>
  <c r="O35" i="4"/>
  <c r="I35" i="4"/>
  <c r="H36" i="4"/>
  <c r="K35" i="4"/>
  <c r="M35" i="4"/>
  <c r="K34" i="3"/>
  <c r="L34" i="3" s="1"/>
  <c r="M34" i="3" s="1"/>
  <c r="Q35" i="3"/>
  <c r="J35" i="3"/>
  <c r="I35" i="3"/>
  <c r="S30" i="1"/>
  <c r="Q30" i="1"/>
  <c r="R28" i="2"/>
  <c r="T28" i="2"/>
  <c r="J28" i="2"/>
  <c r="Q28" i="2"/>
  <c r="I28" i="2"/>
  <c r="H29" i="2"/>
  <c r="U29" i="2" s="1"/>
  <c r="AN27" i="2"/>
  <c r="M5" i="2"/>
  <c r="N5" i="2" s="1"/>
  <c r="O5" i="2" s="1"/>
  <c r="P5" i="2" s="1"/>
  <c r="AK28" i="2"/>
  <c r="AI28" i="2"/>
  <c r="AJ28" i="2"/>
  <c r="AG28" i="2"/>
  <c r="AH29" i="2"/>
  <c r="AM27" i="2"/>
  <c r="AL27" i="2"/>
  <c r="L31" i="1"/>
  <c r="M31" i="1" s="1"/>
  <c r="N31" i="1" s="1"/>
  <c r="O31" i="1" s="1"/>
  <c r="M32" i="1"/>
  <c r="P32" i="1"/>
  <c r="N32" i="1"/>
  <c r="O32" i="1"/>
  <c r="R32" i="1"/>
  <c r="L32" i="1"/>
  <c r="J32" i="1"/>
  <c r="K32" i="1"/>
  <c r="I32" i="1"/>
  <c r="H33" i="1"/>
  <c r="Q33" i="1" s="1"/>
  <c r="S32" i="1"/>
  <c r="H60" i="3" l="1"/>
  <c r="R59" i="3"/>
  <c r="N36" i="4"/>
  <c r="O36" i="4"/>
  <c r="M36" i="4"/>
  <c r="L36" i="4"/>
  <c r="K36" i="4"/>
  <c r="J36" i="4"/>
  <c r="I36" i="4"/>
  <c r="P36" i="4"/>
  <c r="H37" i="4"/>
  <c r="K35" i="3"/>
  <c r="L35" i="3" s="1"/>
  <c r="M35" i="3" s="1"/>
  <c r="K28" i="2"/>
  <c r="T29" i="2"/>
  <c r="AM28" i="2"/>
  <c r="Q36" i="3"/>
  <c r="I36" i="3"/>
  <c r="J36" i="3"/>
  <c r="S31" i="1"/>
  <c r="Q31" i="1"/>
  <c r="U5" i="2"/>
  <c r="R29" i="2"/>
  <c r="L28" i="2"/>
  <c r="AH30" i="2"/>
  <c r="AK29" i="2"/>
  <c r="AJ29" i="2"/>
  <c r="AI29" i="2"/>
  <c r="Q29" i="2"/>
  <c r="H30" i="2"/>
  <c r="U30" i="2" s="1"/>
  <c r="J29" i="2"/>
  <c r="I29" i="2"/>
  <c r="K29" i="2" s="1"/>
  <c r="AN28" i="2"/>
  <c r="AL28" i="2"/>
  <c r="L33" i="1"/>
  <c r="P33" i="1"/>
  <c r="O33" i="1"/>
  <c r="N33" i="1"/>
  <c r="R33" i="1"/>
  <c r="M33" i="1"/>
  <c r="H34" i="1"/>
  <c r="Q34" i="1" s="1"/>
  <c r="S33" i="1"/>
  <c r="I33" i="1"/>
  <c r="K33" i="1"/>
  <c r="J33" i="1"/>
  <c r="H61" i="3" l="1"/>
  <c r="R60" i="3"/>
  <c r="M37" i="4"/>
  <c r="L37" i="4"/>
  <c r="P37" i="4"/>
  <c r="K37" i="4"/>
  <c r="J37" i="4"/>
  <c r="I37" i="4"/>
  <c r="O37" i="4"/>
  <c r="H38" i="4"/>
  <c r="N37" i="4"/>
  <c r="K36" i="3"/>
  <c r="R30" i="2"/>
  <c r="L36" i="3"/>
  <c r="M36" i="3" s="1"/>
  <c r="J37" i="3"/>
  <c r="I37" i="3"/>
  <c r="K37" i="3" s="1"/>
  <c r="L37" i="3" s="1"/>
  <c r="M37" i="3" s="1"/>
  <c r="Q37" i="3"/>
  <c r="T30" i="2"/>
  <c r="AL29" i="2"/>
  <c r="L29" i="2"/>
  <c r="AN29" i="2"/>
  <c r="AH31" i="2"/>
  <c r="AJ30" i="2"/>
  <c r="AI30" i="2"/>
  <c r="AL30" i="2"/>
  <c r="AK30" i="2"/>
  <c r="AM29" i="2"/>
  <c r="Q30" i="2"/>
  <c r="H31" i="2"/>
  <c r="U31" i="2" s="1"/>
  <c r="J30" i="2"/>
  <c r="I30" i="2"/>
  <c r="K34" i="1"/>
  <c r="P34" i="1"/>
  <c r="O34" i="1"/>
  <c r="N34" i="1"/>
  <c r="I34" i="1"/>
  <c r="H35" i="1"/>
  <c r="Q35" i="1" s="1"/>
  <c r="J34" i="1"/>
  <c r="S34" i="1"/>
  <c r="R34" i="1"/>
  <c r="M34" i="1"/>
  <c r="L34" i="1"/>
  <c r="H62" i="3" l="1"/>
  <c r="R61" i="3"/>
  <c r="M38" i="4"/>
  <c r="O38" i="4"/>
  <c r="N38" i="4"/>
  <c r="J38" i="4"/>
  <c r="L38" i="4"/>
  <c r="K38" i="4"/>
  <c r="H39" i="4"/>
  <c r="P38" i="4"/>
  <c r="I38" i="4"/>
  <c r="Q38" i="3"/>
  <c r="J38" i="3"/>
  <c r="I38" i="3"/>
  <c r="T31" i="2"/>
  <c r="R31" i="2"/>
  <c r="K30" i="2"/>
  <c r="L30" i="2"/>
  <c r="AH32" i="2"/>
  <c r="AI31" i="2"/>
  <c r="AK31" i="2"/>
  <c r="AN31" i="2" s="1"/>
  <c r="AJ31" i="2"/>
  <c r="AM31" i="2" s="1"/>
  <c r="I31" i="2"/>
  <c r="H32" i="2"/>
  <c r="U32" i="2" s="1"/>
  <c r="J31" i="2"/>
  <c r="Q31" i="2"/>
  <c r="AN30" i="2"/>
  <c r="AM30" i="2"/>
  <c r="H36" i="1"/>
  <c r="Q36" i="1" s="1"/>
  <c r="J35" i="1"/>
  <c r="P35" i="1"/>
  <c r="O35" i="1"/>
  <c r="N35" i="1"/>
  <c r="M35" i="1"/>
  <c r="L35" i="1"/>
  <c r="I35" i="1"/>
  <c r="K35" i="1"/>
  <c r="S35" i="1"/>
  <c r="R35" i="1"/>
  <c r="H63" i="3" l="1"/>
  <c r="R62" i="3"/>
  <c r="L39" i="4"/>
  <c r="N39" i="4"/>
  <c r="H40" i="4"/>
  <c r="K39" i="4"/>
  <c r="O39" i="4"/>
  <c r="J39" i="4"/>
  <c r="P39" i="4"/>
  <c r="I39" i="4"/>
  <c r="M39" i="4"/>
  <c r="K38" i="3"/>
  <c r="L38" i="3"/>
  <c r="M38" i="3" s="1"/>
  <c r="Q39" i="3"/>
  <c r="J39" i="3"/>
  <c r="I39" i="3"/>
  <c r="R32" i="2"/>
  <c r="T32" i="2"/>
  <c r="K31" i="2"/>
  <c r="L31" i="2"/>
  <c r="AL31" i="2"/>
  <c r="AJ32" i="2"/>
  <c r="AI32" i="2"/>
  <c r="AK32" i="2"/>
  <c r="AH33" i="2"/>
  <c r="J32" i="2"/>
  <c r="I32" i="2"/>
  <c r="Q32" i="2"/>
  <c r="H33" i="2"/>
  <c r="U33" i="2" s="1"/>
  <c r="S36" i="1"/>
  <c r="R36" i="1"/>
  <c r="P36" i="1"/>
  <c r="N36" i="1"/>
  <c r="O36" i="1"/>
  <c r="H37" i="1"/>
  <c r="Q37" i="1" s="1"/>
  <c r="M36" i="1"/>
  <c r="L36" i="1"/>
  <c r="I36" i="1"/>
  <c r="K36" i="1"/>
  <c r="J36" i="1"/>
  <c r="H64" i="3" l="1"/>
  <c r="R63" i="3"/>
  <c r="H41" i="4"/>
  <c r="P40" i="4"/>
  <c r="I40" i="4"/>
  <c r="O40" i="4"/>
  <c r="L40" i="4"/>
  <c r="K40" i="4"/>
  <c r="J40" i="4"/>
  <c r="N40" i="4"/>
  <c r="M40" i="4"/>
  <c r="K39" i="3"/>
  <c r="L39" i="3" s="1"/>
  <c r="M39" i="3" s="1"/>
  <c r="I40" i="3"/>
  <c r="J40" i="3"/>
  <c r="Q40" i="3"/>
  <c r="T33" i="2"/>
  <c r="R33" i="2"/>
  <c r="AL32" i="2"/>
  <c r="K32" i="2"/>
  <c r="L32" i="2" s="1"/>
  <c r="AN32" i="2"/>
  <c r="H34" i="2"/>
  <c r="U34" i="2" s="1"/>
  <c r="J33" i="2"/>
  <c r="Q33" i="2"/>
  <c r="I33" i="2"/>
  <c r="AK33" i="2"/>
  <c r="AJ33" i="2"/>
  <c r="AH34" i="2"/>
  <c r="AI33" i="2"/>
  <c r="AM32" i="2"/>
  <c r="R37" i="1"/>
  <c r="P37" i="1"/>
  <c r="H38" i="1"/>
  <c r="Q38" i="1" s="1"/>
  <c r="S37" i="1"/>
  <c r="O37" i="1"/>
  <c r="J37" i="1"/>
  <c r="I37" i="1"/>
  <c r="K37" i="1"/>
  <c r="N37" i="1"/>
  <c r="M37" i="1"/>
  <c r="L37" i="1"/>
  <c r="H65" i="3" l="1"/>
  <c r="R64" i="3"/>
  <c r="M41" i="4"/>
  <c r="L41" i="4"/>
  <c r="K41" i="4"/>
  <c r="P41" i="4"/>
  <c r="J41" i="4"/>
  <c r="H42" i="4"/>
  <c r="O41" i="4"/>
  <c r="N41" i="4"/>
  <c r="I41" i="4"/>
  <c r="K40" i="3"/>
  <c r="L40" i="3" s="1"/>
  <c r="M40" i="3" s="1"/>
  <c r="J41" i="3"/>
  <c r="I41" i="3"/>
  <c r="K41" i="3" s="1"/>
  <c r="Q41" i="3"/>
  <c r="R34" i="2"/>
  <c r="T34" i="2"/>
  <c r="AM33" i="2"/>
  <c r="AL33" i="2"/>
  <c r="K33" i="2"/>
  <c r="L33" i="2" s="1"/>
  <c r="AI34" i="2"/>
  <c r="AH35" i="2"/>
  <c r="AK34" i="2"/>
  <c r="AJ34" i="2"/>
  <c r="AM34" i="2" s="1"/>
  <c r="J34" i="2"/>
  <c r="I34" i="2"/>
  <c r="Q34" i="2"/>
  <c r="H35" i="2"/>
  <c r="U35" i="2" s="1"/>
  <c r="AN33" i="2"/>
  <c r="P38" i="1"/>
  <c r="O38" i="1"/>
  <c r="H39" i="1"/>
  <c r="Q39" i="1" s="1"/>
  <c r="S38" i="1"/>
  <c r="N38" i="1"/>
  <c r="K38" i="1"/>
  <c r="J38" i="1"/>
  <c r="M38" i="1"/>
  <c r="L38" i="1"/>
  <c r="R38" i="1"/>
  <c r="I38" i="1"/>
  <c r="H66" i="3" l="1"/>
  <c r="R65" i="3"/>
  <c r="M42" i="4"/>
  <c r="O42" i="4"/>
  <c r="N42" i="4"/>
  <c r="J42" i="4"/>
  <c r="L42" i="4"/>
  <c r="I42" i="4"/>
  <c r="H43" i="4"/>
  <c r="K42" i="4"/>
  <c r="P42" i="4"/>
  <c r="AN34" i="2"/>
  <c r="L41" i="3"/>
  <c r="M41" i="3" s="1"/>
  <c r="J42" i="3"/>
  <c r="Q42" i="3"/>
  <c r="I42" i="3"/>
  <c r="T35" i="2"/>
  <c r="R35" i="2"/>
  <c r="K34" i="2"/>
  <c r="L34" i="2" s="1"/>
  <c r="N34" i="2" s="1"/>
  <c r="O34" i="2" s="1"/>
  <c r="P34" i="2" s="1"/>
  <c r="H36" i="2"/>
  <c r="U36" i="2" s="1"/>
  <c r="Q35" i="2"/>
  <c r="J35" i="2"/>
  <c r="I35" i="2"/>
  <c r="K35" i="2" s="1"/>
  <c r="AH36" i="2"/>
  <c r="AI35" i="2"/>
  <c r="AK35" i="2"/>
  <c r="AJ35" i="2"/>
  <c r="AL34" i="2"/>
  <c r="O39" i="1"/>
  <c r="N39" i="1"/>
  <c r="I39" i="1"/>
  <c r="H40" i="1"/>
  <c r="Q40" i="1" s="1"/>
  <c r="R39" i="1"/>
  <c r="P39" i="1"/>
  <c r="S39" i="1"/>
  <c r="K39" i="1"/>
  <c r="J39" i="1"/>
  <c r="M39" i="1"/>
  <c r="L39" i="1"/>
  <c r="H67" i="3" l="1"/>
  <c r="R66" i="3"/>
  <c r="O43" i="4"/>
  <c r="M43" i="4"/>
  <c r="H44" i="4"/>
  <c r="L43" i="4"/>
  <c r="I43" i="4"/>
  <c r="P43" i="4"/>
  <c r="J43" i="4"/>
  <c r="N43" i="4"/>
  <c r="K43" i="4"/>
  <c r="K42" i="3"/>
  <c r="L42" i="3" s="1"/>
  <c r="M42" i="3" s="1"/>
  <c r="J43" i="3"/>
  <c r="I43" i="3"/>
  <c r="Q43" i="3"/>
  <c r="R36" i="2"/>
  <c r="T36" i="2"/>
  <c r="AL35" i="2"/>
  <c r="AM35" i="2"/>
  <c r="L35" i="2"/>
  <c r="N35" i="2" s="1"/>
  <c r="O35" i="2" s="1"/>
  <c r="P35" i="2" s="1"/>
  <c r="I36" i="2"/>
  <c r="J36" i="2"/>
  <c r="H37" i="2"/>
  <c r="U37" i="2" s="1"/>
  <c r="Q36" i="2"/>
  <c r="AN35" i="2"/>
  <c r="AI36" i="2"/>
  <c r="AH37" i="2"/>
  <c r="AK36" i="2"/>
  <c r="AJ36" i="2"/>
  <c r="M40" i="1"/>
  <c r="L40" i="1"/>
  <c r="I40" i="1"/>
  <c r="H41" i="1"/>
  <c r="Q41" i="1" s="1"/>
  <c r="K40" i="1"/>
  <c r="J40" i="1"/>
  <c r="S40" i="1"/>
  <c r="R40" i="1"/>
  <c r="P40" i="1"/>
  <c r="O40" i="1"/>
  <c r="N40" i="1"/>
  <c r="H68" i="3" l="1"/>
  <c r="R67" i="3"/>
  <c r="J44" i="4"/>
  <c r="I44" i="4"/>
  <c r="K44" i="4"/>
  <c r="N44" i="4"/>
  <c r="M44" i="4"/>
  <c r="H45" i="4"/>
  <c r="P44" i="4"/>
  <c r="O44" i="4"/>
  <c r="L44" i="4"/>
  <c r="K43" i="3"/>
  <c r="L43" i="3" s="1"/>
  <c r="J44" i="3"/>
  <c r="I44" i="3"/>
  <c r="K44" i="3" s="1"/>
  <c r="Q44" i="3"/>
  <c r="T37" i="2"/>
  <c r="R37" i="2"/>
  <c r="AN36" i="2"/>
  <c r="AM36" i="2"/>
  <c r="K36" i="2"/>
  <c r="L36" i="2" s="1"/>
  <c r="N36" i="2" s="1"/>
  <c r="O36" i="2" s="1"/>
  <c r="P36" i="2" s="1"/>
  <c r="AL36" i="2"/>
  <c r="J37" i="2"/>
  <c r="I37" i="2"/>
  <c r="Q37" i="2"/>
  <c r="H38" i="2"/>
  <c r="U38" i="2" s="1"/>
  <c r="K37" i="2"/>
  <c r="L37" i="2" s="1"/>
  <c r="AJ37" i="2"/>
  <c r="AM37" i="2" s="1"/>
  <c r="AI37" i="2"/>
  <c r="AH38" i="2"/>
  <c r="AK37" i="2"/>
  <c r="AN37" i="2" s="1"/>
  <c r="L41" i="1"/>
  <c r="K41" i="1"/>
  <c r="J41" i="1"/>
  <c r="I41" i="1"/>
  <c r="R41" i="1"/>
  <c r="N41" i="1"/>
  <c r="P41" i="1"/>
  <c r="O41" i="1"/>
  <c r="M41" i="1"/>
  <c r="H42" i="1"/>
  <c r="Q42" i="1" s="1"/>
  <c r="S41" i="1"/>
  <c r="H69" i="3" l="1"/>
  <c r="R68" i="3"/>
  <c r="P45" i="4"/>
  <c r="O45" i="4"/>
  <c r="N45" i="4"/>
  <c r="M45" i="4"/>
  <c r="L45" i="4"/>
  <c r="K45" i="4"/>
  <c r="J45" i="4"/>
  <c r="I45" i="4"/>
  <c r="H46" i="4"/>
  <c r="M43" i="3"/>
  <c r="L44" i="3"/>
  <c r="M44" i="3"/>
  <c r="I45" i="3"/>
  <c r="J45" i="3"/>
  <c r="Q45" i="3"/>
  <c r="R38" i="2"/>
  <c r="T38" i="2"/>
  <c r="AL37" i="2"/>
  <c r="H39" i="2"/>
  <c r="U39" i="2" s="1"/>
  <c r="I38" i="2"/>
  <c r="J38" i="2"/>
  <c r="Q38" i="2"/>
  <c r="AK38" i="2"/>
  <c r="AH39" i="2"/>
  <c r="AJ38" i="2"/>
  <c r="AI38" i="2"/>
  <c r="N37" i="2"/>
  <c r="O37" i="2" s="1"/>
  <c r="P37" i="2" s="1"/>
  <c r="K42" i="1"/>
  <c r="J42" i="1"/>
  <c r="M42" i="1"/>
  <c r="L42" i="1"/>
  <c r="I42" i="1"/>
  <c r="R42" i="1"/>
  <c r="S42" i="1"/>
  <c r="H43" i="1"/>
  <c r="Q43" i="1" s="1"/>
  <c r="N42" i="1"/>
  <c r="P42" i="1"/>
  <c r="O42" i="1"/>
  <c r="H70" i="3" l="1"/>
  <c r="R69" i="3"/>
  <c r="M46" i="4"/>
  <c r="L46" i="4"/>
  <c r="P46" i="4"/>
  <c r="J46" i="4"/>
  <c r="N46" i="4"/>
  <c r="K46" i="4"/>
  <c r="O46" i="4"/>
  <c r="H47" i="4"/>
  <c r="I46" i="4"/>
  <c r="K45" i="3"/>
  <c r="L45" i="3" s="1"/>
  <c r="I46" i="3"/>
  <c r="Q46" i="3"/>
  <c r="J46" i="3"/>
  <c r="T39" i="2"/>
  <c r="R39" i="2"/>
  <c r="K38" i="2"/>
  <c r="L38" i="2" s="1"/>
  <c r="N38" i="2" s="1"/>
  <c r="O38" i="2" s="1"/>
  <c r="P38" i="2" s="1"/>
  <c r="AM38" i="2"/>
  <c r="Q39" i="2"/>
  <c r="J39" i="2"/>
  <c r="H40" i="2"/>
  <c r="U40" i="2" s="1"/>
  <c r="I39" i="2"/>
  <c r="AJ39" i="2"/>
  <c r="AI39" i="2"/>
  <c r="AK39" i="2"/>
  <c r="AH40" i="2"/>
  <c r="AN38" i="2"/>
  <c r="AL38" i="2"/>
  <c r="J43" i="1"/>
  <c r="H44" i="1"/>
  <c r="Q44" i="1" s="1"/>
  <c r="I43" i="1"/>
  <c r="N43" i="1"/>
  <c r="M43" i="1"/>
  <c r="L43" i="1"/>
  <c r="O43" i="1"/>
  <c r="K43" i="1"/>
  <c r="P43" i="1"/>
  <c r="S43" i="1"/>
  <c r="R43" i="1"/>
  <c r="H71" i="3" l="1"/>
  <c r="R70" i="3"/>
  <c r="N47" i="4"/>
  <c r="I47" i="4"/>
  <c r="L47" i="4"/>
  <c r="K47" i="4"/>
  <c r="H48" i="4"/>
  <c r="P47" i="4"/>
  <c r="O47" i="4"/>
  <c r="M47" i="4"/>
  <c r="J47" i="4"/>
  <c r="M45" i="3"/>
  <c r="K46" i="3"/>
  <c r="Q47" i="3"/>
  <c r="I47" i="3"/>
  <c r="J47" i="3"/>
  <c r="R40" i="2"/>
  <c r="T40" i="2"/>
  <c r="K39" i="2"/>
  <c r="AL39" i="2"/>
  <c r="L39" i="2"/>
  <c r="N39" i="2" s="1"/>
  <c r="O39" i="2" s="1"/>
  <c r="P39" i="2" s="1"/>
  <c r="AH41" i="2"/>
  <c r="AK40" i="2"/>
  <c r="AJ40" i="2"/>
  <c r="AG40" i="2"/>
  <c r="AI40" i="2"/>
  <c r="AN39" i="2"/>
  <c r="M6" i="2"/>
  <c r="N6" i="2" s="1"/>
  <c r="O6" i="2" s="1"/>
  <c r="P6" i="2" s="1"/>
  <c r="AM39" i="2"/>
  <c r="H41" i="2"/>
  <c r="U41" i="2" s="1"/>
  <c r="Q40" i="2"/>
  <c r="J40" i="2"/>
  <c r="I40" i="2"/>
  <c r="H45" i="1"/>
  <c r="Q45" i="1" s="1"/>
  <c r="I44" i="1"/>
  <c r="S44" i="1"/>
  <c r="O44" i="1"/>
  <c r="N44" i="1"/>
  <c r="M44" i="1"/>
  <c r="P44" i="1"/>
  <c r="L44" i="1"/>
  <c r="R44" i="1"/>
  <c r="J44" i="1"/>
  <c r="K44" i="1"/>
  <c r="H72" i="3" l="1"/>
  <c r="R71" i="3"/>
  <c r="H49" i="4"/>
  <c r="M48" i="4"/>
  <c r="L48" i="4"/>
  <c r="N48" i="4"/>
  <c r="J48" i="4"/>
  <c r="I48" i="4"/>
  <c r="O48" i="4"/>
  <c r="K48" i="4"/>
  <c r="P48" i="4"/>
  <c r="L46" i="3"/>
  <c r="M46" i="3" s="1"/>
  <c r="K47" i="3"/>
  <c r="L47" i="3" s="1"/>
  <c r="M47" i="3" s="1"/>
  <c r="Q48" i="3"/>
  <c r="J48" i="3"/>
  <c r="I48" i="3"/>
  <c r="U6" i="2"/>
  <c r="T41" i="2"/>
  <c r="R41" i="2"/>
  <c r="K40" i="2"/>
  <c r="L40" i="2"/>
  <c r="N40" i="2"/>
  <c r="O40" i="2" s="1"/>
  <c r="P40" i="2" s="1"/>
  <c r="AM40" i="2"/>
  <c r="AN40" i="2"/>
  <c r="I41" i="2"/>
  <c r="H42" i="2"/>
  <c r="U42" i="2" s="1"/>
  <c r="J41" i="2"/>
  <c r="Q41" i="2"/>
  <c r="AL40" i="2"/>
  <c r="AI41" i="2"/>
  <c r="AH42" i="2"/>
  <c r="AK41" i="2"/>
  <c r="AN41" i="2" s="1"/>
  <c r="AJ41" i="2"/>
  <c r="S45" i="1"/>
  <c r="R45" i="1"/>
  <c r="P45" i="1"/>
  <c r="O45" i="1"/>
  <c r="N45" i="1"/>
  <c r="J45" i="1"/>
  <c r="I45" i="1"/>
  <c r="M45" i="1"/>
  <c r="L45" i="1"/>
  <c r="K45" i="1"/>
  <c r="H46" i="1"/>
  <c r="Q46" i="1" s="1"/>
  <c r="H73" i="3" l="1"/>
  <c r="R72" i="3"/>
  <c r="O49" i="4"/>
  <c r="P49" i="4"/>
  <c r="H50" i="4"/>
  <c r="L49" i="4"/>
  <c r="N49" i="4"/>
  <c r="M49" i="4"/>
  <c r="J49" i="4"/>
  <c r="K49" i="4"/>
  <c r="I49" i="4"/>
  <c r="K48" i="3"/>
  <c r="L48" i="3" s="1"/>
  <c r="M48" i="3" s="1"/>
  <c r="AL41" i="2"/>
  <c r="T42" i="2"/>
  <c r="J49" i="3"/>
  <c r="I49" i="3"/>
  <c r="Q49" i="3"/>
  <c r="R42" i="2"/>
  <c r="K41" i="2"/>
  <c r="L41" i="2" s="1"/>
  <c r="N41" i="2" s="1"/>
  <c r="O41" i="2" s="1"/>
  <c r="AK42" i="2"/>
  <c r="AJ42" i="2"/>
  <c r="AH43" i="2"/>
  <c r="AI42" i="2"/>
  <c r="J42" i="2"/>
  <c r="Q42" i="2"/>
  <c r="I42" i="2"/>
  <c r="H43" i="2"/>
  <c r="U43" i="2" s="1"/>
  <c r="AM41" i="2"/>
  <c r="R46" i="1"/>
  <c r="P46" i="1"/>
  <c r="H47" i="1"/>
  <c r="Q47" i="1" s="1"/>
  <c r="S46" i="1"/>
  <c r="O46" i="1"/>
  <c r="N46" i="1"/>
  <c r="M46" i="1"/>
  <c r="K46" i="1"/>
  <c r="L46" i="1"/>
  <c r="J46" i="1"/>
  <c r="I46" i="1"/>
  <c r="H74" i="3" l="1"/>
  <c r="R73" i="3"/>
  <c r="K50" i="4"/>
  <c r="I50" i="4"/>
  <c r="N50" i="4"/>
  <c r="H51" i="4"/>
  <c r="P50" i="4"/>
  <c r="O50" i="4"/>
  <c r="J50" i="4"/>
  <c r="L50" i="4"/>
  <c r="M50" i="4"/>
  <c r="K49" i="3"/>
  <c r="L49" i="3" s="1"/>
  <c r="M49" i="3" s="1"/>
  <c r="T43" i="2"/>
  <c r="I50" i="3"/>
  <c r="Q50" i="3"/>
  <c r="J50" i="3"/>
  <c r="R43" i="2"/>
  <c r="P41" i="2"/>
  <c r="K42" i="2"/>
  <c r="L42" i="2" s="1"/>
  <c r="N42" i="2"/>
  <c r="O42" i="2" s="1"/>
  <c r="P42" i="2" s="1"/>
  <c r="Q43" i="2"/>
  <c r="J43" i="2"/>
  <c r="I43" i="2"/>
  <c r="H44" i="2"/>
  <c r="U44" i="2" s="1"/>
  <c r="AN42" i="2"/>
  <c r="AL43" i="2"/>
  <c r="AH44" i="2"/>
  <c r="AI43" i="2"/>
  <c r="AJ43" i="2"/>
  <c r="AK43" i="2"/>
  <c r="AM42" i="2"/>
  <c r="AL42" i="2"/>
  <c r="P47" i="1"/>
  <c r="O47" i="1"/>
  <c r="S47" i="1"/>
  <c r="H48" i="1"/>
  <c r="Q48" i="1" s="1"/>
  <c r="N47" i="1"/>
  <c r="R47" i="1"/>
  <c r="J47" i="1"/>
  <c r="I47" i="1"/>
  <c r="M47" i="1"/>
  <c r="L47" i="1"/>
  <c r="K47" i="1"/>
  <c r="H75" i="3" l="1"/>
  <c r="R74" i="3"/>
  <c r="O51" i="4"/>
  <c r="J51" i="4"/>
  <c r="M51" i="4"/>
  <c r="I51" i="4"/>
  <c r="K51" i="4"/>
  <c r="N51" i="4"/>
  <c r="H52" i="4"/>
  <c r="L51" i="4"/>
  <c r="P51" i="4"/>
  <c r="K50" i="3"/>
  <c r="L50" i="3" s="1"/>
  <c r="M50" i="3" s="1"/>
  <c r="Q51" i="3"/>
  <c r="J51" i="3"/>
  <c r="I51" i="3"/>
  <c r="K51" i="3" s="1"/>
  <c r="R44" i="2"/>
  <c r="T44" i="2"/>
  <c r="AM43" i="2"/>
  <c r="K43" i="2"/>
  <c r="L43" i="2" s="1"/>
  <c r="N43" i="2" s="1"/>
  <c r="O43" i="2" s="1"/>
  <c r="P43" i="2" s="1"/>
  <c r="AH45" i="2"/>
  <c r="AI44" i="2"/>
  <c r="AK44" i="2"/>
  <c r="AN44" i="2" s="1"/>
  <c r="AJ44" i="2"/>
  <c r="AM44" i="2" s="1"/>
  <c r="Q44" i="2"/>
  <c r="H45" i="2"/>
  <c r="U45" i="2" s="1"/>
  <c r="J44" i="2"/>
  <c r="I44" i="2"/>
  <c r="AN43" i="2"/>
  <c r="O48" i="1"/>
  <c r="N48" i="1"/>
  <c r="I48" i="1"/>
  <c r="H49" i="1"/>
  <c r="Q49" i="1" s="1"/>
  <c r="L48" i="1"/>
  <c r="K48" i="1"/>
  <c r="J48" i="1"/>
  <c r="R48" i="1"/>
  <c r="P48" i="1"/>
  <c r="M48" i="1"/>
  <c r="S48" i="1"/>
  <c r="H76" i="3" l="1"/>
  <c r="R75" i="3"/>
  <c r="H53" i="4"/>
  <c r="O52" i="4"/>
  <c r="K52" i="4"/>
  <c r="P52" i="4"/>
  <c r="L52" i="4"/>
  <c r="N52" i="4"/>
  <c r="J52" i="4"/>
  <c r="M52" i="4"/>
  <c r="I52" i="4"/>
  <c r="L51" i="3"/>
  <c r="M51" i="3" s="1"/>
  <c r="I52" i="3"/>
  <c r="Q52" i="3"/>
  <c r="J52" i="3"/>
  <c r="T45" i="2"/>
  <c r="R45" i="2"/>
  <c r="K44" i="2"/>
  <c r="L44" i="2" s="1"/>
  <c r="N44" i="2" s="1"/>
  <c r="O44" i="2" s="1"/>
  <c r="P44" i="2" s="1"/>
  <c r="AJ45" i="2"/>
  <c r="AI45" i="2"/>
  <c r="AH46" i="2"/>
  <c r="AK45" i="2"/>
  <c r="AL44" i="2"/>
  <c r="AL45" i="2" s="1"/>
  <c r="J45" i="2"/>
  <c r="I45" i="2"/>
  <c r="H46" i="2"/>
  <c r="U46" i="2" s="1"/>
  <c r="Q45" i="2"/>
  <c r="N49" i="1"/>
  <c r="M49" i="1"/>
  <c r="J49" i="1"/>
  <c r="I49" i="1"/>
  <c r="S49" i="1"/>
  <c r="O49" i="1"/>
  <c r="R49" i="1"/>
  <c r="L49" i="1"/>
  <c r="P49" i="1"/>
  <c r="H50" i="1"/>
  <c r="Q50" i="1" s="1"/>
  <c r="K49" i="1"/>
  <c r="H77" i="3" l="1"/>
  <c r="R76" i="3"/>
  <c r="N53" i="4"/>
  <c r="L53" i="4"/>
  <c r="M53" i="4"/>
  <c r="K53" i="4"/>
  <c r="P53" i="4"/>
  <c r="J53" i="4"/>
  <c r="H54" i="4"/>
  <c r="I53" i="4"/>
  <c r="O53" i="4"/>
  <c r="K52" i="3"/>
  <c r="L52" i="3" s="1"/>
  <c r="M52" i="3" s="1"/>
  <c r="R46" i="2"/>
  <c r="J53" i="3"/>
  <c r="I53" i="3"/>
  <c r="K53" i="3" s="1"/>
  <c r="L53" i="3" s="1"/>
  <c r="Q53" i="3"/>
  <c r="T46" i="2"/>
  <c r="K45" i="2"/>
  <c r="L45" i="2" s="1"/>
  <c r="N45" i="2" s="1"/>
  <c r="O45" i="2" s="1"/>
  <c r="P45" i="2" s="1"/>
  <c r="AN45" i="2"/>
  <c r="AK46" i="2"/>
  <c r="AJ46" i="2"/>
  <c r="AH47" i="2"/>
  <c r="AI46" i="2"/>
  <c r="AM45" i="2"/>
  <c r="J46" i="2"/>
  <c r="H47" i="2"/>
  <c r="U47" i="2" s="1"/>
  <c r="I46" i="2"/>
  <c r="Q46" i="2"/>
  <c r="M50" i="1"/>
  <c r="L50" i="1"/>
  <c r="K50" i="1"/>
  <c r="J50" i="1"/>
  <c r="I50" i="1"/>
  <c r="H51" i="1"/>
  <c r="Q51" i="1" s="1"/>
  <c r="S50" i="1"/>
  <c r="R50" i="1"/>
  <c r="P50" i="1"/>
  <c r="O50" i="1"/>
  <c r="N50" i="1"/>
  <c r="H78" i="3" l="1"/>
  <c r="R77" i="3"/>
  <c r="O54" i="4"/>
  <c r="N54" i="4"/>
  <c r="K54" i="4"/>
  <c r="M54" i="4"/>
  <c r="J54" i="4"/>
  <c r="L54" i="4"/>
  <c r="H55" i="4"/>
  <c r="P54" i="4"/>
  <c r="I54" i="4"/>
  <c r="M53" i="3"/>
  <c r="J54" i="3"/>
  <c r="I54" i="3"/>
  <c r="K54" i="3" s="1"/>
  <c r="Q54" i="3"/>
  <c r="T47" i="2"/>
  <c r="R47" i="2"/>
  <c r="K46" i="2"/>
  <c r="L46" i="2" s="1"/>
  <c r="N46" i="2" s="1"/>
  <c r="O46" i="2" s="1"/>
  <c r="P46" i="2" s="1"/>
  <c r="AH48" i="2"/>
  <c r="AK47" i="2"/>
  <c r="AJ47" i="2"/>
  <c r="AI47" i="2"/>
  <c r="AM46" i="2"/>
  <c r="AN46" i="2"/>
  <c r="Q47" i="2"/>
  <c r="H48" i="2"/>
  <c r="U48" i="2" s="1"/>
  <c r="I47" i="2"/>
  <c r="J47" i="2"/>
  <c r="AL46" i="2"/>
  <c r="L51" i="1"/>
  <c r="K51" i="1"/>
  <c r="N51" i="1"/>
  <c r="M51" i="1"/>
  <c r="J51" i="1"/>
  <c r="P51" i="1"/>
  <c r="O51" i="1"/>
  <c r="I51" i="1"/>
  <c r="H52" i="1"/>
  <c r="Q52" i="1" s="1"/>
  <c r="S51" i="1"/>
  <c r="R51" i="1"/>
  <c r="H79" i="3" l="1"/>
  <c r="R78" i="3"/>
  <c r="O55" i="4"/>
  <c r="N55" i="4"/>
  <c r="K55" i="4"/>
  <c r="I55" i="4"/>
  <c r="M55" i="4"/>
  <c r="J55" i="4"/>
  <c r="H56" i="4"/>
  <c r="P55" i="4"/>
  <c r="L55" i="4"/>
  <c r="R48" i="2"/>
  <c r="L54" i="3"/>
  <c r="M54" i="3" s="1"/>
  <c r="I55" i="3"/>
  <c r="J55" i="3"/>
  <c r="Q55" i="3"/>
  <c r="T48" i="2"/>
  <c r="K47" i="2"/>
  <c r="AL47" i="2"/>
  <c r="L47" i="2"/>
  <c r="N47" i="2" s="1"/>
  <c r="O47" i="2" s="1"/>
  <c r="P47" i="2" s="1"/>
  <c r="AM47" i="2"/>
  <c r="AN47" i="2"/>
  <c r="AI48" i="2"/>
  <c r="AK48" i="2"/>
  <c r="AN48" i="2" s="1"/>
  <c r="AJ48" i="2"/>
  <c r="AM48" i="2" s="1"/>
  <c r="AH49" i="2"/>
  <c r="AL48" i="2"/>
  <c r="I48" i="2"/>
  <c r="K48" i="2" s="1"/>
  <c r="Q48" i="2"/>
  <c r="H49" i="2"/>
  <c r="U49" i="2" s="1"/>
  <c r="J48" i="2"/>
  <c r="K52" i="1"/>
  <c r="J52" i="1"/>
  <c r="O52" i="1"/>
  <c r="N52" i="1"/>
  <c r="M52" i="1"/>
  <c r="P52" i="1"/>
  <c r="H53" i="1"/>
  <c r="Q53" i="1" s="1"/>
  <c r="S52" i="1"/>
  <c r="R52" i="1"/>
  <c r="L52" i="1"/>
  <c r="I52" i="1"/>
  <c r="H80" i="3" l="1"/>
  <c r="R79" i="3"/>
  <c r="J56" i="4"/>
  <c r="N56" i="4"/>
  <c r="M56" i="4"/>
  <c r="P56" i="4"/>
  <c r="L56" i="4"/>
  <c r="H57" i="4"/>
  <c r="I56" i="4"/>
  <c r="O56" i="4"/>
  <c r="K56" i="4"/>
  <c r="K55" i="3"/>
  <c r="L55" i="3" s="1"/>
  <c r="M55" i="3" s="1"/>
  <c r="J56" i="3"/>
  <c r="I56" i="3"/>
  <c r="Q56" i="3"/>
  <c r="T49" i="2"/>
  <c r="R49" i="2"/>
  <c r="L48" i="2"/>
  <c r="N48" i="2" s="1"/>
  <c r="O48" i="2" s="1"/>
  <c r="P48" i="2" s="1"/>
  <c r="AK49" i="2"/>
  <c r="AJ49" i="2"/>
  <c r="AL49" i="2" s="1"/>
  <c r="AH50" i="2"/>
  <c r="AI49" i="2"/>
  <c r="J49" i="2"/>
  <c r="Q49" i="2"/>
  <c r="H50" i="2"/>
  <c r="U50" i="2" s="1"/>
  <c r="I49" i="2"/>
  <c r="J53" i="1"/>
  <c r="H54" i="1"/>
  <c r="Q54" i="1" s="1"/>
  <c r="I53" i="1"/>
  <c r="P53" i="1"/>
  <c r="O53" i="1"/>
  <c r="N53" i="1"/>
  <c r="K53" i="1"/>
  <c r="S53" i="1"/>
  <c r="L53" i="1"/>
  <c r="M53" i="1"/>
  <c r="R53" i="1"/>
  <c r="H81" i="3" l="1"/>
  <c r="R80" i="3"/>
  <c r="P57" i="4"/>
  <c r="N57" i="4"/>
  <c r="L57" i="4"/>
  <c r="K57" i="4"/>
  <c r="J57" i="4"/>
  <c r="H58" i="4"/>
  <c r="M57" i="4"/>
  <c r="I57" i="4"/>
  <c r="O57" i="4"/>
  <c r="K56" i="3"/>
  <c r="L56" i="3" s="1"/>
  <c r="M56" i="3" s="1"/>
  <c r="J57" i="3"/>
  <c r="I57" i="3"/>
  <c r="K57" i="3" s="1"/>
  <c r="Q57" i="3"/>
  <c r="R50" i="2"/>
  <c r="T50" i="2"/>
  <c r="K49" i="2"/>
  <c r="L49" i="2" s="1"/>
  <c r="N49" i="2" s="1"/>
  <c r="O49" i="2" s="1"/>
  <c r="P49" i="2" s="1"/>
  <c r="AH51" i="2"/>
  <c r="AK50" i="2"/>
  <c r="AJ50" i="2"/>
  <c r="AI50" i="2"/>
  <c r="H51" i="2"/>
  <c r="U51" i="2" s="1"/>
  <c r="Q50" i="2"/>
  <c r="J50" i="2"/>
  <c r="I50" i="2"/>
  <c r="K50" i="2" s="1"/>
  <c r="AM49" i="2"/>
  <c r="AN49" i="2"/>
  <c r="H55" i="1"/>
  <c r="Q55" i="1" s="1"/>
  <c r="I54" i="1"/>
  <c r="S54" i="1"/>
  <c r="R54" i="1"/>
  <c r="P54" i="1"/>
  <c r="O54" i="1"/>
  <c r="L54" i="1"/>
  <c r="N54" i="1"/>
  <c r="M54" i="1"/>
  <c r="K54" i="1"/>
  <c r="J54" i="1"/>
  <c r="H82" i="3" l="1"/>
  <c r="R81" i="3"/>
  <c r="N58" i="4"/>
  <c r="L58" i="4"/>
  <c r="M58" i="4"/>
  <c r="J58" i="4"/>
  <c r="H59" i="4"/>
  <c r="K58" i="4"/>
  <c r="P58" i="4"/>
  <c r="I58" i="4"/>
  <c r="O58" i="4"/>
  <c r="L57" i="3"/>
  <c r="M57" i="3" s="1"/>
  <c r="I58" i="3"/>
  <c r="Q58" i="3"/>
  <c r="J58" i="3"/>
  <c r="T51" i="2"/>
  <c r="R51" i="2"/>
  <c r="L50" i="2"/>
  <c r="N50" i="2" s="1"/>
  <c r="O50" i="2" s="1"/>
  <c r="P50" i="2" s="1"/>
  <c r="Q51" i="2"/>
  <c r="H52" i="2"/>
  <c r="U52" i="2" s="1"/>
  <c r="J51" i="2"/>
  <c r="I51" i="2"/>
  <c r="AM50" i="2"/>
  <c r="AL50" i="2"/>
  <c r="AN50" i="2"/>
  <c r="AH52" i="2"/>
  <c r="AK51" i="2"/>
  <c r="AJ51" i="2"/>
  <c r="AI51" i="2"/>
  <c r="S55" i="1"/>
  <c r="R55" i="1"/>
  <c r="H56" i="1"/>
  <c r="Q56" i="1" s="1"/>
  <c r="P55" i="1"/>
  <c r="I55" i="1"/>
  <c r="O55" i="1"/>
  <c r="L55" i="1"/>
  <c r="K55" i="1"/>
  <c r="N55" i="1"/>
  <c r="J55" i="1"/>
  <c r="M55" i="1"/>
  <c r="H83" i="3" l="1"/>
  <c r="R82" i="3"/>
  <c r="P59" i="4"/>
  <c r="K59" i="4"/>
  <c r="J59" i="4"/>
  <c r="N59" i="4"/>
  <c r="M59" i="4"/>
  <c r="I59" i="4"/>
  <c r="O59" i="4"/>
  <c r="L59" i="4"/>
  <c r="H60" i="4"/>
  <c r="K58" i="3"/>
  <c r="L58" i="3"/>
  <c r="M58" i="3" s="1"/>
  <c r="Q59" i="3"/>
  <c r="J59" i="3"/>
  <c r="I59" i="3"/>
  <c r="K59" i="3" s="1"/>
  <c r="R52" i="2"/>
  <c r="T52" i="2"/>
  <c r="K51" i="2"/>
  <c r="L51" i="2" s="1"/>
  <c r="N51" i="2" s="1"/>
  <c r="O51" i="2" s="1"/>
  <c r="P51" i="2" s="1"/>
  <c r="AM51" i="2"/>
  <c r="AN51" i="2"/>
  <c r="M7" i="2"/>
  <c r="N7" i="2" s="1"/>
  <c r="O7" i="2" s="1"/>
  <c r="P7" i="2" s="1"/>
  <c r="AL51" i="2"/>
  <c r="AJ52" i="2"/>
  <c r="AI52" i="2"/>
  <c r="AH53" i="2"/>
  <c r="AK52" i="2"/>
  <c r="AG52" i="2"/>
  <c r="J52" i="2"/>
  <c r="I52" i="2"/>
  <c r="K52" i="2" s="1"/>
  <c r="Q52" i="2"/>
  <c r="H53" i="2"/>
  <c r="U53" i="2" s="1"/>
  <c r="R56" i="1"/>
  <c r="P56" i="1"/>
  <c r="I56" i="1"/>
  <c r="H57" i="1"/>
  <c r="Q57" i="1" s="1"/>
  <c r="M56" i="1"/>
  <c r="L56" i="1"/>
  <c r="J56" i="1"/>
  <c r="K56" i="1"/>
  <c r="S56" i="1"/>
  <c r="O56" i="1"/>
  <c r="N56" i="1"/>
  <c r="H84" i="3" l="1"/>
  <c r="R83" i="3"/>
  <c r="K60" i="4"/>
  <c r="P60" i="4"/>
  <c r="J60" i="4"/>
  <c r="M60" i="4"/>
  <c r="O60" i="4"/>
  <c r="N60" i="4"/>
  <c r="L60" i="4"/>
  <c r="H61" i="4"/>
  <c r="I60" i="4"/>
  <c r="L59" i="3"/>
  <c r="M59" i="3" s="1"/>
  <c r="I60" i="3"/>
  <c r="Q60" i="3"/>
  <c r="J60" i="3"/>
  <c r="U7" i="2"/>
  <c r="T53" i="2"/>
  <c r="R53" i="2"/>
  <c r="AM52" i="2"/>
  <c r="AL52" i="2"/>
  <c r="L52" i="2"/>
  <c r="N52" i="2" s="1"/>
  <c r="O52" i="2" s="1"/>
  <c r="P52" i="2" s="1"/>
  <c r="AK53" i="2"/>
  <c r="AH54" i="2"/>
  <c r="AI53" i="2"/>
  <c r="AJ53" i="2"/>
  <c r="AM53" i="2" s="1"/>
  <c r="AN52" i="2"/>
  <c r="Q53" i="2"/>
  <c r="J53" i="2"/>
  <c r="H54" i="2"/>
  <c r="I53" i="2"/>
  <c r="P57" i="1"/>
  <c r="O57" i="1"/>
  <c r="J57" i="1"/>
  <c r="I57" i="1"/>
  <c r="H58" i="1"/>
  <c r="Q58" i="1" s="1"/>
  <c r="N57" i="1"/>
  <c r="M57" i="1"/>
  <c r="S57" i="1"/>
  <c r="R57" i="1"/>
  <c r="K57" i="1"/>
  <c r="L57" i="1"/>
  <c r="H85" i="3" l="1"/>
  <c r="R84" i="3"/>
  <c r="L61" i="4"/>
  <c r="J61" i="4"/>
  <c r="I61" i="4"/>
  <c r="O61" i="4"/>
  <c r="H62" i="4"/>
  <c r="N61" i="4"/>
  <c r="M61" i="4"/>
  <c r="K61" i="4"/>
  <c r="P61" i="4"/>
  <c r="K60" i="3"/>
  <c r="L60" i="3" s="1"/>
  <c r="M60" i="3" s="1"/>
  <c r="Q61" i="3"/>
  <c r="J61" i="3"/>
  <c r="I61" i="3"/>
  <c r="K61" i="3" s="1"/>
  <c r="R54" i="2"/>
  <c r="U54" i="2"/>
  <c r="T54" i="2"/>
  <c r="K53" i="2"/>
  <c r="L53" i="2"/>
  <c r="N53" i="2" s="1"/>
  <c r="O53" i="2" s="1"/>
  <c r="P53" i="2" s="1"/>
  <c r="Q54" i="2"/>
  <c r="H55" i="2"/>
  <c r="P54" i="2"/>
  <c r="N54" i="2"/>
  <c r="O54" i="2" s="1"/>
  <c r="L54" i="2"/>
  <c r="K54" i="2"/>
  <c r="J54" i="2"/>
  <c r="I54" i="2"/>
  <c r="AH55" i="2"/>
  <c r="AI54" i="2"/>
  <c r="AK54" i="2"/>
  <c r="AJ54" i="2"/>
  <c r="AM54" i="2" s="1"/>
  <c r="AN53" i="2"/>
  <c r="AL53" i="2"/>
  <c r="O58" i="1"/>
  <c r="N58" i="1"/>
  <c r="K58" i="1"/>
  <c r="J58" i="1"/>
  <c r="I58" i="1"/>
  <c r="H59" i="1"/>
  <c r="Q59" i="1" s="1"/>
  <c r="P58" i="1"/>
  <c r="S58" i="1"/>
  <c r="M58" i="1"/>
  <c r="L58" i="1"/>
  <c r="R58" i="1"/>
  <c r="H86" i="3" l="1"/>
  <c r="R85" i="3"/>
  <c r="P62" i="4"/>
  <c r="O62" i="4"/>
  <c r="N62" i="4"/>
  <c r="L62" i="4"/>
  <c r="J62" i="4"/>
  <c r="I62" i="4"/>
  <c r="M62" i="4"/>
  <c r="K62" i="4"/>
  <c r="H63" i="4"/>
  <c r="L61" i="3"/>
  <c r="M61" i="3" s="1"/>
  <c r="AL54" i="2"/>
  <c r="Q62" i="3"/>
  <c r="J62" i="3"/>
  <c r="I62" i="3"/>
  <c r="U55" i="2"/>
  <c r="T55" i="2"/>
  <c r="R55" i="2"/>
  <c r="I55" i="2"/>
  <c r="N55" i="2"/>
  <c r="O55" i="2" s="1"/>
  <c r="H56" i="2"/>
  <c r="L55" i="2"/>
  <c r="K55" i="2"/>
  <c r="J55" i="2"/>
  <c r="P55" i="2"/>
  <c r="Q55" i="2"/>
  <c r="AN54" i="2"/>
  <c r="AI55" i="2"/>
  <c r="AH56" i="2"/>
  <c r="AK55" i="2"/>
  <c r="AJ55" i="2"/>
  <c r="AL55" i="2" s="1"/>
  <c r="N59" i="1"/>
  <c r="M59" i="1"/>
  <c r="L59" i="1"/>
  <c r="K59" i="1"/>
  <c r="J59" i="1"/>
  <c r="R59" i="1"/>
  <c r="P59" i="1"/>
  <c r="I59" i="1"/>
  <c r="O59" i="1"/>
  <c r="H60" i="1"/>
  <c r="Q60" i="1" s="1"/>
  <c r="S59" i="1"/>
  <c r="H87" i="3" l="1"/>
  <c r="R86" i="3"/>
  <c r="L63" i="4"/>
  <c r="H64" i="4"/>
  <c r="I63" i="4"/>
  <c r="O63" i="4"/>
  <c r="J63" i="4"/>
  <c r="P63" i="4"/>
  <c r="M63" i="4"/>
  <c r="K63" i="4"/>
  <c r="N63" i="4"/>
  <c r="K62" i="3"/>
  <c r="L62" i="3"/>
  <c r="M62" i="3" s="1"/>
  <c r="Q63" i="3"/>
  <c r="J63" i="3"/>
  <c r="I63" i="3"/>
  <c r="K63" i="3" s="1"/>
  <c r="U56" i="2"/>
  <c r="T56" i="2"/>
  <c r="R56" i="2"/>
  <c r="AK56" i="2"/>
  <c r="AJ56" i="2"/>
  <c r="AH57" i="2"/>
  <c r="AI56" i="2"/>
  <c r="L56" i="2"/>
  <c r="K56" i="2"/>
  <c r="J56" i="2"/>
  <c r="N56" i="2"/>
  <c r="O56" i="2" s="1"/>
  <c r="H57" i="2"/>
  <c r="I56" i="2"/>
  <c r="Q56" i="2"/>
  <c r="P56" i="2"/>
  <c r="AM55" i="2"/>
  <c r="AN55" i="2"/>
  <c r="M60" i="1"/>
  <c r="L60" i="1"/>
  <c r="O60" i="1"/>
  <c r="N60" i="1"/>
  <c r="K60" i="1"/>
  <c r="S60" i="1"/>
  <c r="H61" i="1"/>
  <c r="Q61" i="1" s="1"/>
  <c r="R60" i="1"/>
  <c r="P60" i="1"/>
  <c r="J60" i="1"/>
  <c r="I60" i="1"/>
  <c r="H88" i="3" l="1"/>
  <c r="R87" i="3"/>
  <c r="O64" i="4"/>
  <c r="K64" i="4"/>
  <c r="N64" i="4"/>
  <c r="M64" i="4"/>
  <c r="I64" i="4"/>
  <c r="L64" i="4"/>
  <c r="J64" i="4"/>
  <c r="H65" i="4"/>
  <c r="P64" i="4"/>
  <c r="L63" i="3"/>
  <c r="M63" i="3" s="1"/>
  <c r="Q64" i="3"/>
  <c r="J64" i="3"/>
  <c r="I64" i="3"/>
  <c r="K64" i="3" s="1"/>
  <c r="U57" i="2"/>
  <c r="T57" i="2"/>
  <c r="R57" i="2"/>
  <c r="AM56" i="2"/>
  <c r="AH58" i="2"/>
  <c r="AK57" i="2"/>
  <c r="AJ57" i="2"/>
  <c r="AI57" i="2"/>
  <c r="AN56" i="2"/>
  <c r="AL56" i="2"/>
  <c r="H58" i="2"/>
  <c r="P57" i="2"/>
  <c r="N57" i="2"/>
  <c r="O57" i="2" s="1"/>
  <c r="I57" i="2"/>
  <c r="Q57" i="2"/>
  <c r="J57" i="2"/>
  <c r="L57" i="2"/>
  <c r="K57" i="2"/>
  <c r="L61" i="1"/>
  <c r="K61" i="1"/>
  <c r="P61" i="1"/>
  <c r="O61" i="1"/>
  <c r="N61" i="1"/>
  <c r="J61" i="1"/>
  <c r="I61" i="1"/>
  <c r="S61" i="1"/>
  <c r="R61" i="1"/>
  <c r="M61" i="1"/>
  <c r="H62" i="1"/>
  <c r="Q62" i="1" s="1"/>
  <c r="H89" i="3" l="1"/>
  <c r="R88" i="3"/>
  <c r="N65" i="4"/>
  <c r="M65" i="4"/>
  <c r="L65" i="4"/>
  <c r="K65" i="4"/>
  <c r="P65" i="4"/>
  <c r="I65" i="4"/>
  <c r="H66" i="4"/>
  <c r="J65" i="4"/>
  <c r="O65" i="4"/>
  <c r="L64" i="3"/>
  <c r="M64" i="3"/>
  <c r="AL57" i="2"/>
  <c r="I65" i="3"/>
  <c r="J65" i="3"/>
  <c r="K65" i="3" s="1"/>
  <c r="Q65" i="3"/>
  <c r="U58" i="2"/>
  <c r="T58" i="2"/>
  <c r="R58" i="2"/>
  <c r="AN57" i="2"/>
  <c r="AK58" i="2"/>
  <c r="AJ58" i="2"/>
  <c r="AL58" i="2" s="1"/>
  <c r="AI58" i="2"/>
  <c r="AH59" i="2"/>
  <c r="Q58" i="2"/>
  <c r="P58" i="2"/>
  <c r="N58" i="2"/>
  <c r="O58" i="2" s="1"/>
  <c r="H59" i="2"/>
  <c r="L58" i="2"/>
  <c r="I58" i="2"/>
  <c r="K58" i="2"/>
  <c r="J58" i="2"/>
  <c r="AM57" i="2"/>
  <c r="K62" i="1"/>
  <c r="J62" i="1"/>
  <c r="R62" i="1"/>
  <c r="P62" i="1"/>
  <c r="O62" i="1"/>
  <c r="H63" i="1"/>
  <c r="Q63" i="1" s="1"/>
  <c r="L62" i="1"/>
  <c r="S62" i="1"/>
  <c r="M62" i="1"/>
  <c r="N62" i="1"/>
  <c r="I62" i="1"/>
  <c r="H90" i="3" l="1"/>
  <c r="R89" i="3"/>
  <c r="O66" i="4"/>
  <c r="N66" i="4"/>
  <c r="M66" i="4"/>
  <c r="K66" i="4"/>
  <c r="L66" i="4"/>
  <c r="J66" i="4"/>
  <c r="H67" i="4"/>
  <c r="I66" i="4"/>
  <c r="P66" i="4"/>
  <c r="L65" i="3"/>
  <c r="M65" i="3" s="1"/>
  <c r="J66" i="3"/>
  <c r="I66" i="3"/>
  <c r="Q66" i="3"/>
  <c r="U59" i="2"/>
  <c r="T59" i="2"/>
  <c r="R59" i="2"/>
  <c r="AK59" i="2"/>
  <c r="AJ59" i="2"/>
  <c r="AL59" i="2" s="1"/>
  <c r="AI59" i="2"/>
  <c r="AH60" i="2"/>
  <c r="AM58" i="2"/>
  <c r="K59" i="2"/>
  <c r="J59" i="2"/>
  <c r="I59" i="2"/>
  <c r="Q59" i="2"/>
  <c r="P59" i="2"/>
  <c r="N59" i="2"/>
  <c r="O59" i="2" s="1"/>
  <c r="H60" i="2"/>
  <c r="L59" i="2"/>
  <c r="AN58" i="2"/>
  <c r="J63" i="1"/>
  <c r="H64" i="1"/>
  <c r="Q64" i="1" s="1"/>
  <c r="I63" i="1"/>
  <c r="S63" i="1"/>
  <c r="R63" i="1"/>
  <c r="P63" i="1"/>
  <c r="O63" i="1"/>
  <c r="N63" i="1"/>
  <c r="M63" i="1"/>
  <c r="L63" i="1"/>
  <c r="K63" i="1"/>
  <c r="H91" i="3" l="1"/>
  <c r="R90" i="3"/>
  <c r="O67" i="4"/>
  <c r="K67" i="4"/>
  <c r="P67" i="4"/>
  <c r="M67" i="4"/>
  <c r="N67" i="4"/>
  <c r="L67" i="4"/>
  <c r="J67" i="4"/>
  <c r="H68" i="4"/>
  <c r="I67" i="4"/>
  <c r="K66" i="3"/>
  <c r="L66" i="3" s="1"/>
  <c r="M66" i="3" s="1"/>
  <c r="J67" i="3"/>
  <c r="Q67" i="3"/>
  <c r="I67" i="3"/>
  <c r="U60" i="2"/>
  <c r="T60" i="2"/>
  <c r="R60" i="2"/>
  <c r="AK60" i="2"/>
  <c r="AJ60" i="2"/>
  <c r="AI60" i="2"/>
  <c r="AH61" i="2"/>
  <c r="N60" i="2"/>
  <c r="O60" i="2" s="1"/>
  <c r="L60" i="2"/>
  <c r="Q60" i="2"/>
  <c r="P60" i="2"/>
  <c r="K60" i="2"/>
  <c r="J60" i="2"/>
  <c r="H61" i="2"/>
  <c r="I60" i="2"/>
  <c r="AM59" i="2"/>
  <c r="AN59" i="2"/>
  <c r="H65" i="1"/>
  <c r="Q65" i="1" s="1"/>
  <c r="I64" i="1"/>
  <c r="S64" i="1"/>
  <c r="R64" i="1"/>
  <c r="N64" i="1"/>
  <c r="K64" i="1"/>
  <c r="M64" i="1"/>
  <c r="L64" i="1"/>
  <c r="J64" i="1"/>
  <c r="P64" i="1"/>
  <c r="O64" i="1"/>
  <c r="H92" i="3" l="1"/>
  <c r="R91" i="3"/>
  <c r="N68" i="4"/>
  <c r="L68" i="4"/>
  <c r="M68" i="4"/>
  <c r="K68" i="4"/>
  <c r="H69" i="4"/>
  <c r="I68" i="4"/>
  <c r="J68" i="4"/>
  <c r="O68" i="4"/>
  <c r="P68" i="4"/>
  <c r="K67" i="3"/>
  <c r="M67" i="3" s="1"/>
  <c r="L67" i="3"/>
  <c r="J68" i="3"/>
  <c r="I68" i="3"/>
  <c r="Q68" i="3"/>
  <c r="U61" i="2"/>
  <c r="T61" i="2"/>
  <c r="R61" i="2"/>
  <c r="AM60" i="2"/>
  <c r="AN60" i="2"/>
  <c r="Q61" i="2"/>
  <c r="H62" i="2"/>
  <c r="P61" i="2"/>
  <c r="L61" i="2"/>
  <c r="K61" i="2"/>
  <c r="J61" i="2"/>
  <c r="I61" i="2"/>
  <c r="N61" i="2"/>
  <c r="O61" i="2" s="1"/>
  <c r="AH62" i="2"/>
  <c r="AK61" i="2"/>
  <c r="AJ61" i="2"/>
  <c r="AI61" i="2"/>
  <c r="AL60" i="2"/>
  <c r="S65" i="1"/>
  <c r="R65" i="1"/>
  <c r="J65" i="1"/>
  <c r="I65" i="1"/>
  <c r="H66" i="1"/>
  <c r="Q66" i="1" s="1"/>
  <c r="O65" i="1"/>
  <c r="N65" i="1"/>
  <c r="P65" i="1"/>
  <c r="K65" i="1"/>
  <c r="M65" i="1"/>
  <c r="L65" i="1"/>
  <c r="H93" i="3" l="1"/>
  <c r="R92" i="3"/>
  <c r="H70" i="4"/>
  <c r="N69" i="4"/>
  <c r="K69" i="4"/>
  <c r="M69" i="4"/>
  <c r="I69" i="4"/>
  <c r="P69" i="4"/>
  <c r="J69" i="4"/>
  <c r="O69" i="4"/>
  <c r="L69" i="4"/>
  <c r="K68" i="3"/>
  <c r="L68" i="3"/>
  <c r="M68" i="3" s="1"/>
  <c r="AL61" i="2"/>
  <c r="J69" i="3"/>
  <c r="I69" i="3"/>
  <c r="K69" i="3" s="1"/>
  <c r="Q69" i="3"/>
  <c r="U62" i="2"/>
  <c r="T62" i="2"/>
  <c r="R62" i="2"/>
  <c r="AJ62" i="2"/>
  <c r="AL62" i="2" s="1"/>
  <c r="AI62" i="2"/>
  <c r="AH63" i="2"/>
  <c r="AK62" i="2"/>
  <c r="AM61" i="2"/>
  <c r="J62" i="2"/>
  <c r="I62" i="2"/>
  <c r="K62" i="2"/>
  <c r="Q62" i="2"/>
  <c r="P62" i="2"/>
  <c r="H63" i="2"/>
  <c r="L62" i="2"/>
  <c r="N62" i="2"/>
  <c r="O62" i="2" s="1"/>
  <c r="AN61" i="2"/>
  <c r="R66" i="1"/>
  <c r="P66" i="1"/>
  <c r="K66" i="1"/>
  <c r="J66" i="1"/>
  <c r="I66" i="1"/>
  <c r="L66" i="1"/>
  <c r="M66" i="1"/>
  <c r="S66" i="1"/>
  <c r="H67" i="1"/>
  <c r="Q67" i="1" s="1"/>
  <c r="O66" i="1"/>
  <c r="N66" i="1"/>
  <c r="H94" i="3" l="1"/>
  <c r="R93" i="3"/>
  <c r="L70" i="4"/>
  <c r="K70" i="4"/>
  <c r="J70" i="4"/>
  <c r="I70" i="4"/>
  <c r="H71" i="4"/>
  <c r="P70" i="4"/>
  <c r="N70" i="4"/>
  <c r="O70" i="4"/>
  <c r="M70" i="4"/>
  <c r="L69" i="3"/>
  <c r="M69" i="3" s="1"/>
  <c r="AN62" i="2"/>
  <c r="I70" i="3"/>
  <c r="J70" i="3"/>
  <c r="Q70" i="3"/>
  <c r="U63" i="2"/>
  <c r="T63" i="2"/>
  <c r="R63" i="2"/>
  <c r="N63" i="2"/>
  <c r="O63" i="2" s="1"/>
  <c r="L63" i="2"/>
  <c r="K63" i="2"/>
  <c r="Q63" i="2"/>
  <c r="P63" i="2"/>
  <c r="H64" i="2"/>
  <c r="J63" i="2"/>
  <c r="I63" i="2"/>
  <c r="AK63" i="2"/>
  <c r="AH64" i="2"/>
  <c r="AJ63" i="2"/>
  <c r="AL63" i="2" s="1"/>
  <c r="AI63" i="2"/>
  <c r="AM62" i="2"/>
  <c r="P67" i="1"/>
  <c r="O67" i="1"/>
  <c r="L67" i="1"/>
  <c r="K67" i="1"/>
  <c r="J67" i="1"/>
  <c r="S67" i="1"/>
  <c r="M67" i="1"/>
  <c r="I67" i="1"/>
  <c r="R67" i="1"/>
  <c r="N67" i="1"/>
  <c r="H68" i="1"/>
  <c r="Q68" i="1" s="1"/>
  <c r="H95" i="3" l="1"/>
  <c r="R95" i="3" s="1"/>
  <c r="R94" i="3"/>
  <c r="L71" i="4"/>
  <c r="K71" i="4"/>
  <c r="P71" i="4"/>
  <c r="I71" i="4"/>
  <c r="O71" i="4"/>
  <c r="N71" i="4"/>
  <c r="M71" i="4"/>
  <c r="J71" i="4"/>
  <c r="H72" i="4"/>
  <c r="K70" i="3"/>
  <c r="L70" i="3" s="1"/>
  <c r="M70" i="3" s="1"/>
  <c r="I71" i="3"/>
  <c r="Q71" i="3"/>
  <c r="J71" i="3"/>
  <c r="R64" i="2"/>
  <c r="U64" i="2"/>
  <c r="T64" i="2"/>
  <c r="H65" i="2"/>
  <c r="Q64" i="2"/>
  <c r="P64" i="2"/>
  <c r="N64" i="2"/>
  <c r="O64" i="2" s="1"/>
  <c r="L64" i="2"/>
  <c r="K64" i="2"/>
  <c r="J64" i="2"/>
  <c r="I64" i="2"/>
  <c r="AM63" i="2"/>
  <c r="AH65" i="2"/>
  <c r="AG64" i="2"/>
  <c r="AI64" i="2"/>
  <c r="AK64" i="2"/>
  <c r="AJ64" i="2"/>
  <c r="AN63" i="2"/>
  <c r="M8" i="2"/>
  <c r="N8" i="2" s="1"/>
  <c r="O8" i="2" s="1"/>
  <c r="P8" i="2" s="1"/>
  <c r="O68" i="1"/>
  <c r="N68" i="1"/>
  <c r="M68" i="1"/>
  <c r="L68" i="1"/>
  <c r="K68" i="1"/>
  <c r="H69" i="1"/>
  <c r="Q69" i="1" s="1"/>
  <c r="S68" i="1"/>
  <c r="J68" i="1"/>
  <c r="R68" i="1"/>
  <c r="I68" i="1"/>
  <c r="P68" i="1"/>
  <c r="J72" i="4" l="1"/>
  <c r="I72" i="4"/>
  <c r="O72" i="4"/>
  <c r="P72" i="4"/>
  <c r="L72" i="4"/>
  <c r="K72" i="4"/>
  <c r="H73" i="4"/>
  <c r="N72" i="4"/>
  <c r="M72" i="4"/>
  <c r="K71" i="3"/>
  <c r="L71" i="3" s="1"/>
  <c r="Q72" i="3"/>
  <c r="I72" i="3"/>
  <c r="J72" i="3"/>
  <c r="U8" i="2"/>
  <c r="U65" i="2"/>
  <c r="T65" i="2"/>
  <c r="R65" i="2"/>
  <c r="AM64" i="2"/>
  <c r="AL64" i="2"/>
  <c r="AN64" i="2"/>
  <c r="AH66" i="2"/>
  <c r="AK65" i="2"/>
  <c r="AJ65" i="2"/>
  <c r="AI65" i="2"/>
  <c r="Q65" i="2"/>
  <c r="N65" i="2"/>
  <c r="O65" i="2" s="1"/>
  <c r="H66" i="2"/>
  <c r="L65" i="2"/>
  <c r="K65" i="2"/>
  <c r="J65" i="2"/>
  <c r="I65" i="2"/>
  <c r="P65" i="2"/>
  <c r="N69" i="1"/>
  <c r="M69" i="1"/>
  <c r="P69" i="1"/>
  <c r="O69" i="1"/>
  <c r="L69" i="1"/>
  <c r="K69" i="1"/>
  <c r="J69" i="1"/>
  <c r="I69" i="1"/>
  <c r="H70" i="1"/>
  <c r="Q70" i="1" s="1"/>
  <c r="S69" i="1"/>
  <c r="R69" i="1"/>
  <c r="P73" i="4" l="1"/>
  <c r="M73" i="4"/>
  <c r="I73" i="4"/>
  <c r="O73" i="4"/>
  <c r="N73" i="4"/>
  <c r="K73" i="4"/>
  <c r="J73" i="4"/>
  <c r="L73" i="4"/>
  <c r="H74" i="4"/>
  <c r="M71" i="3"/>
  <c r="K72" i="3"/>
  <c r="L72" i="3"/>
  <c r="M72" i="3" s="1"/>
  <c r="Q73" i="3"/>
  <c r="J73" i="3"/>
  <c r="I73" i="3"/>
  <c r="K73" i="3" s="1"/>
  <c r="U66" i="2"/>
  <c r="T66" i="2"/>
  <c r="R66" i="2"/>
  <c r="AM65" i="2"/>
  <c r="AN65" i="2"/>
  <c r="AL65" i="2"/>
  <c r="AL66" i="2" s="1"/>
  <c r="AK66" i="2"/>
  <c r="AJ66" i="2"/>
  <c r="AI66" i="2"/>
  <c r="AH67" i="2"/>
  <c r="K66" i="2"/>
  <c r="J66" i="2"/>
  <c r="I66" i="2"/>
  <c r="N66" i="2"/>
  <c r="O66" i="2" s="1"/>
  <c r="H67" i="2"/>
  <c r="L66" i="2"/>
  <c r="Q66" i="2"/>
  <c r="P66" i="2"/>
  <c r="M70" i="1"/>
  <c r="L70" i="1"/>
  <c r="R70" i="1"/>
  <c r="P70" i="1"/>
  <c r="O70" i="1"/>
  <c r="N70" i="1"/>
  <c r="H71" i="1"/>
  <c r="Q71" i="1" s="1"/>
  <c r="K70" i="1"/>
  <c r="S70" i="1"/>
  <c r="J70" i="1"/>
  <c r="I70" i="1"/>
  <c r="N74" i="4" l="1"/>
  <c r="L74" i="4"/>
  <c r="M74" i="4"/>
  <c r="J74" i="4"/>
  <c r="I74" i="4"/>
  <c r="H75" i="4"/>
  <c r="K74" i="4"/>
  <c r="O74" i="4"/>
  <c r="P74" i="4"/>
  <c r="L73" i="3"/>
  <c r="M73" i="3" s="1"/>
  <c r="I74" i="3"/>
  <c r="J74" i="3"/>
  <c r="K74" i="3" s="1"/>
  <c r="Q74" i="3"/>
  <c r="U67" i="2"/>
  <c r="T67" i="2"/>
  <c r="R67" i="2"/>
  <c r="AK67" i="2"/>
  <c r="AJ67" i="2"/>
  <c r="AH68" i="2"/>
  <c r="AI67" i="2"/>
  <c r="AN66" i="2"/>
  <c r="AM66" i="2"/>
  <c r="N67" i="2"/>
  <c r="O67" i="2" s="1"/>
  <c r="L67" i="2"/>
  <c r="H68" i="2"/>
  <c r="I67" i="2"/>
  <c r="Q67" i="2"/>
  <c r="J67" i="2"/>
  <c r="P67" i="2"/>
  <c r="K67" i="2"/>
  <c r="L71" i="1"/>
  <c r="K71" i="1"/>
  <c r="S71" i="1"/>
  <c r="R71" i="1"/>
  <c r="P71" i="1"/>
  <c r="I71" i="1"/>
  <c r="N71" i="1"/>
  <c r="M71" i="1"/>
  <c r="H72" i="1"/>
  <c r="Q72" i="1" s="1"/>
  <c r="J71" i="1"/>
  <c r="O71" i="1"/>
  <c r="P75" i="4" l="1"/>
  <c r="I75" i="4"/>
  <c r="O75" i="4"/>
  <c r="N75" i="4"/>
  <c r="M75" i="4"/>
  <c r="L75" i="4"/>
  <c r="K75" i="4"/>
  <c r="J75" i="4"/>
  <c r="H76" i="4"/>
  <c r="L74" i="3"/>
  <c r="M74" i="3" s="1"/>
  <c r="I75" i="3"/>
  <c r="Q75" i="3"/>
  <c r="J75" i="3"/>
  <c r="U68" i="2"/>
  <c r="T68" i="2"/>
  <c r="R68" i="2"/>
  <c r="AM67" i="2"/>
  <c r="Q68" i="2"/>
  <c r="H69" i="2"/>
  <c r="P68" i="2"/>
  <c r="N68" i="2"/>
  <c r="O68" i="2" s="1"/>
  <c r="L68" i="2"/>
  <c r="I68" i="2"/>
  <c r="K68" i="2"/>
  <c r="J68" i="2"/>
  <c r="AN67" i="2"/>
  <c r="AL67" i="2"/>
  <c r="AH69" i="2"/>
  <c r="AK68" i="2"/>
  <c r="AJ68" i="2"/>
  <c r="AI68" i="2"/>
  <c r="K72" i="1"/>
  <c r="J72" i="1"/>
  <c r="H73" i="1"/>
  <c r="Q73" i="1" s="1"/>
  <c r="S72" i="1"/>
  <c r="R72" i="1"/>
  <c r="O72" i="1"/>
  <c r="I72" i="1"/>
  <c r="N72" i="1"/>
  <c r="L72" i="1"/>
  <c r="M72" i="1"/>
  <c r="P72" i="1"/>
  <c r="P76" i="4" l="1"/>
  <c r="O76" i="4"/>
  <c r="K76" i="4"/>
  <c r="M76" i="4"/>
  <c r="N76" i="4"/>
  <c r="L76" i="4"/>
  <c r="H77" i="4"/>
  <c r="I76" i="4"/>
  <c r="J76" i="4"/>
  <c r="K75" i="3"/>
  <c r="L75" i="3"/>
  <c r="M75" i="3" s="1"/>
  <c r="Q76" i="3"/>
  <c r="I76" i="3"/>
  <c r="J76" i="3"/>
  <c r="K76" i="3" s="1"/>
  <c r="R69" i="2"/>
  <c r="U69" i="2"/>
  <c r="T69" i="2"/>
  <c r="AN68" i="2"/>
  <c r="AL68" i="2"/>
  <c r="AL69" i="2" s="1"/>
  <c r="AJ69" i="2"/>
  <c r="AI69" i="2"/>
  <c r="AK69" i="2"/>
  <c r="AH70" i="2"/>
  <c r="J69" i="2"/>
  <c r="I69" i="2"/>
  <c r="Q69" i="2"/>
  <c r="P69" i="2"/>
  <c r="N69" i="2"/>
  <c r="O69" i="2" s="1"/>
  <c r="H70" i="2"/>
  <c r="L69" i="2"/>
  <c r="K69" i="2"/>
  <c r="AM68" i="2"/>
  <c r="J73" i="1"/>
  <c r="H74" i="1"/>
  <c r="Q74" i="1" s="1"/>
  <c r="I73" i="1"/>
  <c r="S73" i="1"/>
  <c r="K73" i="1"/>
  <c r="R73" i="1"/>
  <c r="P73" i="1"/>
  <c r="N73" i="1"/>
  <c r="O73" i="1"/>
  <c r="M73" i="1"/>
  <c r="L73" i="1"/>
  <c r="K77" i="4" l="1"/>
  <c r="H78" i="4"/>
  <c r="P77" i="4"/>
  <c r="O77" i="4"/>
  <c r="N77" i="4"/>
  <c r="M77" i="4"/>
  <c r="I77" i="4"/>
  <c r="J77" i="4"/>
  <c r="L77" i="4"/>
  <c r="L76" i="3"/>
  <c r="M76" i="3" s="1"/>
  <c r="AN69" i="2"/>
  <c r="Q77" i="3"/>
  <c r="J77" i="3"/>
  <c r="I77" i="3"/>
  <c r="K77" i="3" s="1"/>
  <c r="U70" i="2"/>
  <c r="T70" i="2"/>
  <c r="R70" i="2"/>
  <c r="AK70" i="2"/>
  <c r="AJ70" i="2"/>
  <c r="AH71" i="2"/>
  <c r="AI70" i="2"/>
  <c r="N70" i="2"/>
  <c r="O70" i="2" s="1"/>
  <c r="L70" i="2"/>
  <c r="K70" i="2"/>
  <c r="Q70" i="2"/>
  <c r="P70" i="2"/>
  <c r="J70" i="2"/>
  <c r="H71" i="2"/>
  <c r="I70" i="2"/>
  <c r="AM69" i="2"/>
  <c r="H75" i="1"/>
  <c r="Q75" i="1" s="1"/>
  <c r="I74" i="1"/>
  <c r="S74" i="1"/>
  <c r="K74" i="1"/>
  <c r="J74" i="1"/>
  <c r="L74" i="1"/>
  <c r="O74" i="1"/>
  <c r="N74" i="1"/>
  <c r="M74" i="1"/>
  <c r="R74" i="1"/>
  <c r="P74" i="1"/>
  <c r="K78" i="4" l="1"/>
  <c r="L78" i="4"/>
  <c r="H79" i="4"/>
  <c r="I78" i="4"/>
  <c r="P78" i="4"/>
  <c r="O78" i="4"/>
  <c r="N78" i="4"/>
  <c r="J78" i="4"/>
  <c r="M78" i="4"/>
  <c r="L77" i="3"/>
  <c r="M77" i="3" s="1"/>
  <c r="Q78" i="3"/>
  <c r="J78" i="3"/>
  <c r="I78" i="3"/>
  <c r="K78" i="3" s="1"/>
  <c r="U71" i="2"/>
  <c r="R71" i="2"/>
  <c r="T71" i="2"/>
  <c r="AM70" i="2"/>
  <c r="AN70" i="2"/>
  <c r="Q71" i="2"/>
  <c r="H72" i="2"/>
  <c r="P71" i="2"/>
  <c r="L71" i="2"/>
  <c r="K71" i="2"/>
  <c r="J71" i="2"/>
  <c r="I71" i="2"/>
  <c r="N71" i="2"/>
  <c r="O71" i="2" s="1"/>
  <c r="AL70" i="2"/>
  <c r="AH72" i="2"/>
  <c r="AK71" i="2"/>
  <c r="AJ71" i="2"/>
  <c r="AL71" i="2" s="1"/>
  <c r="AI71" i="2"/>
  <c r="S75" i="1"/>
  <c r="R75" i="1"/>
  <c r="L75" i="1"/>
  <c r="K75" i="1"/>
  <c r="J75" i="1"/>
  <c r="M75" i="1"/>
  <c r="H76" i="1"/>
  <c r="Q76" i="1" s="1"/>
  <c r="P75" i="1"/>
  <c r="I75" i="1"/>
  <c r="O75" i="1"/>
  <c r="N75" i="1"/>
  <c r="O79" i="4" l="1"/>
  <c r="N79" i="4"/>
  <c r="J79" i="4"/>
  <c r="L79" i="4"/>
  <c r="H80" i="4"/>
  <c r="I79" i="4"/>
  <c r="P79" i="4"/>
  <c r="K79" i="4"/>
  <c r="M79" i="4"/>
  <c r="L78" i="3"/>
  <c r="M78" i="3"/>
  <c r="I79" i="3"/>
  <c r="Q79" i="3"/>
  <c r="J79" i="3"/>
  <c r="R72" i="2"/>
  <c r="U72" i="2"/>
  <c r="T72" i="2"/>
  <c r="AN71" i="2"/>
  <c r="AM71" i="2"/>
  <c r="I72" i="2"/>
  <c r="K72" i="2"/>
  <c r="J72" i="2"/>
  <c r="Q72" i="2"/>
  <c r="P72" i="2"/>
  <c r="H73" i="2"/>
  <c r="L72" i="2"/>
  <c r="N72" i="2"/>
  <c r="O72" i="2" s="1"/>
  <c r="AI72" i="2"/>
  <c r="AH73" i="2"/>
  <c r="AK72" i="2"/>
  <c r="AJ72" i="2"/>
  <c r="R76" i="1"/>
  <c r="P76" i="1"/>
  <c r="M76" i="1"/>
  <c r="K76" i="1"/>
  <c r="L76" i="1"/>
  <c r="N76" i="1"/>
  <c r="O76" i="1"/>
  <c r="J76" i="1"/>
  <c r="I76" i="1"/>
  <c r="H77" i="1"/>
  <c r="Q77" i="1" s="1"/>
  <c r="S76" i="1"/>
  <c r="N80" i="4" l="1"/>
  <c r="O80" i="4"/>
  <c r="I80" i="4"/>
  <c r="K80" i="4"/>
  <c r="M80" i="4"/>
  <c r="L80" i="4"/>
  <c r="J80" i="4"/>
  <c r="H81" i="4"/>
  <c r="P80" i="4"/>
  <c r="K79" i="3"/>
  <c r="L79" i="3"/>
  <c r="M79" i="3" s="1"/>
  <c r="I80" i="3"/>
  <c r="Q80" i="3"/>
  <c r="J80" i="3"/>
  <c r="U73" i="2"/>
  <c r="T73" i="2"/>
  <c r="R73" i="2"/>
  <c r="L73" i="2"/>
  <c r="K73" i="2"/>
  <c r="J73" i="2"/>
  <c r="Q73" i="2"/>
  <c r="P73" i="2"/>
  <c r="N73" i="2"/>
  <c r="O73" i="2" s="1"/>
  <c r="H74" i="2"/>
  <c r="I73" i="2"/>
  <c r="AM72" i="2"/>
  <c r="AN72" i="2"/>
  <c r="AL72" i="2"/>
  <c r="AK73" i="2"/>
  <c r="AJ73" i="2"/>
  <c r="AL73" i="2" s="1"/>
  <c r="AH74" i="2"/>
  <c r="AI73" i="2"/>
  <c r="P77" i="1"/>
  <c r="O77" i="1"/>
  <c r="N77" i="1"/>
  <c r="M77" i="1"/>
  <c r="L77" i="1"/>
  <c r="R77" i="1"/>
  <c r="S77" i="1"/>
  <c r="H78" i="1"/>
  <c r="Q78" i="1" s="1"/>
  <c r="J77" i="1"/>
  <c r="I77" i="1"/>
  <c r="K77" i="1"/>
  <c r="N81" i="4" l="1"/>
  <c r="K81" i="4"/>
  <c r="M81" i="4"/>
  <c r="L81" i="4"/>
  <c r="H82" i="4"/>
  <c r="I81" i="4"/>
  <c r="P81" i="4"/>
  <c r="J81" i="4"/>
  <c r="O81" i="4"/>
  <c r="K80" i="3"/>
  <c r="L80" i="3"/>
  <c r="M80" i="3" s="1"/>
  <c r="Q81" i="3"/>
  <c r="J81" i="3"/>
  <c r="I81" i="3"/>
  <c r="K81" i="3" s="1"/>
  <c r="R74" i="2"/>
  <c r="U74" i="2"/>
  <c r="T74" i="2"/>
  <c r="AN73" i="2"/>
  <c r="AH75" i="2"/>
  <c r="AI74" i="2"/>
  <c r="AJ74" i="2"/>
  <c r="AM74" i="2" s="1"/>
  <c r="AK74" i="2"/>
  <c r="H75" i="2"/>
  <c r="P74" i="2"/>
  <c r="N74" i="2"/>
  <c r="O74" i="2" s="1"/>
  <c r="Q74" i="2"/>
  <c r="L74" i="2"/>
  <c r="K74" i="2"/>
  <c r="J74" i="2"/>
  <c r="I74" i="2"/>
  <c r="AM73" i="2"/>
  <c r="O78" i="1"/>
  <c r="N78" i="1"/>
  <c r="R78" i="1"/>
  <c r="P78" i="1"/>
  <c r="M78" i="1"/>
  <c r="S78" i="1"/>
  <c r="K78" i="1"/>
  <c r="J78" i="1"/>
  <c r="I78" i="1"/>
  <c r="H79" i="1"/>
  <c r="Q79" i="1" s="1"/>
  <c r="L78" i="1"/>
  <c r="P82" i="4" l="1"/>
  <c r="H83" i="4"/>
  <c r="I82" i="4"/>
  <c r="K82" i="4"/>
  <c r="M82" i="4"/>
  <c r="N82" i="4"/>
  <c r="J82" i="4"/>
  <c r="O82" i="4"/>
  <c r="L82" i="4"/>
  <c r="L81" i="3"/>
  <c r="M81" i="3"/>
  <c r="Q82" i="3"/>
  <c r="I82" i="3"/>
  <c r="J82" i="3"/>
  <c r="U75" i="2"/>
  <c r="T75" i="2"/>
  <c r="R75" i="2"/>
  <c r="AL74" i="2"/>
  <c r="AH76" i="2"/>
  <c r="AI75" i="2"/>
  <c r="AK75" i="2"/>
  <c r="AJ75" i="2"/>
  <c r="Q75" i="2"/>
  <c r="P75" i="2"/>
  <c r="N75" i="2"/>
  <c r="O75" i="2" s="1"/>
  <c r="H76" i="2"/>
  <c r="L75" i="2"/>
  <c r="K75" i="2"/>
  <c r="J75" i="2"/>
  <c r="I75" i="2"/>
  <c r="AN74" i="2"/>
  <c r="N79" i="1"/>
  <c r="M79" i="1"/>
  <c r="S79" i="1"/>
  <c r="R79" i="1"/>
  <c r="P79" i="1"/>
  <c r="H80" i="1"/>
  <c r="Q80" i="1" s="1"/>
  <c r="O79" i="1"/>
  <c r="L79" i="1"/>
  <c r="I79" i="1"/>
  <c r="K79" i="1"/>
  <c r="J79" i="1"/>
  <c r="L83" i="4" l="1"/>
  <c r="P83" i="4"/>
  <c r="K83" i="4"/>
  <c r="J83" i="4"/>
  <c r="O83" i="4"/>
  <c r="H84" i="4"/>
  <c r="M83" i="4"/>
  <c r="I83" i="4"/>
  <c r="N83" i="4"/>
  <c r="K82" i="3"/>
  <c r="M82" i="3" s="1"/>
  <c r="L82" i="3"/>
  <c r="AM75" i="2"/>
  <c r="Q83" i="3"/>
  <c r="J83" i="3"/>
  <c r="I83" i="3"/>
  <c r="U76" i="2"/>
  <c r="T76" i="2"/>
  <c r="R76" i="2"/>
  <c r="AL75" i="2"/>
  <c r="K76" i="2"/>
  <c r="J76" i="2"/>
  <c r="I76" i="2"/>
  <c r="H77" i="2"/>
  <c r="N76" i="2"/>
  <c r="O76" i="2" s="1"/>
  <c r="L76" i="2"/>
  <c r="P76" i="2"/>
  <c r="Q76" i="2"/>
  <c r="AN75" i="2"/>
  <c r="M9" i="2"/>
  <c r="N9" i="2" s="1"/>
  <c r="O9" i="2" s="1"/>
  <c r="P9" i="2" s="1"/>
  <c r="AJ76" i="2"/>
  <c r="AI76" i="2"/>
  <c r="AH77" i="2"/>
  <c r="AK76" i="2"/>
  <c r="AG76" i="2"/>
  <c r="M80" i="1"/>
  <c r="L80" i="1"/>
  <c r="H81" i="1"/>
  <c r="Q81" i="1" s="1"/>
  <c r="S80" i="1"/>
  <c r="R80" i="1"/>
  <c r="K80" i="1"/>
  <c r="J80" i="1"/>
  <c r="I80" i="1"/>
  <c r="P80" i="1"/>
  <c r="O80" i="1"/>
  <c r="N80" i="1"/>
  <c r="N84" i="4" l="1"/>
  <c r="M84" i="4"/>
  <c r="J84" i="4"/>
  <c r="O84" i="4"/>
  <c r="P84" i="4"/>
  <c r="L84" i="4"/>
  <c r="I84" i="4"/>
  <c r="K84" i="4"/>
  <c r="H85" i="4"/>
  <c r="K83" i="3"/>
  <c r="L83" i="3"/>
  <c r="M83" i="3" s="1"/>
  <c r="AL76" i="2"/>
  <c r="I84" i="3"/>
  <c r="Q84" i="3"/>
  <c r="J84" i="3"/>
  <c r="U77" i="2"/>
  <c r="T77" i="2"/>
  <c r="R77" i="2"/>
  <c r="U9" i="2"/>
  <c r="AN76" i="2"/>
  <c r="AK77" i="2"/>
  <c r="AJ77" i="2"/>
  <c r="AL77" i="2" s="1"/>
  <c r="AH78" i="2"/>
  <c r="AI77" i="2"/>
  <c r="AM76" i="2"/>
  <c r="N77" i="2"/>
  <c r="O77" i="2" s="1"/>
  <c r="L77" i="2"/>
  <c r="K77" i="2"/>
  <c r="H78" i="2"/>
  <c r="I77" i="2"/>
  <c r="Q77" i="2"/>
  <c r="J77" i="2"/>
  <c r="P77" i="2"/>
  <c r="L81" i="1"/>
  <c r="K81" i="1"/>
  <c r="H82" i="1"/>
  <c r="Q82" i="1" s="1"/>
  <c r="S81" i="1"/>
  <c r="I81" i="1"/>
  <c r="R81" i="1"/>
  <c r="N81" i="1"/>
  <c r="P81" i="1"/>
  <c r="O81" i="1"/>
  <c r="M81" i="1"/>
  <c r="J81" i="1"/>
  <c r="J85" i="4" l="1"/>
  <c r="H86" i="4"/>
  <c r="P85" i="4"/>
  <c r="I85" i="4"/>
  <c r="K85" i="4"/>
  <c r="O85" i="4"/>
  <c r="N85" i="4"/>
  <c r="M85" i="4"/>
  <c r="L85" i="4"/>
  <c r="K84" i="3"/>
  <c r="L84" i="3"/>
  <c r="M84" i="3" s="1"/>
  <c r="I85" i="3"/>
  <c r="J85" i="3"/>
  <c r="Q85" i="3"/>
  <c r="U78" i="2"/>
  <c r="T78" i="2"/>
  <c r="R78" i="2"/>
  <c r="AK78" i="2"/>
  <c r="AH79" i="2"/>
  <c r="AJ78" i="2"/>
  <c r="AI78" i="2"/>
  <c r="AM77" i="2"/>
  <c r="AN77" i="2"/>
  <c r="Q78" i="2"/>
  <c r="P78" i="2"/>
  <c r="H79" i="2"/>
  <c r="N78" i="2"/>
  <c r="O78" i="2" s="1"/>
  <c r="L78" i="2"/>
  <c r="I78" i="2"/>
  <c r="K78" i="2"/>
  <c r="J78" i="2"/>
  <c r="K82" i="1"/>
  <c r="J82" i="1"/>
  <c r="I82" i="1"/>
  <c r="H83" i="1"/>
  <c r="Q83" i="1" s="1"/>
  <c r="L82" i="1"/>
  <c r="M82" i="1"/>
  <c r="P82" i="1"/>
  <c r="O82" i="1"/>
  <c r="N82" i="1"/>
  <c r="S82" i="1"/>
  <c r="R82" i="1"/>
  <c r="N86" i="4" l="1"/>
  <c r="L86" i="4"/>
  <c r="M86" i="4"/>
  <c r="K86" i="4"/>
  <c r="P86" i="4"/>
  <c r="J86" i="4"/>
  <c r="I86" i="4"/>
  <c r="O86" i="4"/>
  <c r="H87" i="4"/>
  <c r="K85" i="3"/>
  <c r="L85" i="3"/>
  <c r="M85" i="3" s="1"/>
  <c r="J86" i="3"/>
  <c r="I86" i="3"/>
  <c r="K86" i="3"/>
  <c r="Q86" i="3"/>
  <c r="U79" i="2"/>
  <c r="T79" i="2"/>
  <c r="R79" i="2"/>
  <c r="AM78" i="2"/>
  <c r="AL78" i="2"/>
  <c r="Q79" i="2"/>
  <c r="J79" i="2"/>
  <c r="I79" i="2"/>
  <c r="P79" i="2"/>
  <c r="N79" i="2"/>
  <c r="O79" i="2" s="1"/>
  <c r="L79" i="2"/>
  <c r="H80" i="2"/>
  <c r="K79" i="2"/>
  <c r="AK79" i="2"/>
  <c r="AJ79" i="2"/>
  <c r="AI79" i="2"/>
  <c r="AL79" i="2"/>
  <c r="AH80" i="2"/>
  <c r="AN78" i="2"/>
  <c r="J83" i="1"/>
  <c r="H84" i="1"/>
  <c r="Q84" i="1" s="1"/>
  <c r="I83" i="1"/>
  <c r="L83" i="1"/>
  <c r="K83" i="1"/>
  <c r="M83" i="1"/>
  <c r="S83" i="1"/>
  <c r="N83" i="1"/>
  <c r="R83" i="1"/>
  <c r="O83" i="1"/>
  <c r="P83" i="1"/>
  <c r="H88" i="4" l="1"/>
  <c r="O87" i="4"/>
  <c r="P87" i="4"/>
  <c r="N87" i="4"/>
  <c r="I87" i="4"/>
  <c r="M87" i="4"/>
  <c r="L87" i="4"/>
  <c r="J87" i="4"/>
  <c r="K87" i="4"/>
  <c r="L86" i="3"/>
  <c r="M86" i="3" s="1"/>
  <c r="J87" i="3"/>
  <c r="I87" i="3"/>
  <c r="K87" i="3" s="1"/>
  <c r="Q87" i="3"/>
  <c r="U80" i="2"/>
  <c r="T80" i="2"/>
  <c r="R80" i="2"/>
  <c r="AM79" i="2"/>
  <c r="I80" i="2"/>
  <c r="P80" i="2"/>
  <c r="H81" i="2"/>
  <c r="N80" i="2"/>
  <c r="O80" i="2" s="1"/>
  <c r="Q80" i="2"/>
  <c r="L80" i="2"/>
  <c r="K80" i="2"/>
  <c r="J80" i="2"/>
  <c r="AN79" i="2"/>
  <c r="AI80" i="2"/>
  <c r="AH81" i="2"/>
  <c r="AJ80" i="2"/>
  <c r="AM80" i="2" s="1"/>
  <c r="AK80" i="2"/>
  <c r="AN80" i="2" s="1"/>
  <c r="H85" i="1"/>
  <c r="Q85" i="1" s="1"/>
  <c r="I84" i="1"/>
  <c r="S84" i="1"/>
  <c r="M84" i="1"/>
  <c r="L84" i="1"/>
  <c r="K84" i="1"/>
  <c r="N84" i="1"/>
  <c r="R84" i="1"/>
  <c r="P84" i="1"/>
  <c r="O84" i="1"/>
  <c r="J84" i="1"/>
  <c r="M88" i="4" l="1"/>
  <c r="J88" i="4"/>
  <c r="H89" i="4"/>
  <c r="I88" i="4"/>
  <c r="O88" i="4"/>
  <c r="P88" i="4"/>
  <c r="N88" i="4"/>
  <c r="L88" i="4"/>
  <c r="K88" i="4"/>
  <c r="L87" i="3"/>
  <c r="M87" i="3" s="1"/>
  <c r="AL80" i="2"/>
  <c r="J88" i="3"/>
  <c r="I88" i="3"/>
  <c r="K88" i="3" s="1"/>
  <c r="Q88" i="3"/>
  <c r="U81" i="2"/>
  <c r="T81" i="2"/>
  <c r="R81" i="2"/>
  <c r="AJ81" i="2"/>
  <c r="AI81" i="2"/>
  <c r="AH82" i="2"/>
  <c r="AK81" i="2"/>
  <c r="L81" i="2"/>
  <c r="I81" i="2"/>
  <c r="Q81" i="2"/>
  <c r="P81" i="2"/>
  <c r="N81" i="2"/>
  <c r="O81" i="2" s="1"/>
  <c r="K81" i="2"/>
  <c r="H82" i="2"/>
  <c r="J81" i="2"/>
  <c r="S85" i="1"/>
  <c r="R85" i="1"/>
  <c r="N85" i="1"/>
  <c r="M85" i="1"/>
  <c r="L85" i="1"/>
  <c r="O85" i="1"/>
  <c r="H86" i="1"/>
  <c r="Q86" i="1" s="1"/>
  <c r="K85" i="1"/>
  <c r="P85" i="1"/>
  <c r="J85" i="1"/>
  <c r="I85" i="1"/>
  <c r="I89" i="4" l="1"/>
  <c r="L89" i="4"/>
  <c r="J89" i="4"/>
  <c r="H90" i="4"/>
  <c r="P89" i="4"/>
  <c r="N89" i="4"/>
  <c r="O89" i="4"/>
  <c r="K89" i="4"/>
  <c r="M89" i="4"/>
  <c r="L88" i="3"/>
  <c r="M88" i="3" s="1"/>
  <c r="AN81" i="2"/>
  <c r="I89" i="3"/>
  <c r="J89" i="3"/>
  <c r="Q89" i="3"/>
  <c r="U82" i="2"/>
  <c r="T82" i="2"/>
  <c r="R82" i="2"/>
  <c r="AH83" i="2"/>
  <c r="AI82" i="2"/>
  <c r="AK82" i="2"/>
  <c r="AJ82" i="2"/>
  <c r="H83" i="2"/>
  <c r="P82" i="2"/>
  <c r="N82" i="2"/>
  <c r="O82" i="2" s="1"/>
  <c r="L82" i="2"/>
  <c r="Q82" i="2"/>
  <c r="K82" i="2"/>
  <c r="J82" i="2"/>
  <c r="I82" i="2"/>
  <c r="AM81" i="2"/>
  <c r="AL81" i="2"/>
  <c r="AL82" i="2" s="1"/>
  <c r="R86" i="1"/>
  <c r="P86" i="1"/>
  <c r="O86" i="1"/>
  <c r="N86" i="1"/>
  <c r="M86" i="1"/>
  <c r="S86" i="1"/>
  <c r="I86" i="1"/>
  <c r="L86" i="1"/>
  <c r="K86" i="1"/>
  <c r="J86" i="1"/>
  <c r="H87" i="1"/>
  <c r="Q87" i="1" s="1"/>
  <c r="M90" i="4" l="1"/>
  <c r="O90" i="4"/>
  <c r="I90" i="4"/>
  <c r="N90" i="4"/>
  <c r="L90" i="4"/>
  <c r="K90" i="4"/>
  <c r="H91" i="4"/>
  <c r="J90" i="4"/>
  <c r="P90" i="4"/>
  <c r="K89" i="3"/>
  <c r="L89" i="3" s="1"/>
  <c r="M89" i="3" s="1"/>
  <c r="I90" i="3"/>
  <c r="J90" i="3"/>
  <c r="K90" i="3" s="1"/>
  <c r="Q90" i="3"/>
  <c r="U83" i="2"/>
  <c r="T83" i="2"/>
  <c r="R83" i="2"/>
  <c r="AM82" i="2"/>
  <c r="I83" i="2"/>
  <c r="P83" i="2"/>
  <c r="N83" i="2"/>
  <c r="O83" i="2" s="1"/>
  <c r="L83" i="2"/>
  <c r="H84" i="2"/>
  <c r="K83" i="2"/>
  <c r="J83" i="2"/>
  <c r="Q83" i="2"/>
  <c r="AN82" i="2"/>
  <c r="AJ83" i="2"/>
  <c r="AL83" i="2" s="1"/>
  <c r="AI83" i="2"/>
  <c r="AH84" i="2"/>
  <c r="AK83" i="2"/>
  <c r="P87" i="1"/>
  <c r="O87" i="1"/>
  <c r="S87" i="1"/>
  <c r="R87" i="1"/>
  <c r="N87" i="1"/>
  <c r="H88" i="1"/>
  <c r="Q88" i="1" s="1"/>
  <c r="K87" i="1"/>
  <c r="J87" i="1"/>
  <c r="M87" i="1"/>
  <c r="L87" i="1"/>
  <c r="I87" i="1"/>
  <c r="J91" i="4" l="1"/>
  <c r="I91" i="4"/>
  <c r="P91" i="4"/>
  <c r="O91" i="4"/>
  <c r="H92" i="4"/>
  <c r="L91" i="4"/>
  <c r="N91" i="4"/>
  <c r="K91" i="4"/>
  <c r="M91" i="4"/>
  <c r="L90" i="3"/>
  <c r="M90" i="3" s="1"/>
  <c r="J91" i="3"/>
  <c r="Q91" i="3"/>
  <c r="I91" i="3"/>
  <c r="R84" i="2"/>
  <c r="U84" i="2"/>
  <c r="T84" i="2"/>
  <c r="AN83" i="2"/>
  <c r="AM83" i="2"/>
  <c r="K84" i="2"/>
  <c r="H85" i="2"/>
  <c r="N84" i="2"/>
  <c r="O84" i="2" s="1"/>
  <c r="L84" i="2"/>
  <c r="Q84" i="2"/>
  <c r="P84" i="2"/>
  <c r="J84" i="2"/>
  <c r="I84" i="2"/>
  <c r="AK84" i="2"/>
  <c r="AH85" i="2"/>
  <c r="AJ84" i="2"/>
  <c r="AI84" i="2"/>
  <c r="O88" i="1"/>
  <c r="N88" i="1"/>
  <c r="H89" i="1"/>
  <c r="Q89" i="1" s="1"/>
  <c r="S88" i="1"/>
  <c r="R88" i="1"/>
  <c r="I88" i="1"/>
  <c r="J88" i="1"/>
  <c r="M88" i="1"/>
  <c r="P88" i="1"/>
  <c r="L88" i="1"/>
  <c r="K88" i="1"/>
  <c r="K92" i="4" l="1"/>
  <c r="L92" i="4"/>
  <c r="O92" i="4"/>
  <c r="N92" i="4"/>
  <c r="J92" i="4"/>
  <c r="M92" i="4"/>
  <c r="I92" i="4"/>
  <c r="P92" i="4"/>
  <c r="H93" i="4"/>
  <c r="K91" i="3"/>
  <c r="L91" i="3"/>
  <c r="M91" i="3" s="1"/>
  <c r="J92" i="3"/>
  <c r="I92" i="3"/>
  <c r="Q92" i="3"/>
  <c r="U85" i="2"/>
  <c r="T85" i="2"/>
  <c r="R85" i="2"/>
  <c r="AM84" i="2"/>
  <c r="AL84" i="2"/>
  <c r="N85" i="2"/>
  <c r="O85" i="2" s="1"/>
  <c r="P85" i="2"/>
  <c r="L85" i="2"/>
  <c r="K85" i="2"/>
  <c r="J85" i="2"/>
  <c r="I85" i="2"/>
  <c r="H86" i="2"/>
  <c r="Q85" i="2"/>
  <c r="AJ85" i="2"/>
  <c r="AI85" i="2"/>
  <c r="AH86" i="2"/>
  <c r="AK85" i="2"/>
  <c r="AN84" i="2"/>
  <c r="N89" i="1"/>
  <c r="M89" i="1"/>
  <c r="H90" i="1"/>
  <c r="Q90" i="1" s="1"/>
  <c r="S89" i="1"/>
  <c r="I89" i="1"/>
  <c r="P89" i="1"/>
  <c r="O89" i="1"/>
  <c r="K89" i="1"/>
  <c r="J89" i="1"/>
  <c r="L89" i="1"/>
  <c r="R89" i="1"/>
  <c r="J93" i="4" l="1"/>
  <c r="P93" i="4"/>
  <c r="O93" i="4"/>
  <c r="N93" i="4"/>
  <c r="M93" i="4"/>
  <c r="L93" i="4"/>
  <c r="H94" i="4"/>
  <c r="K93" i="4"/>
  <c r="I93" i="4"/>
  <c r="K92" i="3"/>
  <c r="L92" i="3"/>
  <c r="M92" i="3" s="1"/>
  <c r="J93" i="3"/>
  <c r="Q93" i="3"/>
  <c r="I93" i="3"/>
  <c r="U86" i="2"/>
  <c r="T86" i="2"/>
  <c r="R86" i="2"/>
  <c r="AL85" i="2"/>
  <c r="AN85" i="2"/>
  <c r="AM85" i="2"/>
  <c r="Q86" i="2"/>
  <c r="P86" i="2"/>
  <c r="H87" i="2"/>
  <c r="N86" i="2"/>
  <c r="O86" i="2" s="1"/>
  <c r="L86" i="2"/>
  <c r="K86" i="2"/>
  <c r="J86" i="2"/>
  <c r="I86" i="2"/>
  <c r="AH87" i="2"/>
  <c r="AI86" i="2"/>
  <c r="AK86" i="2"/>
  <c r="AN86" i="2" s="1"/>
  <c r="AJ86" i="2"/>
  <c r="M90" i="1"/>
  <c r="L90" i="1"/>
  <c r="I90" i="1"/>
  <c r="H91" i="1"/>
  <c r="Q91" i="1" s="1"/>
  <c r="J90" i="1"/>
  <c r="R90" i="1"/>
  <c r="S90" i="1"/>
  <c r="N90" i="1"/>
  <c r="K90" i="1"/>
  <c r="P90" i="1"/>
  <c r="O90" i="1"/>
  <c r="I94" i="4" l="1"/>
  <c r="M94" i="4"/>
  <c r="K94" i="4"/>
  <c r="L94" i="4"/>
  <c r="J94" i="4"/>
  <c r="P94" i="4"/>
  <c r="O94" i="4"/>
  <c r="N94" i="4"/>
  <c r="H95" i="4"/>
  <c r="K93" i="3"/>
  <c r="L93" i="3"/>
  <c r="M93" i="3" s="1"/>
  <c r="I94" i="3"/>
  <c r="Q94" i="3"/>
  <c r="J94" i="3"/>
  <c r="U87" i="2"/>
  <c r="T87" i="2"/>
  <c r="R87" i="2"/>
  <c r="AM86" i="2"/>
  <c r="AJ87" i="2"/>
  <c r="AI87" i="2"/>
  <c r="AH88" i="2"/>
  <c r="AK87" i="2"/>
  <c r="J87" i="2"/>
  <c r="I87" i="2"/>
  <c r="L87" i="2"/>
  <c r="K87" i="2"/>
  <c r="Q87" i="2"/>
  <c r="P87" i="2"/>
  <c r="N87" i="2"/>
  <c r="O87" i="2" s="1"/>
  <c r="H88" i="2"/>
  <c r="AL86" i="2"/>
  <c r="L91" i="1"/>
  <c r="K91" i="1"/>
  <c r="J91" i="1"/>
  <c r="I91" i="1"/>
  <c r="M91" i="1"/>
  <c r="P91" i="1"/>
  <c r="O91" i="1"/>
  <c r="N91" i="1"/>
  <c r="H92" i="1"/>
  <c r="Q92" i="1" s="1"/>
  <c r="S91" i="1"/>
  <c r="R91" i="1"/>
  <c r="L95" i="4" l="1"/>
  <c r="K95" i="4"/>
  <c r="D32" i="4"/>
  <c r="J95" i="4"/>
  <c r="I95" i="4"/>
  <c r="P95" i="4"/>
  <c r="O95" i="4"/>
  <c r="N95" i="4"/>
  <c r="M95" i="4"/>
  <c r="K94" i="3"/>
  <c r="L94" i="3" s="1"/>
  <c r="M94" i="3" s="1"/>
  <c r="I95" i="3"/>
  <c r="Q95" i="3"/>
  <c r="J95" i="3"/>
  <c r="U88" i="2"/>
  <c r="T88" i="2"/>
  <c r="R88" i="2"/>
  <c r="AL87" i="2"/>
  <c r="N88" i="2"/>
  <c r="O88" i="2" s="1"/>
  <c r="L88" i="2"/>
  <c r="P88" i="2"/>
  <c r="H89" i="2"/>
  <c r="Q88" i="2"/>
  <c r="K88" i="2"/>
  <c r="J88" i="2"/>
  <c r="I88" i="2"/>
  <c r="AK88" i="2"/>
  <c r="AG88" i="2"/>
  <c r="AJ88" i="2"/>
  <c r="AI88" i="2"/>
  <c r="AH89" i="2"/>
  <c r="AN87" i="2"/>
  <c r="M10" i="2"/>
  <c r="N10" i="2" s="1"/>
  <c r="O10" i="2" s="1"/>
  <c r="P10" i="2" s="1"/>
  <c r="AM87" i="2"/>
  <c r="K92" i="1"/>
  <c r="J92" i="1"/>
  <c r="M92" i="1"/>
  <c r="L92" i="1"/>
  <c r="I92" i="1"/>
  <c r="N92" i="1"/>
  <c r="S92" i="1"/>
  <c r="H93" i="1"/>
  <c r="Q93" i="1" s="1"/>
  <c r="R92" i="1"/>
  <c r="P92" i="1"/>
  <c r="O92" i="1"/>
  <c r="K95" i="3" l="1"/>
  <c r="L95" i="3" s="1"/>
  <c r="M95" i="3" s="1"/>
  <c r="R89" i="2"/>
  <c r="U89" i="2"/>
  <c r="T89" i="2"/>
  <c r="U10" i="2"/>
  <c r="AM88" i="2"/>
  <c r="AL88" i="2"/>
  <c r="H90" i="2"/>
  <c r="P89" i="2"/>
  <c r="N89" i="2"/>
  <c r="O89" i="2" s="1"/>
  <c r="L89" i="2"/>
  <c r="K89" i="2"/>
  <c r="I89" i="2"/>
  <c r="J89" i="2"/>
  <c r="Q89" i="2"/>
  <c r="AH90" i="2"/>
  <c r="AK89" i="2"/>
  <c r="AJ89" i="2"/>
  <c r="AI89" i="2"/>
  <c r="AN88" i="2"/>
  <c r="J93" i="1"/>
  <c r="H94" i="1"/>
  <c r="Q94" i="1" s="1"/>
  <c r="I93" i="1"/>
  <c r="N93" i="1"/>
  <c r="M93" i="1"/>
  <c r="L93" i="1"/>
  <c r="O93" i="1"/>
  <c r="P93" i="1"/>
  <c r="K93" i="1"/>
  <c r="S93" i="1"/>
  <c r="R93" i="1"/>
  <c r="D32" i="3" l="1"/>
  <c r="R90" i="2"/>
  <c r="U90" i="2"/>
  <c r="T90" i="2"/>
  <c r="AL89" i="2"/>
  <c r="AM89" i="2"/>
  <c r="AN89" i="2"/>
  <c r="J90" i="2"/>
  <c r="I90" i="2"/>
  <c r="Q90" i="2"/>
  <c r="P90" i="2"/>
  <c r="N90" i="2"/>
  <c r="O90" i="2" s="1"/>
  <c r="L90" i="2"/>
  <c r="K90" i="2"/>
  <c r="H91" i="2"/>
  <c r="AK90" i="2"/>
  <c r="AJ90" i="2"/>
  <c r="AI90" i="2"/>
  <c r="AH91" i="2"/>
  <c r="H95" i="1"/>
  <c r="Q95" i="1" s="1"/>
  <c r="D36" i="1" s="1"/>
  <c r="I94" i="1"/>
  <c r="S94" i="1"/>
  <c r="O94" i="1"/>
  <c r="N94" i="1"/>
  <c r="M94" i="1"/>
  <c r="P94" i="1"/>
  <c r="R94" i="1"/>
  <c r="L94" i="1"/>
  <c r="J94" i="1"/>
  <c r="K94" i="1"/>
  <c r="U91" i="2" l="1"/>
  <c r="T91" i="2"/>
  <c r="R91" i="2"/>
  <c r="AM90" i="2"/>
  <c r="AK91" i="2"/>
  <c r="AJ91" i="2"/>
  <c r="AI91" i="2"/>
  <c r="AH92" i="2"/>
  <c r="AN90" i="2"/>
  <c r="AL90" i="2"/>
  <c r="K91" i="2"/>
  <c r="J91" i="2"/>
  <c r="Q91" i="2"/>
  <c r="P91" i="2"/>
  <c r="H92" i="2"/>
  <c r="N91" i="2"/>
  <c r="O91" i="2" s="1"/>
  <c r="L91" i="2"/>
  <c r="I91" i="2"/>
  <c r="S95" i="1"/>
  <c r="D37" i="1" s="1"/>
  <c r="R95" i="1"/>
  <c r="P95" i="1"/>
  <c r="O95" i="1"/>
  <c r="N95" i="1"/>
  <c r="M95" i="1"/>
  <c r="L95" i="1"/>
  <c r="I95" i="1"/>
  <c r="K95" i="1"/>
  <c r="J95" i="1"/>
  <c r="U92" i="2" l="1"/>
  <c r="T92" i="2"/>
  <c r="R92" i="2"/>
  <c r="AL91" i="2"/>
  <c r="AH93" i="2"/>
  <c r="AK92" i="2"/>
  <c r="AJ92" i="2"/>
  <c r="AI92" i="2"/>
  <c r="N92" i="2"/>
  <c r="O92" i="2" s="1"/>
  <c r="L92" i="2"/>
  <c r="K92" i="2"/>
  <c r="J92" i="2"/>
  <c r="I92" i="2"/>
  <c r="Q92" i="2"/>
  <c r="P92" i="2"/>
  <c r="AM91" i="2"/>
  <c r="AN91" i="2"/>
  <c r="AM92" i="2" l="1"/>
  <c r="AN92" i="2"/>
  <c r="AL92" i="2"/>
  <c r="AI93" i="2"/>
  <c r="AH94" i="2"/>
  <c r="AK93" i="2"/>
  <c r="AN93" i="2" s="1"/>
  <c r="AJ93" i="2"/>
  <c r="AM93" i="2" s="1"/>
  <c r="AJ94" i="2" l="1"/>
  <c r="AI94" i="2"/>
  <c r="AK94" i="2"/>
  <c r="AN94" i="2" s="1"/>
  <c r="AH95" i="2"/>
  <c r="AL93" i="2"/>
  <c r="AL94" i="2" s="1"/>
  <c r="AH96" i="2" l="1"/>
  <c r="AK95" i="2"/>
  <c r="AJ95" i="2"/>
  <c r="AI95" i="2"/>
  <c r="AM94" i="2"/>
  <c r="AM95" i="2" l="1"/>
  <c r="AH97" i="2"/>
  <c r="AK96" i="2"/>
  <c r="AJ96" i="2"/>
  <c r="AI96" i="2"/>
  <c r="AN95" i="2"/>
  <c r="AL95" i="2"/>
  <c r="AL96" i="2" s="1"/>
  <c r="AM96" i="2" l="1"/>
  <c r="AN96" i="2"/>
  <c r="AI97" i="2"/>
  <c r="AH98" i="2"/>
  <c r="AK97" i="2"/>
  <c r="AJ97" i="2"/>
  <c r="AN97" i="2" l="1"/>
  <c r="AM97" i="2"/>
  <c r="AL97" i="2"/>
  <c r="AK98" i="2"/>
  <c r="AJ98" i="2"/>
  <c r="AI98" i="2"/>
  <c r="AH99" i="2"/>
  <c r="AM98" i="2" l="1"/>
  <c r="AL98" i="2"/>
  <c r="AH100" i="2"/>
  <c r="AK99" i="2"/>
  <c r="AJ99" i="2"/>
  <c r="AI99" i="2"/>
  <c r="AN98" i="2"/>
  <c r="AM99" i="2" l="1"/>
  <c r="AN99" i="2"/>
  <c r="M11" i="2"/>
  <c r="N11" i="2" s="1"/>
  <c r="O11" i="2" s="1"/>
  <c r="P11" i="2" s="1"/>
  <c r="AL99" i="2"/>
  <c r="AG100" i="2"/>
  <c r="AI100" i="2"/>
  <c r="AH101" i="2"/>
  <c r="AK100" i="2"/>
  <c r="AJ100" i="2"/>
  <c r="AM100" i="2" s="1"/>
  <c r="U11" i="2" l="1"/>
  <c r="AJ101" i="2"/>
  <c r="AI101" i="2"/>
  <c r="AK101" i="2"/>
  <c r="AN101" i="2" s="1"/>
  <c r="AH102" i="2"/>
  <c r="AN100" i="2"/>
  <c r="AL100" i="2"/>
  <c r="AL101" i="2" s="1"/>
  <c r="AH103" i="2" l="1"/>
  <c r="AK102" i="2"/>
  <c r="AI102" i="2"/>
  <c r="AJ102" i="2"/>
  <c r="AM102" i="2" s="1"/>
  <c r="AM101" i="2"/>
  <c r="AH104" i="2" l="1"/>
  <c r="AK103" i="2"/>
  <c r="AJ103" i="2"/>
  <c r="AI103" i="2"/>
  <c r="AN102" i="2"/>
  <c r="AL102" i="2"/>
  <c r="AL103" i="2" s="1"/>
  <c r="AM103" i="2" l="1"/>
  <c r="AN103" i="2"/>
  <c r="AI104" i="2"/>
  <c r="AH105" i="2"/>
  <c r="AK104" i="2"/>
  <c r="AJ104" i="2"/>
  <c r="AM104" i="2" l="1"/>
  <c r="AK105" i="2"/>
  <c r="AJ105" i="2"/>
  <c r="AI105" i="2"/>
  <c r="AH106" i="2"/>
  <c r="AN104" i="2"/>
  <c r="AL104" i="2"/>
  <c r="AM105" i="2" l="1"/>
  <c r="AL105" i="2"/>
  <c r="AH107" i="2"/>
  <c r="AK106" i="2"/>
  <c r="AJ106" i="2"/>
  <c r="AI106" i="2"/>
  <c r="AN105" i="2"/>
  <c r="AM106" i="2" l="1"/>
  <c r="AL106" i="2"/>
  <c r="AN106" i="2"/>
  <c r="AK107" i="2"/>
  <c r="AJ107" i="2"/>
  <c r="AI107" i="2"/>
  <c r="AH108" i="2"/>
  <c r="AL107" i="2" l="1"/>
  <c r="AN107" i="2"/>
  <c r="AK108" i="2"/>
  <c r="AH109" i="2"/>
  <c r="AJ108" i="2"/>
  <c r="AI108" i="2"/>
  <c r="AM107" i="2"/>
  <c r="AM108" i="2" l="1"/>
  <c r="AH110" i="2"/>
  <c r="AJ109" i="2"/>
  <c r="AI109" i="2"/>
  <c r="AK109" i="2"/>
  <c r="AN109" i="2" s="1"/>
  <c r="AN108" i="2"/>
  <c r="AL108" i="2"/>
  <c r="AL109" i="2" s="1"/>
  <c r="AM109" i="2" l="1"/>
  <c r="AJ110" i="2"/>
  <c r="AL110" i="2" s="1"/>
  <c r="AI110" i="2"/>
  <c r="AH111" i="2"/>
  <c r="AK110" i="2"/>
  <c r="AN110" i="2" l="1"/>
  <c r="AI111" i="2"/>
  <c r="AH112" i="2"/>
  <c r="AK111" i="2"/>
  <c r="AJ111" i="2"/>
  <c r="AM111" i="2" s="1"/>
  <c r="AM110" i="2"/>
  <c r="AN111" i="2" l="1"/>
  <c r="M12" i="2"/>
  <c r="N12" i="2" s="1"/>
  <c r="O12" i="2" s="1"/>
  <c r="P12" i="2" s="1"/>
  <c r="AH113" i="2"/>
  <c r="AK112" i="2"/>
  <c r="AJ112" i="2"/>
  <c r="AI112" i="2"/>
  <c r="AG112" i="2"/>
  <c r="AL111" i="2"/>
  <c r="AL112" i="2" s="1"/>
  <c r="U12" i="2" l="1"/>
  <c r="AM112" i="2"/>
  <c r="AN112" i="2"/>
  <c r="AJ113" i="2"/>
  <c r="AI113" i="2"/>
  <c r="AH114" i="2"/>
  <c r="AL113" i="2"/>
  <c r="AK113" i="2"/>
  <c r="AN113" i="2" s="1"/>
  <c r="AK114" i="2" l="1"/>
  <c r="AH115" i="2"/>
  <c r="AJ114" i="2"/>
  <c r="AI114" i="2"/>
  <c r="AM113" i="2"/>
  <c r="AM114" i="2" l="1"/>
  <c r="AL114" i="2"/>
  <c r="AI115" i="2"/>
  <c r="AH116" i="2"/>
  <c r="AJ115" i="2"/>
  <c r="AM115" i="2" s="1"/>
  <c r="AK115" i="2"/>
  <c r="AN114" i="2"/>
  <c r="AL115" i="2" l="1"/>
  <c r="AN115" i="2"/>
  <c r="AK116" i="2"/>
  <c r="AJ116" i="2"/>
  <c r="AH117" i="2"/>
  <c r="AL116" i="2"/>
  <c r="AI116" i="2"/>
  <c r="AJ117" i="2" l="1"/>
  <c r="AL117" i="2" s="1"/>
  <c r="AH118" i="2"/>
  <c r="AK117" i="2"/>
  <c r="AI117" i="2"/>
  <c r="AM116" i="2"/>
  <c r="AN116" i="2"/>
  <c r="AN117" i="2" l="1"/>
  <c r="AH119" i="2"/>
  <c r="AK118" i="2"/>
  <c r="AJ118" i="2"/>
  <c r="AI118" i="2"/>
  <c r="AM117" i="2"/>
  <c r="AM118" i="2" l="1"/>
  <c r="AN118" i="2"/>
  <c r="AL118" i="2"/>
  <c r="AK119" i="2"/>
  <c r="AH120" i="2"/>
  <c r="AJ119" i="2"/>
  <c r="AI119" i="2"/>
  <c r="AM119" i="2" l="1"/>
  <c r="AL119" i="2"/>
  <c r="AI120" i="2"/>
  <c r="AH121" i="2"/>
  <c r="AK120" i="2"/>
  <c r="AN120" i="2" s="1"/>
  <c r="AJ120" i="2"/>
  <c r="AM120" i="2" s="1"/>
  <c r="AN119" i="2"/>
  <c r="AL120" i="2" l="1"/>
  <c r="AI121" i="2"/>
  <c r="AH122" i="2"/>
  <c r="AJ121" i="2"/>
  <c r="AM121" i="2" s="1"/>
  <c r="AK121" i="2"/>
  <c r="AN121" i="2" s="1"/>
  <c r="AL121" i="2" l="1"/>
  <c r="AH123" i="2"/>
  <c r="AK122" i="2"/>
  <c r="AJ122" i="2"/>
  <c r="AI122" i="2"/>
  <c r="AM122" i="2" l="1"/>
  <c r="AN122" i="2"/>
  <c r="AL122" i="2"/>
  <c r="AH124" i="2"/>
  <c r="AI123" i="2"/>
  <c r="AK123" i="2"/>
  <c r="AJ123" i="2"/>
  <c r="AM123" i="2" s="1"/>
  <c r="AN123" i="2" l="1"/>
  <c r="M13" i="2"/>
  <c r="N13" i="2" s="1"/>
  <c r="O13" i="2" s="1"/>
  <c r="P13" i="2" s="1"/>
  <c r="AL123" i="2"/>
  <c r="AJ124" i="2"/>
  <c r="AI124" i="2"/>
  <c r="AK124" i="2"/>
  <c r="AG124" i="2"/>
  <c r="AH125" i="2"/>
  <c r="U13" i="2" l="1"/>
  <c r="AM124" i="2"/>
  <c r="AH126" i="2"/>
  <c r="AK125" i="2"/>
  <c r="AJ125" i="2"/>
  <c r="AI125" i="2"/>
  <c r="AL124" i="2"/>
  <c r="AN124" i="2"/>
  <c r="AL125" i="2" l="1"/>
  <c r="AM125" i="2"/>
  <c r="AN125" i="2"/>
  <c r="AK126" i="2"/>
  <c r="AJ126" i="2"/>
  <c r="AI126" i="2"/>
  <c r="AH127" i="2"/>
  <c r="AI127" i="2" l="1"/>
  <c r="AK127" i="2"/>
  <c r="AN127" i="2" s="1"/>
  <c r="AJ127" i="2"/>
  <c r="AM127" i="2" s="1"/>
  <c r="AH128" i="2"/>
  <c r="AM126" i="2"/>
  <c r="AN126" i="2"/>
  <c r="AL126" i="2"/>
  <c r="AL127" i="2" l="1"/>
  <c r="AH129" i="2"/>
  <c r="AK128" i="2"/>
  <c r="AJ128" i="2"/>
  <c r="AI128" i="2"/>
  <c r="AM128" i="2" l="1"/>
  <c r="AN128" i="2"/>
  <c r="AH130" i="2"/>
  <c r="AK129" i="2"/>
  <c r="AJ129" i="2"/>
  <c r="AI129" i="2"/>
  <c r="AL128" i="2"/>
  <c r="AL129" i="2" s="1"/>
  <c r="AM129" i="2" l="1"/>
  <c r="AN129" i="2"/>
  <c r="AK130" i="2"/>
  <c r="AJ130" i="2"/>
  <c r="AI130" i="2"/>
  <c r="AH131" i="2"/>
  <c r="AN130" i="2" l="1"/>
  <c r="AK131" i="2"/>
  <c r="AH132" i="2"/>
  <c r="AJ131" i="2"/>
  <c r="AI131" i="2"/>
  <c r="AM130" i="2"/>
  <c r="AL130" i="2"/>
  <c r="AL131" i="2" s="1"/>
  <c r="AM131" i="2" l="1"/>
  <c r="AI132" i="2"/>
  <c r="AK132" i="2"/>
  <c r="AN132" i="2" s="1"/>
  <c r="AJ132" i="2"/>
  <c r="AH133" i="2"/>
  <c r="AN131" i="2"/>
  <c r="AM132" i="2" l="1"/>
  <c r="AH134" i="2"/>
  <c r="AK133" i="2"/>
  <c r="AJ133" i="2"/>
  <c r="AI133" i="2"/>
  <c r="AL132" i="2"/>
  <c r="AL133" i="2" s="1"/>
  <c r="AM133" i="2" l="1"/>
  <c r="AN133" i="2"/>
  <c r="AJ134" i="2"/>
  <c r="AL134" i="2" s="1"/>
  <c r="AK134" i="2"/>
  <c r="AN134" i="2" s="1"/>
  <c r="AI134" i="2"/>
  <c r="AH135" i="2"/>
  <c r="AJ135" i="2" l="1"/>
  <c r="AI135" i="2"/>
  <c r="AH136" i="2"/>
  <c r="AK135" i="2"/>
  <c r="AM134" i="2"/>
  <c r="AM135" i="2" l="1"/>
  <c r="AN135" i="2"/>
  <c r="M14" i="2"/>
  <c r="N14" i="2" s="1"/>
  <c r="O14" i="2" s="1"/>
  <c r="P14" i="2" s="1"/>
  <c r="AL135" i="2"/>
  <c r="AH137" i="2"/>
  <c r="AK136" i="2"/>
  <c r="AJ136" i="2"/>
  <c r="AI136" i="2"/>
  <c r="AG136" i="2"/>
  <c r="U14" i="2" l="1"/>
  <c r="AM136" i="2"/>
  <c r="AN136" i="2"/>
  <c r="AL136" i="2"/>
  <c r="AH138" i="2"/>
  <c r="AK137" i="2"/>
  <c r="AJ137" i="2"/>
  <c r="AI137" i="2"/>
  <c r="AM137" i="2" l="1"/>
  <c r="AN137" i="2"/>
  <c r="AL137" i="2"/>
  <c r="AK138" i="2"/>
  <c r="AJ138" i="2"/>
  <c r="AI138" i="2"/>
  <c r="AH139" i="2"/>
  <c r="AL138" i="2" l="1"/>
  <c r="AH140" i="2"/>
  <c r="AK139" i="2"/>
  <c r="AJ139" i="2"/>
  <c r="AI139" i="2"/>
  <c r="AM138" i="2"/>
  <c r="AN138" i="2"/>
  <c r="AM139" i="2" l="1"/>
  <c r="AN139" i="2"/>
  <c r="AL139" i="2"/>
  <c r="AH141" i="2"/>
  <c r="AK140" i="2"/>
  <c r="AJ140" i="2"/>
  <c r="AI140" i="2"/>
  <c r="AM140" i="2" l="1"/>
  <c r="AN140" i="2"/>
  <c r="AL140" i="2"/>
  <c r="AJ141" i="2"/>
  <c r="AK141" i="2"/>
  <c r="AI141" i="2"/>
  <c r="AH142" i="2"/>
  <c r="AL141" i="2" l="1"/>
  <c r="AH143" i="2"/>
  <c r="AK142" i="2"/>
  <c r="AJ142" i="2"/>
  <c r="AI142" i="2"/>
  <c r="AN141" i="2"/>
  <c r="AM141" i="2"/>
  <c r="AM142" i="2" l="1"/>
  <c r="AL142" i="2"/>
  <c r="AN142" i="2"/>
  <c r="AI143" i="2"/>
  <c r="AK143" i="2"/>
  <c r="AN143" i="2" s="1"/>
  <c r="AJ143" i="2"/>
  <c r="AM143" i="2" s="1"/>
  <c r="AH144" i="2"/>
  <c r="AI144" i="2" l="1"/>
  <c r="AK144" i="2"/>
  <c r="AN144" i="2" s="1"/>
  <c r="AH145" i="2"/>
  <c r="AJ144" i="2"/>
  <c r="AL143" i="2"/>
  <c r="AL144" i="2" l="1"/>
  <c r="AM144" i="2"/>
  <c r="AH146" i="2"/>
  <c r="AK145" i="2"/>
  <c r="AJ145" i="2"/>
  <c r="AI145" i="2"/>
  <c r="AN145" i="2" l="1"/>
  <c r="AM145" i="2"/>
  <c r="AH147" i="2"/>
  <c r="AJ146" i="2"/>
  <c r="AI146" i="2"/>
  <c r="AK146" i="2"/>
  <c r="AN146" i="2" s="1"/>
  <c r="AL145" i="2"/>
  <c r="AL146" i="2" l="1"/>
  <c r="AM146" i="2"/>
  <c r="AH148" i="2"/>
  <c r="AK147" i="2"/>
  <c r="AJ147" i="2"/>
  <c r="AI147" i="2"/>
  <c r="AM147" i="2" l="1"/>
  <c r="AN147" i="2"/>
  <c r="M15" i="2"/>
  <c r="N15" i="2" s="1"/>
  <c r="O15" i="2" s="1"/>
  <c r="P15" i="2" s="1"/>
  <c r="AJ148" i="2"/>
  <c r="AH149" i="2"/>
  <c r="AG148" i="2"/>
  <c r="AI148" i="2"/>
  <c r="AK148" i="2"/>
  <c r="AL147" i="2"/>
  <c r="AL148" i="2" s="1"/>
  <c r="U15" i="2" l="1"/>
  <c r="AN148" i="2"/>
  <c r="AJ149" i="2"/>
  <c r="AI149" i="2"/>
  <c r="AH150" i="2"/>
  <c r="AL149" i="2"/>
  <c r="AK149" i="2"/>
  <c r="AN149" i="2" s="1"/>
  <c r="AM148" i="2"/>
  <c r="AI150" i="2" l="1"/>
  <c r="AJ150" i="2"/>
  <c r="AM150" i="2" s="1"/>
  <c r="AH151" i="2"/>
  <c r="AK150" i="2"/>
  <c r="AN150" i="2" s="1"/>
  <c r="AM149" i="2"/>
  <c r="AI151" i="2" l="1"/>
  <c r="AH152" i="2"/>
  <c r="AK151" i="2"/>
  <c r="AJ151" i="2"/>
  <c r="AL150" i="2"/>
  <c r="AM151" i="2" l="1"/>
  <c r="AL151" i="2"/>
  <c r="AN151" i="2"/>
  <c r="AK152" i="2"/>
  <c r="AJ152" i="2"/>
  <c r="AI152" i="2"/>
  <c r="AH153" i="2"/>
  <c r="AM152" i="2" l="1"/>
  <c r="AN152" i="2"/>
  <c r="AH154" i="2"/>
  <c r="AK153" i="2"/>
  <c r="AJ153" i="2"/>
  <c r="AI153" i="2"/>
  <c r="AL152" i="2"/>
  <c r="AL153" i="2" s="1"/>
  <c r="AM153" i="2" l="1"/>
  <c r="AI154" i="2"/>
  <c r="AK154" i="2"/>
  <c r="AN154" i="2" s="1"/>
  <c r="AJ154" i="2"/>
  <c r="AH155" i="2"/>
  <c r="AN153" i="2"/>
  <c r="AM154" i="2" l="1"/>
  <c r="AK155" i="2"/>
  <c r="AJ155" i="2"/>
  <c r="AH156" i="2"/>
  <c r="AI155" i="2"/>
  <c r="AL154" i="2"/>
  <c r="AM155" i="2" l="1"/>
  <c r="AL155" i="2"/>
  <c r="AH157" i="2"/>
  <c r="AK156" i="2"/>
  <c r="AJ156" i="2"/>
  <c r="AI156" i="2"/>
  <c r="AN155" i="2"/>
  <c r="AM156" i="2" l="1"/>
  <c r="AN156" i="2"/>
  <c r="AL156" i="2"/>
  <c r="AJ157" i="2"/>
  <c r="AI157" i="2"/>
  <c r="AH158" i="2"/>
  <c r="AK157" i="2"/>
  <c r="AN157" i="2" s="1"/>
  <c r="AL157" i="2" l="1"/>
  <c r="AJ158" i="2"/>
  <c r="AL158" i="2" s="1"/>
  <c r="AH159" i="2"/>
  <c r="AK158" i="2"/>
  <c r="AI158" i="2"/>
  <c r="AM157" i="2"/>
  <c r="AN158" i="2" l="1"/>
  <c r="AH160" i="2"/>
  <c r="AJ159" i="2"/>
  <c r="AI159" i="2"/>
  <c r="AK159" i="2"/>
  <c r="AM158" i="2"/>
  <c r="AM159" i="2" l="1"/>
  <c r="AL159" i="2"/>
  <c r="AN159" i="2"/>
  <c r="M16" i="2"/>
  <c r="N16" i="2" s="1"/>
  <c r="O16" i="2" s="1"/>
  <c r="P16" i="2" s="1"/>
  <c r="AH161" i="2"/>
  <c r="AJ160" i="2"/>
  <c r="AL160" i="2" s="1"/>
  <c r="AI160" i="2"/>
  <c r="AK160" i="2"/>
  <c r="AG160" i="2"/>
  <c r="U16" i="2" l="1"/>
  <c r="AN160" i="2"/>
  <c r="AM160" i="2"/>
  <c r="AJ161" i="2"/>
  <c r="AI161" i="2"/>
  <c r="AK161" i="2"/>
  <c r="AN161" i="2" s="1"/>
  <c r="AH162" i="2"/>
  <c r="AM161" i="2" l="1"/>
  <c r="AK162" i="2"/>
  <c r="AH163" i="2"/>
  <c r="AJ162" i="2"/>
  <c r="AI162" i="2"/>
  <c r="AL161" i="2"/>
  <c r="AL162" i="2" s="1"/>
  <c r="AM162" i="2" l="1"/>
  <c r="AK163" i="2"/>
  <c r="AJ163" i="2"/>
  <c r="AL163" i="2" s="1"/>
  <c r="AI163" i="2"/>
  <c r="AH164" i="2"/>
  <c r="AN162" i="2"/>
  <c r="AH165" i="2" l="1"/>
  <c r="AK164" i="2"/>
  <c r="AI164" i="2"/>
  <c r="AJ164" i="2"/>
  <c r="AM163" i="2"/>
  <c r="AN163" i="2"/>
  <c r="AM164" i="2" l="1"/>
  <c r="AN164" i="2"/>
  <c r="AL164" i="2"/>
  <c r="AJ165" i="2"/>
  <c r="AK165" i="2"/>
  <c r="AI165" i="2"/>
  <c r="AH166" i="2"/>
  <c r="AK166" i="2" l="1"/>
  <c r="AJ166" i="2"/>
  <c r="AH167" i="2"/>
  <c r="AI166" i="2"/>
  <c r="AM165" i="2"/>
  <c r="AN165" i="2"/>
  <c r="AL165" i="2"/>
  <c r="AL166" i="2" l="1"/>
  <c r="AH168" i="2"/>
  <c r="AK167" i="2"/>
  <c r="AJ167" i="2"/>
  <c r="AI167" i="2"/>
  <c r="AN166" i="2"/>
  <c r="AM166" i="2"/>
  <c r="AM167" i="2" l="1"/>
  <c r="AN167" i="2"/>
  <c r="AL167" i="2"/>
  <c r="AI168" i="2"/>
  <c r="AJ168" i="2"/>
  <c r="AM168" i="2" s="1"/>
  <c r="AK168" i="2"/>
  <c r="AN168" i="2" s="1"/>
  <c r="AH169" i="2"/>
  <c r="AL168" i="2" l="1"/>
  <c r="AK169" i="2"/>
  <c r="AH170" i="2"/>
  <c r="AJ169" i="2"/>
  <c r="AI169" i="2"/>
  <c r="AM169" i="2" l="1"/>
  <c r="AH171" i="2"/>
  <c r="AK170" i="2"/>
  <c r="AJ170" i="2"/>
  <c r="AI170" i="2"/>
  <c r="AN169" i="2"/>
  <c r="AL169" i="2"/>
  <c r="AM170" i="2" l="1"/>
  <c r="AL170" i="2"/>
  <c r="AN170" i="2"/>
  <c r="AK171" i="2"/>
  <c r="AJ171" i="2"/>
  <c r="AI171" i="2"/>
  <c r="AH172" i="2"/>
  <c r="AL171" i="2"/>
  <c r="AM171" i="2" l="1"/>
  <c r="AJ172" i="2"/>
  <c r="AL172" i="2" s="1"/>
  <c r="AK172" i="2"/>
  <c r="AI172" i="2"/>
  <c r="AG172" i="2"/>
  <c r="AH173" i="2"/>
  <c r="AN171" i="2"/>
  <c r="M17" i="2"/>
  <c r="N17" i="2" s="1"/>
  <c r="O17" i="2" s="1"/>
  <c r="P17" i="2" s="1"/>
  <c r="U17" i="2" l="1"/>
  <c r="AN172" i="2"/>
  <c r="AH174" i="2"/>
  <c r="AK173" i="2"/>
  <c r="AJ173" i="2"/>
  <c r="AI173" i="2"/>
  <c r="AM172" i="2"/>
  <c r="AM173" i="2" l="1"/>
  <c r="AN173" i="2"/>
  <c r="AL173" i="2"/>
  <c r="AK174" i="2"/>
  <c r="AJ174" i="2"/>
  <c r="AI174" i="2"/>
  <c r="AH175" i="2"/>
  <c r="AL174" i="2" l="1"/>
  <c r="AI175" i="2"/>
  <c r="AH176" i="2"/>
  <c r="AJ175" i="2"/>
  <c r="AK175" i="2"/>
  <c r="AM174" i="2"/>
  <c r="AN174" i="2"/>
  <c r="AN175" i="2" l="1"/>
  <c r="AM175" i="2"/>
  <c r="AL175" i="2"/>
  <c r="AH177" i="2"/>
  <c r="AK176" i="2"/>
  <c r="AJ176" i="2"/>
  <c r="AI176" i="2"/>
  <c r="AL176" i="2" l="1"/>
  <c r="AN176" i="2"/>
  <c r="AM176" i="2"/>
  <c r="AH178" i="2"/>
  <c r="AK177" i="2"/>
  <c r="AJ177" i="2"/>
  <c r="AI177" i="2"/>
  <c r="AM177" i="2" l="1"/>
  <c r="AN177" i="2"/>
  <c r="AL177" i="2"/>
  <c r="AH179" i="2"/>
  <c r="AK178" i="2"/>
  <c r="AJ178" i="2"/>
  <c r="AI178" i="2"/>
  <c r="AM178" i="2" l="1"/>
  <c r="AN178" i="2"/>
  <c r="AL178" i="2"/>
  <c r="AK179" i="2"/>
  <c r="AI179" i="2"/>
  <c r="AJ179" i="2"/>
  <c r="AH180" i="2"/>
  <c r="AM179" i="2" l="1"/>
  <c r="AK180" i="2"/>
  <c r="AH181" i="2"/>
  <c r="AJ180" i="2"/>
  <c r="AI180" i="2"/>
  <c r="AL179" i="2"/>
  <c r="AL180" i="2" s="1"/>
  <c r="AN179" i="2"/>
  <c r="AM180" i="2" l="1"/>
  <c r="AN180" i="2"/>
  <c r="AJ181" i="2"/>
  <c r="AL181" i="2" s="1"/>
  <c r="AK181" i="2"/>
  <c r="AI181" i="2"/>
  <c r="AH182" i="2"/>
  <c r="AN181" i="2" l="1"/>
  <c r="AJ182" i="2"/>
  <c r="AL182" i="2" s="1"/>
  <c r="AK182" i="2"/>
  <c r="AI182" i="2"/>
  <c r="AH183" i="2"/>
  <c r="AM181" i="2"/>
  <c r="AH184" i="2" l="1"/>
  <c r="AK183" i="2"/>
  <c r="AJ183" i="2"/>
  <c r="AI183" i="2"/>
  <c r="AN182" i="2"/>
  <c r="AM182" i="2"/>
  <c r="AM183" i="2" l="1"/>
  <c r="AN183" i="2"/>
  <c r="M18" i="2"/>
  <c r="N18" i="2" s="1"/>
  <c r="O18" i="2" s="1"/>
  <c r="P18" i="2" s="1"/>
  <c r="AL183" i="2"/>
  <c r="AH185" i="2"/>
  <c r="AJ184" i="2"/>
  <c r="AI184" i="2"/>
  <c r="AG184" i="2"/>
  <c r="AK184" i="2"/>
  <c r="AL184" i="2"/>
  <c r="U18" i="2" l="1"/>
  <c r="AM184" i="2"/>
  <c r="AN184" i="2"/>
  <c r="AH186" i="2"/>
  <c r="AK185" i="2"/>
  <c r="AJ185" i="2"/>
  <c r="AI185" i="2"/>
  <c r="AM185" i="2" l="1"/>
  <c r="AN185" i="2"/>
  <c r="AL185" i="2"/>
  <c r="AK186" i="2"/>
  <c r="AJ186" i="2"/>
  <c r="AI186" i="2"/>
  <c r="AH187" i="2"/>
  <c r="AK187" i="2" l="1"/>
  <c r="AJ187" i="2"/>
  <c r="AH188" i="2"/>
  <c r="AI187" i="2"/>
  <c r="AM186" i="2"/>
  <c r="AL186" i="2"/>
  <c r="AN186" i="2"/>
  <c r="AL187" i="2" l="1"/>
  <c r="AH189" i="2"/>
  <c r="AK188" i="2"/>
  <c r="AJ188" i="2"/>
  <c r="AI188" i="2"/>
  <c r="AM187" i="2"/>
  <c r="AN187" i="2"/>
  <c r="AM188" i="2" l="1"/>
  <c r="AL188" i="2"/>
  <c r="AN188" i="2"/>
  <c r="AJ189" i="2"/>
  <c r="AL189" i="2"/>
  <c r="AK189" i="2"/>
  <c r="AI189" i="2"/>
  <c r="AH190" i="2"/>
  <c r="AH191" i="2" l="1"/>
  <c r="AK190" i="2"/>
  <c r="AJ190" i="2"/>
  <c r="AI190" i="2"/>
  <c r="AN189" i="2"/>
  <c r="AM189" i="2"/>
  <c r="AM190" i="2" l="1"/>
  <c r="AN190" i="2"/>
  <c r="AJ191" i="2"/>
  <c r="AI191" i="2"/>
  <c r="AK191" i="2"/>
  <c r="AH192" i="2"/>
  <c r="AL190" i="2"/>
  <c r="AL191" i="2" l="1"/>
  <c r="AM191" i="2"/>
  <c r="AN191" i="2"/>
  <c r="AI192" i="2"/>
  <c r="AJ192" i="2"/>
  <c r="AM192" i="2" s="1"/>
  <c r="AH193" i="2"/>
  <c r="AK192" i="2"/>
  <c r="AN192" i="2" s="1"/>
  <c r="AL192" i="2" l="1"/>
  <c r="AH194" i="2"/>
  <c r="AK193" i="2"/>
  <c r="AJ193" i="2"/>
  <c r="AI193" i="2"/>
  <c r="AM193" i="2" l="1"/>
  <c r="AH195" i="2"/>
  <c r="AK194" i="2"/>
  <c r="AI194" i="2"/>
  <c r="AJ194" i="2"/>
  <c r="AM194" i="2" s="1"/>
  <c r="AN193" i="2"/>
  <c r="AL193" i="2"/>
  <c r="AL194" i="2" s="1"/>
  <c r="AN194" i="2" l="1"/>
  <c r="AK195" i="2"/>
  <c r="AH196" i="2"/>
  <c r="AJ195" i="2"/>
  <c r="AI195" i="2"/>
  <c r="AM195" i="2" l="1"/>
  <c r="AJ196" i="2"/>
  <c r="AK196" i="2"/>
  <c r="AI196" i="2"/>
  <c r="AG196" i="2"/>
  <c r="AH197" i="2"/>
  <c r="AL195" i="2"/>
  <c r="AN195" i="2"/>
  <c r="M19" i="2"/>
  <c r="N19" i="2" s="1"/>
  <c r="O19" i="2" s="1"/>
  <c r="P19" i="2" s="1"/>
  <c r="U19" i="2" l="1"/>
  <c r="AL196" i="2"/>
  <c r="AN196" i="2"/>
  <c r="AH198" i="2"/>
  <c r="AK197" i="2"/>
  <c r="AJ197" i="2"/>
  <c r="AI197" i="2"/>
  <c r="AM196" i="2"/>
  <c r="AM197" i="2" l="1"/>
  <c r="AN197" i="2"/>
  <c r="AL197" i="2"/>
  <c r="AK198" i="2"/>
  <c r="AI198" i="2"/>
  <c r="AH199" i="2"/>
  <c r="AJ198" i="2"/>
  <c r="AM198" i="2" s="1"/>
  <c r="AL198" i="2" l="1"/>
  <c r="AI199" i="2"/>
  <c r="AH200" i="2"/>
  <c r="AJ199" i="2"/>
  <c r="AM199" i="2" s="1"/>
  <c r="AK199" i="2"/>
  <c r="AN198" i="2"/>
  <c r="AI200" i="2" l="1"/>
  <c r="AH201" i="2"/>
  <c r="AK200" i="2"/>
  <c r="AN200" i="2" s="1"/>
  <c r="AJ200" i="2"/>
  <c r="AN199" i="2"/>
  <c r="AL199" i="2"/>
  <c r="AL200" i="2" s="1"/>
  <c r="AM200" i="2" l="1"/>
  <c r="AH202" i="2"/>
  <c r="AK201" i="2"/>
  <c r="AJ201" i="2"/>
  <c r="AI201" i="2"/>
  <c r="AM201" i="2" l="1"/>
  <c r="AL201" i="2"/>
  <c r="AN201" i="2"/>
  <c r="AH203" i="2"/>
  <c r="AI202" i="2"/>
  <c r="AJ202" i="2"/>
  <c r="AM202" i="2" s="1"/>
  <c r="AK202" i="2"/>
  <c r="AN202" i="2" s="1"/>
  <c r="AL202" i="2" l="1"/>
  <c r="AK203" i="2"/>
  <c r="AI203" i="2"/>
  <c r="AH204" i="2"/>
  <c r="AJ203" i="2"/>
  <c r="AM203" i="2" l="1"/>
  <c r="AL203" i="2"/>
  <c r="AH205" i="2"/>
  <c r="AK204" i="2"/>
  <c r="AJ204" i="2"/>
  <c r="AI204" i="2"/>
  <c r="AN203" i="2"/>
  <c r="AM204" i="2" l="1"/>
  <c r="AN204" i="2"/>
  <c r="AH206" i="2"/>
  <c r="AI205" i="2"/>
  <c r="AK205" i="2"/>
  <c r="AN205" i="2" s="1"/>
  <c r="AJ205" i="2"/>
  <c r="AM205" i="2" s="1"/>
  <c r="AL204" i="2"/>
  <c r="AL205" i="2" s="1"/>
  <c r="AJ206" i="2" l="1"/>
  <c r="AK206" i="2"/>
  <c r="AI206" i="2"/>
  <c r="AH207" i="2"/>
  <c r="AL206" i="2"/>
  <c r="AN206" i="2" l="1"/>
  <c r="AH208" i="2"/>
  <c r="AK207" i="2"/>
  <c r="AJ207" i="2"/>
  <c r="AI207" i="2"/>
  <c r="AM206" i="2"/>
  <c r="AM207" i="2" l="1"/>
  <c r="AL207" i="2"/>
  <c r="AN207" i="2"/>
  <c r="M20" i="2"/>
  <c r="N20" i="2" s="1"/>
  <c r="O20" i="2" s="1"/>
  <c r="P20" i="2" s="1"/>
  <c r="AH209" i="2"/>
  <c r="AG208" i="2"/>
  <c r="AI208" i="2"/>
  <c r="AJ208" i="2"/>
  <c r="AM208" i="2" s="1"/>
  <c r="AK208" i="2"/>
  <c r="U20" i="2" l="1"/>
  <c r="AN208" i="2"/>
  <c r="AL208" i="2"/>
  <c r="AK209" i="2"/>
  <c r="AJ209" i="2"/>
  <c r="AI209" i="2"/>
  <c r="AH210" i="2"/>
  <c r="AL209" i="2" l="1"/>
  <c r="AN209" i="2"/>
  <c r="AK210" i="2"/>
  <c r="AH211" i="2"/>
  <c r="AJ210" i="2"/>
  <c r="AI210" i="2"/>
  <c r="AM209" i="2"/>
  <c r="AM210" i="2" l="1"/>
  <c r="AN210" i="2"/>
  <c r="AL210" i="2"/>
  <c r="AK211" i="2"/>
  <c r="AJ211" i="2"/>
  <c r="AI211" i="2"/>
  <c r="AH212" i="2"/>
  <c r="AN211" i="2" l="1"/>
  <c r="AK212" i="2"/>
  <c r="AH213" i="2"/>
  <c r="AI212" i="2"/>
  <c r="AJ212" i="2"/>
  <c r="AM212" i="2" s="1"/>
  <c r="AM211" i="2"/>
  <c r="AL211" i="2"/>
  <c r="AL212" i="2" s="1"/>
  <c r="AN212" i="2" l="1"/>
  <c r="AJ213" i="2"/>
  <c r="AL213" i="2" s="1"/>
  <c r="AH214" i="2"/>
  <c r="AK213" i="2"/>
  <c r="AI213" i="2"/>
  <c r="AN213" i="2" l="1"/>
  <c r="AI214" i="2"/>
  <c r="AH215" i="2"/>
  <c r="AK214" i="2"/>
  <c r="AN214" i="2" s="1"/>
  <c r="AJ214" i="2"/>
  <c r="AM214" i="2" s="1"/>
  <c r="AM213" i="2"/>
  <c r="AL214" i="2" l="1"/>
  <c r="AK215" i="2"/>
  <c r="AJ215" i="2"/>
  <c r="AI215" i="2"/>
  <c r="AH216" i="2"/>
  <c r="AM215" i="2" l="1"/>
  <c r="AL215" i="2"/>
  <c r="AI216" i="2"/>
  <c r="AH217" i="2"/>
  <c r="AJ216" i="2"/>
  <c r="AK216" i="2"/>
  <c r="AN215" i="2"/>
  <c r="AM216" i="2" l="1"/>
  <c r="AN216" i="2"/>
  <c r="AL216" i="2"/>
  <c r="AJ217" i="2"/>
  <c r="AI217" i="2"/>
  <c r="AK217" i="2"/>
  <c r="AH218" i="2"/>
  <c r="AN217" i="2" l="1"/>
  <c r="AH219" i="2"/>
  <c r="AK218" i="2"/>
  <c r="AJ218" i="2"/>
  <c r="AI218" i="2"/>
  <c r="AM217" i="2"/>
  <c r="AL217" i="2"/>
  <c r="AL218" i="2" s="1"/>
  <c r="AM218" i="2" l="1"/>
  <c r="AN218" i="2"/>
  <c r="AK219" i="2"/>
  <c r="AJ219" i="2"/>
  <c r="AI219" i="2"/>
  <c r="AH220" i="2"/>
  <c r="AM219" i="2" l="1"/>
  <c r="AN219" i="2"/>
  <c r="M21" i="2"/>
  <c r="N21" i="2" s="1"/>
  <c r="O21" i="2" s="1"/>
  <c r="P21" i="2" s="1"/>
  <c r="AJ220" i="2"/>
  <c r="AK220" i="2"/>
  <c r="AI220" i="2"/>
  <c r="AH221" i="2"/>
  <c r="AG220" i="2"/>
  <c r="AL219" i="2"/>
  <c r="AL220" i="2" s="1"/>
  <c r="U21" i="2" l="1"/>
  <c r="AN220" i="2"/>
  <c r="AH222" i="2"/>
  <c r="AK221" i="2"/>
  <c r="AJ221" i="2"/>
  <c r="AL221" i="2" s="1"/>
  <c r="AI221" i="2"/>
  <c r="AM220" i="2"/>
  <c r="AM221" i="2" l="1"/>
  <c r="AN221" i="2"/>
  <c r="AH223" i="2"/>
  <c r="AK222" i="2"/>
  <c r="AJ222" i="2"/>
  <c r="AI222" i="2"/>
  <c r="AM222" i="2" l="1"/>
  <c r="AN222" i="2"/>
  <c r="AL222" i="2"/>
  <c r="AI223" i="2"/>
  <c r="AK223" i="2"/>
  <c r="AJ223" i="2"/>
  <c r="AM223" i="2" s="1"/>
  <c r="AH224" i="2"/>
  <c r="AL223" i="2" l="1"/>
  <c r="AH225" i="2"/>
  <c r="AJ224" i="2"/>
  <c r="AK224" i="2"/>
  <c r="AI224" i="2"/>
  <c r="AN223" i="2"/>
  <c r="AN224" i="2" l="1"/>
  <c r="AM224" i="2"/>
  <c r="AH226" i="2"/>
  <c r="AI225" i="2"/>
  <c r="AK225" i="2"/>
  <c r="AJ225" i="2"/>
  <c r="AM225" i="2" s="1"/>
  <c r="AL224" i="2"/>
  <c r="AL225" i="2" l="1"/>
  <c r="AN225" i="2"/>
  <c r="AH227" i="2"/>
  <c r="AK226" i="2"/>
  <c r="AJ226" i="2"/>
  <c r="AI226" i="2"/>
  <c r="AM226" i="2" l="1"/>
  <c r="AN226" i="2"/>
  <c r="AK227" i="2"/>
  <c r="AJ227" i="2"/>
  <c r="AI227" i="2"/>
  <c r="AH228" i="2"/>
  <c r="AL226" i="2"/>
  <c r="AL227" i="2" s="1"/>
  <c r="AM227" i="2" l="1"/>
  <c r="AJ228" i="2"/>
  <c r="AI228" i="2"/>
  <c r="AH229" i="2"/>
  <c r="AL228" i="2"/>
  <c r="AK228" i="2"/>
  <c r="AN228" i="2" s="1"/>
  <c r="AN227" i="2"/>
  <c r="AK229" i="2" l="1"/>
  <c r="AJ229" i="2"/>
  <c r="AL229" i="2" s="1"/>
  <c r="AI229" i="2"/>
  <c r="AH230" i="2"/>
  <c r="AM228" i="2"/>
  <c r="AJ230" i="2" l="1"/>
  <c r="AH231" i="2"/>
  <c r="AL230" i="2"/>
  <c r="AK230" i="2"/>
  <c r="AI230" i="2"/>
  <c r="AM229" i="2"/>
  <c r="AN229" i="2"/>
  <c r="AN230" i="2" l="1"/>
  <c r="AK231" i="2"/>
  <c r="AJ231" i="2"/>
  <c r="AI231" i="2"/>
  <c r="AH232" i="2"/>
  <c r="AM230" i="2"/>
  <c r="AM231" i="2" l="1"/>
  <c r="AN231" i="2"/>
  <c r="AL231" i="2"/>
  <c r="AH233" i="2"/>
  <c r="AK232" i="2"/>
  <c r="AJ232" i="2"/>
  <c r="AI232" i="2"/>
  <c r="AG232" i="2"/>
  <c r="AM232" i="2" l="1"/>
  <c r="AN232" i="2"/>
  <c r="M22" i="2"/>
  <c r="N22" i="2" s="1"/>
  <c r="O22" i="2" s="1"/>
  <c r="P22" i="2" s="1"/>
  <c r="AL232" i="2"/>
  <c r="AK233" i="2"/>
  <c r="AJ233" i="2"/>
  <c r="AI233" i="2"/>
  <c r="AH234" i="2"/>
  <c r="U22" i="2" l="1"/>
  <c r="AM233" i="2"/>
  <c r="AL233" i="2"/>
  <c r="AK234" i="2"/>
  <c r="AJ234" i="2"/>
  <c r="AH235" i="2"/>
  <c r="AI234" i="2"/>
  <c r="AN233" i="2"/>
  <c r="AL234" i="2" l="1"/>
  <c r="AN234" i="2"/>
  <c r="AH236" i="2"/>
  <c r="AJ235" i="2"/>
  <c r="AI235" i="2"/>
  <c r="AK235" i="2"/>
  <c r="AN235" i="2" s="1"/>
  <c r="AM234" i="2"/>
  <c r="AL235" i="2" l="1"/>
  <c r="AM235" i="2"/>
  <c r="AI236" i="2"/>
  <c r="AH237" i="2"/>
  <c r="AK236" i="2"/>
  <c r="AJ236" i="2"/>
  <c r="AJ237" i="2" l="1"/>
  <c r="AI237" i="2"/>
  <c r="AH238" i="2"/>
  <c r="AK237" i="2"/>
  <c r="AM236" i="2"/>
  <c r="AN236" i="2"/>
  <c r="AL236" i="2"/>
  <c r="AL237" i="2" l="1"/>
  <c r="AN237" i="2"/>
  <c r="AH239" i="2"/>
  <c r="AK238" i="2"/>
  <c r="AJ238" i="2"/>
  <c r="AI238" i="2"/>
  <c r="AM237" i="2"/>
  <c r="AM238" i="2" l="1"/>
  <c r="AN238" i="2"/>
  <c r="AJ239" i="2"/>
  <c r="AI239" i="2"/>
  <c r="AH240" i="2"/>
  <c r="AK239" i="2"/>
  <c r="AN239" i="2" s="1"/>
  <c r="AL238" i="2"/>
  <c r="AL239" i="2" l="1"/>
  <c r="AI240" i="2"/>
  <c r="AJ240" i="2"/>
  <c r="AM240" i="2" s="1"/>
  <c r="AH241" i="2"/>
  <c r="AK240" i="2"/>
  <c r="AN240" i="2" s="1"/>
  <c r="AM239" i="2"/>
  <c r="AL240" i="2" l="1"/>
  <c r="AH242" i="2"/>
  <c r="AK241" i="2"/>
  <c r="AJ241" i="2"/>
  <c r="AI241" i="2"/>
  <c r="AM241" i="2" l="1"/>
  <c r="AN241" i="2"/>
  <c r="AH243" i="2"/>
  <c r="AK242" i="2"/>
  <c r="AJ242" i="2"/>
  <c r="AI242" i="2"/>
  <c r="AL241" i="2"/>
  <c r="AL242" i="2" s="1"/>
  <c r="AM242" i="2" l="1"/>
  <c r="AN242" i="2"/>
  <c r="AK243" i="2"/>
  <c r="AJ243" i="2"/>
  <c r="AL243" i="2" s="1"/>
  <c r="AH244" i="2"/>
  <c r="AI243" i="2"/>
  <c r="AJ244" i="2" l="1"/>
  <c r="AL244" i="2" s="1"/>
  <c r="AG244" i="2"/>
  <c r="AK244" i="2"/>
  <c r="AI244" i="2"/>
  <c r="AH245" i="2"/>
  <c r="AM243" i="2"/>
  <c r="AN243" i="2"/>
  <c r="M23" i="2"/>
  <c r="N23" i="2" s="1"/>
  <c r="O23" i="2" s="1"/>
  <c r="P23" i="2" s="1"/>
  <c r="U23" i="2" l="1"/>
  <c r="AN244" i="2"/>
  <c r="AI245" i="2"/>
  <c r="AK245" i="2"/>
  <c r="AH246" i="2"/>
  <c r="AJ245" i="2"/>
  <c r="AM244" i="2"/>
  <c r="AM245" i="2" l="1"/>
  <c r="AK246" i="2"/>
  <c r="AH247" i="2"/>
  <c r="AJ246" i="2"/>
  <c r="AI246" i="2"/>
  <c r="AN245" i="2"/>
  <c r="AL245" i="2"/>
  <c r="AL246" i="2" s="1"/>
  <c r="AM246" i="2" l="1"/>
  <c r="AH248" i="2"/>
  <c r="AK247" i="2"/>
  <c r="AJ247" i="2"/>
  <c r="AI247" i="2"/>
  <c r="AL247" i="2"/>
  <c r="AN246" i="2"/>
  <c r="AM247" i="2" l="1"/>
  <c r="AN247" i="2"/>
  <c r="AH249" i="2"/>
  <c r="AK248" i="2"/>
  <c r="AJ248" i="2"/>
  <c r="AL248" i="2"/>
  <c r="AI248" i="2"/>
  <c r="AM248" i="2" l="1"/>
  <c r="AN248" i="2"/>
  <c r="AK249" i="2"/>
  <c r="AI249" i="2"/>
  <c r="AH250" i="2"/>
  <c r="AJ249" i="2"/>
  <c r="AM249" i="2" s="1"/>
  <c r="AL249" i="2" l="1"/>
  <c r="AH251" i="2"/>
  <c r="AI250" i="2"/>
  <c r="AJ250" i="2"/>
  <c r="AK250" i="2"/>
  <c r="AN249" i="2"/>
  <c r="AN250" i="2" l="1"/>
  <c r="AM250" i="2"/>
  <c r="AH252" i="2"/>
  <c r="AK251" i="2"/>
  <c r="AJ251" i="2"/>
  <c r="AI251" i="2"/>
  <c r="AL250" i="2"/>
  <c r="AL251" i="2" l="1"/>
  <c r="AM251" i="2"/>
  <c r="AN251" i="2"/>
  <c r="AJ252" i="2"/>
  <c r="AL252" i="2" s="1"/>
  <c r="AI252" i="2"/>
  <c r="AH253" i="2"/>
  <c r="AK252" i="2"/>
  <c r="AM252" i="2" l="1"/>
  <c r="AN252" i="2"/>
  <c r="AK253" i="2"/>
  <c r="AI253" i="2"/>
  <c r="AJ253" i="2"/>
  <c r="AM253" i="2" s="1"/>
  <c r="AH254" i="2"/>
  <c r="AN253" i="2" l="1"/>
  <c r="AL253" i="2"/>
  <c r="AK254" i="2"/>
  <c r="AJ254" i="2"/>
  <c r="AH255" i="2"/>
  <c r="AI254" i="2"/>
  <c r="AL254" i="2" l="1"/>
  <c r="AM254" i="2"/>
  <c r="AN254" i="2"/>
  <c r="AI255" i="2"/>
  <c r="AK255" i="2"/>
  <c r="AH256" i="2"/>
  <c r="AJ255" i="2"/>
  <c r="AM255" i="2" s="1"/>
  <c r="AK256" i="2" l="1"/>
  <c r="AG256" i="2"/>
  <c r="AH257" i="2"/>
  <c r="AI256" i="2"/>
  <c r="AJ256" i="2"/>
  <c r="AN255" i="2"/>
  <c r="M24" i="2"/>
  <c r="N24" i="2" s="1"/>
  <c r="O24" i="2" s="1"/>
  <c r="P24" i="2" s="1"/>
  <c r="AL255" i="2"/>
  <c r="AL256" i="2" s="1"/>
  <c r="U24" i="2" l="1"/>
  <c r="AI257" i="2"/>
  <c r="AH258" i="2"/>
  <c r="AK257" i="2"/>
  <c r="AJ257" i="2"/>
  <c r="AL257" i="2" s="1"/>
  <c r="AN256" i="2"/>
  <c r="AM256" i="2"/>
  <c r="AN257" i="2" l="1"/>
  <c r="AK258" i="2"/>
  <c r="AH259" i="2"/>
  <c r="AJ258" i="2"/>
  <c r="AI258" i="2"/>
  <c r="AM257" i="2"/>
  <c r="AM258" i="2" l="1"/>
  <c r="AL258" i="2"/>
  <c r="AJ259" i="2"/>
  <c r="AH260" i="2"/>
  <c r="AK259" i="2"/>
  <c r="AI259" i="2"/>
  <c r="AN258" i="2"/>
  <c r="AM259" i="2" l="1"/>
  <c r="AL259" i="2"/>
  <c r="AK260" i="2"/>
  <c r="AH261" i="2"/>
  <c r="AJ260" i="2"/>
  <c r="AM260" i="2" s="1"/>
  <c r="AI260" i="2"/>
  <c r="AN259" i="2"/>
  <c r="AK261" i="2" l="1"/>
  <c r="AJ261" i="2"/>
  <c r="AI261" i="2"/>
  <c r="AH262" i="2"/>
  <c r="AN260" i="2"/>
  <c r="AL260" i="2"/>
  <c r="AL261" i="2" l="1"/>
  <c r="AI262" i="2"/>
  <c r="AH263" i="2"/>
  <c r="AK262" i="2"/>
  <c r="AJ262" i="2"/>
  <c r="AL262" i="2" s="1"/>
  <c r="AM261" i="2"/>
  <c r="AN261" i="2"/>
  <c r="AI263" i="2" l="1"/>
  <c r="AK263" i="2"/>
  <c r="AN263" i="2" s="1"/>
  <c r="AJ263" i="2"/>
  <c r="AL263" i="2" s="1"/>
  <c r="AH264" i="2"/>
  <c r="AM262" i="2"/>
  <c r="AN262" i="2"/>
  <c r="AH265" i="2" l="1"/>
  <c r="AK264" i="2"/>
  <c r="AJ264" i="2"/>
  <c r="AI264" i="2"/>
  <c r="AM263" i="2"/>
  <c r="AM264" i="2" l="1"/>
  <c r="AN264" i="2"/>
  <c r="AL264" i="2"/>
  <c r="AK265" i="2"/>
  <c r="AJ265" i="2"/>
  <c r="AI265" i="2"/>
  <c r="AH266" i="2"/>
  <c r="AM265" i="2" l="1"/>
  <c r="AL265" i="2"/>
  <c r="AN265" i="2"/>
  <c r="AK266" i="2"/>
  <c r="AJ266" i="2"/>
  <c r="AI266" i="2"/>
  <c r="AH267" i="2"/>
  <c r="AM266" i="2" l="1"/>
  <c r="AN266" i="2"/>
  <c r="AJ267" i="2"/>
  <c r="AI267" i="2"/>
  <c r="AH268" i="2"/>
  <c r="AK267" i="2"/>
  <c r="AL266" i="2"/>
  <c r="AL267" i="2" s="1"/>
  <c r="AG268" i="2" l="1"/>
  <c r="AH269" i="2"/>
  <c r="AK268" i="2"/>
  <c r="AJ268" i="2"/>
  <c r="AL268" i="2" s="1"/>
  <c r="AI268" i="2"/>
  <c r="AM267" i="2"/>
  <c r="AN267" i="2"/>
  <c r="M25" i="2"/>
  <c r="N25" i="2" s="1"/>
  <c r="O25" i="2" s="1"/>
  <c r="P25" i="2" s="1"/>
  <c r="U25" i="2" l="1"/>
  <c r="AM268" i="2"/>
  <c r="AN268" i="2"/>
  <c r="AI269" i="2"/>
  <c r="AK269" i="2"/>
  <c r="AN269" i="2" s="1"/>
  <c r="AJ269" i="2"/>
  <c r="AH270" i="2"/>
  <c r="AM269" i="2" l="1"/>
  <c r="AL269" i="2"/>
  <c r="AH271" i="2"/>
  <c r="AJ270" i="2"/>
  <c r="AI270" i="2"/>
  <c r="AK270" i="2"/>
  <c r="AN270" i="2" l="1"/>
  <c r="AM270" i="2"/>
  <c r="AH272" i="2"/>
  <c r="AJ271" i="2"/>
  <c r="AI271" i="2"/>
  <c r="AK271" i="2"/>
  <c r="AN271" i="2" s="1"/>
  <c r="AL270" i="2"/>
  <c r="AL271" i="2" s="1"/>
  <c r="AM271" i="2" l="1"/>
  <c r="AK272" i="2"/>
  <c r="AH273" i="2"/>
  <c r="AJ272" i="2"/>
  <c r="AI272" i="2"/>
  <c r="AM272" i="2" l="1"/>
  <c r="AK273" i="2"/>
  <c r="AH274" i="2"/>
  <c r="AI273" i="2"/>
  <c r="AJ273" i="2"/>
  <c r="AM273" i="2" s="1"/>
  <c r="AN272" i="2"/>
  <c r="AL272" i="2"/>
  <c r="AL273" i="2" s="1"/>
  <c r="AI274" i="2" l="1"/>
  <c r="AH275" i="2"/>
  <c r="AK274" i="2"/>
  <c r="AN274" i="2" s="1"/>
  <c r="AJ274" i="2"/>
  <c r="AM274" i="2" s="1"/>
  <c r="AN273" i="2"/>
  <c r="AL274" i="2" l="1"/>
  <c r="AI275" i="2"/>
  <c r="AH276" i="2"/>
  <c r="AK275" i="2"/>
  <c r="AJ275" i="2"/>
  <c r="AM275" i="2" l="1"/>
  <c r="AN275" i="2"/>
  <c r="AJ276" i="2"/>
  <c r="AH277" i="2"/>
  <c r="AK276" i="2"/>
  <c r="AI276" i="2"/>
  <c r="AL275" i="2"/>
  <c r="AL276" i="2" l="1"/>
  <c r="AN276" i="2"/>
  <c r="AJ277" i="2"/>
  <c r="AL277" i="2" s="1"/>
  <c r="AI277" i="2"/>
  <c r="AK277" i="2"/>
  <c r="AH278" i="2"/>
  <c r="AM276" i="2"/>
  <c r="AH279" i="2" l="1"/>
  <c r="AJ278" i="2"/>
  <c r="AI278" i="2"/>
  <c r="AK278" i="2"/>
  <c r="AN278" i="2" s="1"/>
  <c r="AN277" i="2"/>
  <c r="AM277" i="2"/>
  <c r="AM278" i="2" l="1"/>
  <c r="AL278" i="2"/>
  <c r="AI279" i="2"/>
  <c r="AJ279" i="2"/>
  <c r="AH280" i="2"/>
  <c r="AK279" i="2"/>
  <c r="AM279" i="2" l="1"/>
  <c r="AL279" i="2"/>
  <c r="AN279" i="2"/>
  <c r="M26" i="2"/>
  <c r="N26" i="2" s="1"/>
  <c r="O26" i="2" s="1"/>
  <c r="P26" i="2" s="1"/>
  <c r="AK280" i="2"/>
  <c r="AJ280" i="2"/>
  <c r="AI280" i="2"/>
  <c r="AH281" i="2"/>
  <c r="AG280" i="2"/>
  <c r="AL280" i="2" l="1"/>
  <c r="U26" i="2"/>
  <c r="AH282" i="2"/>
  <c r="AK281" i="2"/>
  <c r="AJ281" i="2"/>
  <c r="AL281" i="2" s="1"/>
  <c r="AI281" i="2"/>
  <c r="AM280" i="2"/>
  <c r="AN280" i="2"/>
  <c r="AM281" i="2" l="1"/>
  <c r="AN281" i="2"/>
  <c r="AJ282" i="2"/>
  <c r="AI282" i="2"/>
  <c r="AH283" i="2"/>
  <c r="AK282" i="2"/>
  <c r="AN282" i="2" l="1"/>
  <c r="AJ283" i="2"/>
  <c r="AK283" i="2"/>
  <c r="AH284" i="2"/>
  <c r="AI283" i="2"/>
  <c r="AM282" i="2"/>
  <c r="AL282" i="2"/>
  <c r="AL283" i="2" l="1"/>
  <c r="AH285" i="2"/>
  <c r="AK284" i="2"/>
  <c r="AI284" i="2"/>
  <c r="AJ284" i="2"/>
  <c r="AM284" i="2" s="1"/>
  <c r="AN283" i="2"/>
  <c r="AM283" i="2"/>
  <c r="AN284" i="2" l="1"/>
  <c r="AL284" i="2"/>
  <c r="AI285" i="2"/>
  <c r="AH286" i="2"/>
  <c r="AK285" i="2"/>
  <c r="AJ285" i="2"/>
  <c r="AM285" i="2" s="1"/>
  <c r="AN285" i="2" l="1"/>
  <c r="AL285" i="2"/>
  <c r="AI286" i="2"/>
  <c r="AH287" i="2"/>
  <c r="AK286" i="2"/>
  <c r="AJ286" i="2"/>
  <c r="AL286" i="2" l="1"/>
  <c r="AM286" i="2"/>
  <c r="AN286" i="2"/>
  <c r="AH288" i="2"/>
  <c r="AK287" i="2"/>
  <c r="AJ287" i="2"/>
  <c r="AI287" i="2"/>
  <c r="AM287" i="2" l="1"/>
  <c r="AN287" i="2"/>
  <c r="AH289" i="2"/>
  <c r="AJ288" i="2"/>
  <c r="AI288" i="2"/>
  <c r="AK288" i="2"/>
  <c r="AL287" i="2"/>
  <c r="AL288" i="2" s="1"/>
  <c r="AM288" i="2" l="1"/>
  <c r="AH290" i="2"/>
  <c r="AK289" i="2"/>
  <c r="AJ289" i="2"/>
  <c r="AI289" i="2"/>
  <c r="AN288" i="2"/>
  <c r="AM289" i="2" l="1"/>
  <c r="AN289" i="2"/>
  <c r="AL289" i="2"/>
  <c r="AK290" i="2"/>
  <c r="AJ290" i="2"/>
  <c r="AI290" i="2"/>
  <c r="AH291" i="2"/>
  <c r="AK291" i="2" l="1"/>
  <c r="AJ291" i="2"/>
  <c r="AH292" i="2"/>
  <c r="AI291" i="2"/>
  <c r="AM290" i="2"/>
  <c r="AL290" i="2"/>
  <c r="AN290" i="2"/>
  <c r="AM291" i="2" l="1"/>
  <c r="AL291" i="2"/>
  <c r="AN291" i="2"/>
  <c r="M27" i="2"/>
  <c r="N27" i="2" s="1"/>
  <c r="O27" i="2" s="1"/>
  <c r="P27" i="2" s="1"/>
  <c r="AK292" i="2"/>
  <c r="AJ292" i="2"/>
  <c r="AL292" i="2" s="1"/>
  <c r="AI292" i="2"/>
  <c r="AG292" i="2"/>
  <c r="AH293" i="2"/>
  <c r="U27" i="2" l="1"/>
  <c r="AN292" i="2"/>
  <c r="AI293" i="2"/>
  <c r="AH294" i="2"/>
  <c r="AK293" i="2"/>
  <c r="AN293" i="2" s="1"/>
  <c r="AJ293" i="2"/>
  <c r="AM292" i="2"/>
  <c r="AM293" i="2" l="1"/>
  <c r="AL293" i="2"/>
  <c r="AK294" i="2"/>
  <c r="AJ294" i="2"/>
  <c r="AI294" i="2"/>
  <c r="AH295" i="2"/>
  <c r="AN294" i="2" l="1"/>
  <c r="AM294" i="2"/>
  <c r="AL294" i="2"/>
  <c r="AH296" i="2"/>
  <c r="AI295" i="2"/>
  <c r="AJ295" i="2"/>
  <c r="AM295" i="2" s="1"/>
  <c r="AK295" i="2"/>
  <c r="AN295" i="2" s="1"/>
  <c r="AL295" i="2" l="1"/>
  <c r="AI296" i="2"/>
  <c r="AK296" i="2"/>
  <c r="AJ296" i="2"/>
  <c r="AH297" i="2"/>
  <c r="AM296" i="2" l="1"/>
  <c r="AN296" i="2"/>
  <c r="AK297" i="2"/>
  <c r="AH298" i="2"/>
  <c r="AJ297" i="2"/>
  <c r="AI297" i="2"/>
  <c r="AL296" i="2"/>
  <c r="AL297" i="2" l="1"/>
  <c r="AN297" i="2"/>
  <c r="AM297" i="2"/>
  <c r="AK298" i="2"/>
  <c r="AJ298" i="2"/>
  <c r="AI298" i="2"/>
  <c r="AH299" i="2"/>
  <c r="AJ299" i="2" l="1"/>
  <c r="AI299" i="2"/>
  <c r="AH300" i="2"/>
  <c r="AK299" i="2"/>
  <c r="AM298" i="2"/>
  <c r="AL298" i="2"/>
  <c r="AN298" i="2"/>
  <c r="AM299" i="2" l="1"/>
  <c r="AL299" i="2"/>
  <c r="AN299" i="2"/>
  <c r="AJ300" i="2"/>
  <c r="AL300" i="2" s="1"/>
  <c r="AK300" i="2"/>
  <c r="AI300" i="2"/>
  <c r="AH301" i="2"/>
  <c r="AH302" i="2" l="1"/>
  <c r="AK301" i="2"/>
  <c r="AJ301" i="2"/>
  <c r="AI301" i="2"/>
  <c r="AN300" i="2"/>
  <c r="AM300" i="2"/>
  <c r="AM301" i="2" l="1"/>
  <c r="AL301" i="2"/>
  <c r="AN301" i="2"/>
  <c r="AK302" i="2"/>
  <c r="AJ302" i="2"/>
  <c r="AI302" i="2"/>
  <c r="AH303" i="2"/>
  <c r="AL302" i="2" l="1"/>
  <c r="AN302" i="2"/>
  <c r="AI303" i="2"/>
  <c r="AH304" i="2"/>
  <c r="AK303" i="2"/>
  <c r="AJ303" i="2"/>
  <c r="AM303" i="2" s="1"/>
  <c r="AM302" i="2"/>
  <c r="AN303" i="2" l="1"/>
  <c r="M28" i="2"/>
  <c r="N28" i="2" s="1"/>
  <c r="O28" i="2" s="1"/>
  <c r="P28" i="2" s="1"/>
  <c r="AK304" i="2"/>
  <c r="AG304" i="2"/>
  <c r="AL304" i="2"/>
  <c r="AJ304" i="2"/>
  <c r="AI304" i="2"/>
  <c r="AH305" i="2"/>
  <c r="AL303" i="2"/>
  <c r="U28" i="2" l="1"/>
  <c r="D40" i="2" s="1"/>
  <c r="AK305" i="2"/>
  <c r="AJ305" i="2"/>
  <c r="AH306" i="2"/>
  <c r="AL305" i="2"/>
  <c r="AI305" i="2"/>
  <c r="AN304" i="2"/>
  <c r="AM304" i="2"/>
  <c r="AH307" i="2" l="1"/>
  <c r="AK306" i="2"/>
  <c r="AJ306" i="2"/>
  <c r="AI306" i="2"/>
  <c r="AL306" i="2"/>
  <c r="AM305" i="2"/>
  <c r="AN305" i="2"/>
  <c r="AM306" i="2" l="1"/>
  <c r="AN306" i="2"/>
  <c r="AJ307" i="2"/>
  <c r="AI307" i="2"/>
  <c r="AH308" i="2"/>
  <c r="AL307" i="2"/>
  <c r="AK307" i="2"/>
  <c r="AN307" i="2" s="1"/>
  <c r="AL308" i="2" l="1"/>
  <c r="AH309" i="2"/>
  <c r="AK308" i="2"/>
  <c r="AJ308" i="2"/>
  <c r="AI308" i="2"/>
  <c r="AM307" i="2"/>
  <c r="AM308" i="2" l="1"/>
  <c r="AH310" i="2"/>
  <c r="AL309" i="2"/>
  <c r="AK309" i="2"/>
  <c r="AJ309" i="2"/>
  <c r="AI309" i="2"/>
  <c r="AN308" i="2"/>
  <c r="AM309" i="2" l="1"/>
  <c r="AN309" i="2"/>
  <c r="AI310" i="2"/>
  <c r="AL310" i="2"/>
  <c r="AH311" i="2"/>
  <c r="AK310" i="2"/>
  <c r="AJ310" i="2"/>
  <c r="AL311" i="2" l="1"/>
  <c r="AK311" i="2"/>
  <c r="AH312" i="2"/>
  <c r="AI311" i="2"/>
  <c r="AJ311" i="2"/>
  <c r="AM310" i="2"/>
  <c r="AN310" i="2"/>
  <c r="AM311" i="2" l="1"/>
  <c r="AH313" i="2"/>
  <c r="AK312" i="2"/>
  <c r="AJ312" i="2"/>
  <c r="AL312" i="2"/>
  <c r="AI312" i="2"/>
  <c r="AN311" i="2"/>
  <c r="AM312" i="2" l="1"/>
  <c r="AN312" i="2"/>
  <c r="AH314" i="2"/>
  <c r="AJ313" i="2"/>
  <c r="AI313" i="2"/>
  <c r="AL313" i="2"/>
  <c r="AK313" i="2"/>
  <c r="AK314" i="2" l="1"/>
  <c r="AJ314" i="2"/>
  <c r="AI314" i="2"/>
  <c r="AH315" i="2"/>
  <c r="AL314" i="2"/>
  <c r="AM313" i="2"/>
  <c r="AN313" i="2"/>
  <c r="AH316" i="2" l="1"/>
  <c r="AJ315" i="2"/>
  <c r="AI315" i="2"/>
  <c r="AL315" i="2"/>
  <c r="AK315" i="2"/>
  <c r="AM314" i="2"/>
  <c r="AN314" i="2"/>
  <c r="AN315" i="2" l="1"/>
  <c r="M29" i="2"/>
  <c r="N29" i="2" s="1"/>
  <c r="O29" i="2" s="1"/>
  <c r="P29" i="2" s="1"/>
  <c r="AM315" i="2"/>
  <c r="AH317" i="2"/>
  <c r="AG316" i="2"/>
  <c r="AL316" i="2"/>
  <c r="AK316" i="2"/>
  <c r="AI316" i="2"/>
  <c r="AJ316" i="2"/>
  <c r="AM316" i="2" s="1"/>
  <c r="AN316" i="2" l="1"/>
  <c r="AI317" i="2"/>
  <c r="AL317" i="2"/>
  <c r="AK317" i="2"/>
  <c r="AN317" i="2" s="1"/>
  <c r="AJ317" i="2"/>
  <c r="AM317" i="2" s="1"/>
  <c r="AH318" i="2"/>
  <c r="AL318" i="2" l="1"/>
  <c r="AK318" i="2"/>
  <c r="AH319" i="2"/>
  <c r="AJ318" i="2"/>
  <c r="AI318" i="2"/>
  <c r="AM318" i="2" l="1"/>
  <c r="AH320" i="2"/>
  <c r="AK319" i="2"/>
  <c r="AJ319" i="2"/>
  <c r="AL319" i="2"/>
  <c r="AI319" i="2"/>
  <c r="AN318" i="2"/>
  <c r="AM319" i="2" l="1"/>
  <c r="AN319" i="2"/>
  <c r="AH321" i="2"/>
  <c r="AL320" i="2"/>
  <c r="AK320" i="2"/>
  <c r="AJ320" i="2"/>
  <c r="AI320" i="2"/>
  <c r="AM320" i="2" l="1"/>
  <c r="AN320" i="2"/>
  <c r="AK321" i="2"/>
  <c r="AJ321" i="2"/>
  <c r="AI321" i="2"/>
  <c r="AH322" i="2"/>
  <c r="AL321" i="2"/>
  <c r="AM321" i="2" l="1"/>
  <c r="AH323" i="2"/>
  <c r="AL322" i="2"/>
  <c r="AI322" i="2"/>
  <c r="AJ322" i="2"/>
  <c r="AM322" i="2" s="1"/>
  <c r="AK322" i="2"/>
  <c r="AN321" i="2"/>
  <c r="AN322" i="2" l="1"/>
  <c r="AI323" i="2"/>
  <c r="AH324" i="2"/>
  <c r="AL323" i="2"/>
  <c r="AK323" i="2"/>
  <c r="AJ323" i="2"/>
  <c r="AJ324" i="2" l="1"/>
  <c r="AI324" i="2"/>
  <c r="AL324" i="2"/>
  <c r="AH325" i="2"/>
  <c r="AK324" i="2"/>
  <c r="AM323" i="2"/>
  <c r="AN323" i="2"/>
  <c r="AN324" i="2" l="1"/>
  <c r="AL325" i="2"/>
  <c r="AH326" i="2"/>
  <c r="AK325" i="2"/>
  <c r="AJ325" i="2"/>
  <c r="AI325" i="2"/>
  <c r="AM324" i="2"/>
  <c r="AN325" i="2" l="1"/>
  <c r="AH327" i="2"/>
  <c r="AL326" i="2"/>
  <c r="AK326" i="2"/>
  <c r="AJ326" i="2"/>
  <c r="AI326" i="2"/>
  <c r="AM325" i="2"/>
  <c r="AM326" i="2" l="1"/>
  <c r="AN326" i="2"/>
  <c r="AI327" i="2"/>
  <c r="AH328" i="2"/>
  <c r="AK327" i="2"/>
  <c r="AJ327" i="2"/>
  <c r="AL327" i="2"/>
  <c r="AM327" i="2" l="1"/>
  <c r="AN327" i="2"/>
  <c r="M30" i="2"/>
  <c r="N30" i="2" s="1"/>
  <c r="O30" i="2" s="1"/>
  <c r="P30" i="2" s="1"/>
  <c r="AK328" i="2"/>
  <c r="AJ328" i="2"/>
  <c r="AI328" i="2"/>
  <c r="AG328" i="2"/>
  <c r="AH329" i="2"/>
  <c r="AL328" i="2"/>
  <c r="AH330" i="2" l="1"/>
  <c r="AL329" i="2"/>
  <c r="AK329" i="2"/>
  <c r="AJ329" i="2"/>
  <c r="AI329" i="2"/>
  <c r="AM328" i="2"/>
  <c r="AN328" i="2"/>
  <c r="AM329" i="2" l="1"/>
  <c r="AN329" i="2"/>
  <c r="AI330" i="2"/>
  <c r="AH331" i="2"/>
  <c r="AL330" i="2"/>
  <c r="AK330" i="2"/>
  <c r="AJ330" i="2"/>
  <c r="AM330" i="2" s="1"/>
  <c r="AN330" i="2" l="1"/>
  <c r="AJ331" i="2"/>
  <c r="AI331" i="2"/>
  <c r="AL331" i="2"/>
  <c r="AH332" i="2"/>
  <c r="AK331" i="2"/>
  <c r="AN331" i="2" l="1"/>
  <c r="AL332" i="2"/>
  <c r="AJ332" i="2"/>
  <c r="AI332" i="2"/>
  <c r="AH333" i="2"/>
  <c r="AK332" i="2"/>
  <c r="AM331" i="2"/>
  <c r="AN332" i="2" l="1"/>
  <c r="AH334" i="2"/>
  <c r="AL333" i="2"/>
  <c r="AK333" i="2"/>
  <c r="AJ333" i="2"/>
  <c r="AI333" i="2"/>
  <c r="AM332" i="2"/>
  <c r="AN333" i="2" l="1"/>
  <c r="AI334" i="2"/>
  <c r="AH335" i="2"/>
  <c r="AL334" i="2"/>
  <c r="AK334" i="2"/>
  <c r="AJ334" i="2"/>
  <c r="AM333" i="2"/>
  <c r="AN334" i="2" l="1"/>
  <c r="AM334" i="2"/>
  <c r="AL335" i="2"/>
  <c r="AK335" i="2"/>
  <c r="AJ335" i="2"/>
  <c r="AI335" i="2"/>
  <c r="AH336" i="2"/>
  <c r="AH337" i="2" l="1"/>
  <c r="AL336" i="2"/>
  <c r="AK336" i="2"/>
  <c r="AJ336" i="2"/>
  <c r="AI336" i="2"/>
  <c r="AM335" i="2"/>
  <c r="AN335" i="2"/>
  <c r="AM336" i="2" l="1"/>
  <c r="AN336" i="2"/>
  <c r="AJ337" i="2"/>
  <c r="AI337" i="2"/>
  <c r="AL337" i="2"/>
  <c r="AK337" i="2"/>
  <c r="AH338" i="2"/>
  <c r="AM337" i="2" l="1"/>
  <c r="AK338" i="2"/>
  <c r="AJ338" i="2"/>
  <c r="AH339" i="2"/>
  <c r="AL338" i="2"/>
  <c r="AI338" i="2"/>
  <c r="AN337" i="2"/>
  <c r="AM338" i="2" l="1"/>
  <c r="AN338" i="2"/>
  <c r="AL339" i="2"/>
  <c r="AK339" i="2"/>
  <c r="AJ339" i="2"/>
  <c r="AI339" i="2"/>
  <c r="AH340" i="2"/>
  <c r="AH341" i="2" l="1"/>
  <c r="AL340" i="2"/>
  <c r="AK340" i="2"/>
  <c r="AJ340" i="2"/>
  <c r="AG340" i="2"/>
  <c r="AI340" i="2"/>
  <c r="AN339" i="2"/>
  <c r="M31" i="2"/>
  <c r="N31" i="2" s="1"/>
  <c r="O31" i="2" s="1"/>
  <c r="P31" i="2" s="1"/>
  <c r="AM339" i="2"/>
  <c r="AN340" i="2" l="1"/>
  <c r="AM340" i="2"/>
  <c r="AI341" i="2"/>
  <c r="AH342" i="2"/>
  <c r="AL341" i="2"/>
  <c r="AK341" i="2"/>
  <c r="AJ341" i="2"/>
  <c r="AM341" i="2" l="1"/>
  <c r="AN341" i="2"/>
  <c r="AL342" i="2"/>
  <c r="AK342" i="2"/>
  <c r="AJ342" i="2"/>
  <c r="AI342" i="2"/>
  <c r="AH343" i="2"/>
  <c r="AH344" i="2" l="1"/>
  <c r="AL343" i="2"/>
  <c r="AK343" i="2"/>
  <c r="AJ343" i="2"/>
  <c r="AI343" i="2"/>
  <c r="AM342" i="2"/>
  <c r="AN342" i="2"/>
  <c r="AM343" i="2" l="1"/>
  <c r="AN343" i="2"/>
  <c r="AJ344" i="2"/>
  <c r="AI344" i="2"/>
  <c r="AL344" i="2"/>
  <c r="AK344" i="2"/>
  <c r="AN344" i="2" s="1"/>
  <c r="AH345" i="2"/>
  <c r="AM344" i="2" l="1"/>
  <c r="AK345" i="2"/>
  <c r="AJ345" i="2"/>
  <c r="AH346" i="2"/>
  <c r="AL345" i="2"/>
  <c r="AI345" i="2"/>
  <c r="AH347" i="2" l="1"/>
  <c r="AL346" i="2"/>
  <c r="AK346" i="2"/>
  <c r="AJ346" i="2"/>
  <c r="AI346" i="2"/>
  <c r="AM345" i="2"/>
  <c r="AN345" i="2"/>
  <c r="AL347" i="2" l="1"/>
  <c r="AK347" i="2"/>
  <c r="AJ347" i="2"/>
  <c r="AI347" i="2"/>
  <c r="AH348" i="2"/>
  <c r="AN346" i="2"/>
  <c r="AM346" i="2"/>
  <c r="AM347" i="2" l="1"/>
  <c r="AJ348" i="2"/>
  <c r="AI348" i="2"/>
  <c r="AH349" i="2"/>
  <c r="AL348" i="2"/>
  <c r="AK348" i="2"/>
  <c r="AN348" i="2" s="1"/>
  <c r="AN347" i="2"/>
  <c r="AL349" i="2" l="1"/>
  <c r="AK349" i="2"/>
  <c r="AJ349" i="2"/>
  <c r="AI349" i="2"/>
  <c r="AH350" i="2"/>
  <c r="AM348" i="2"/>
  <c r="AM349" i="2" l="1"/>
  <c r="AN349" i="2"/>
  <c r="AH351" i="2"/>
  <c r="AI350" i="2"/>
  <c r="AL350" i="2"/>
  <c r="AJ350" i="2"/>
  <c r="AM350" i="2" s="1"/>
  <c r="AK350" i="2"/>
  <c r="AN350" i="2" s="1"/>
  <c r="AI351" i="2" l="1"/>
  <c r="AK351" i="2"/>
  <c r="AJ351" i="2"/>
  <c r="AH352" i="2"/>
  <c r="AL351" i="2"/>
  <c r="AM351" i="2" l="1"/>
  <c r="AK352" i="2"/>
  <c r="AJ352" i="2"/>
  <c r="AH353" i="2"/>
  <c r="AI352" i="2"/>
  <c r="AG352" i="2"/>
  <c r="AL352" i="2"/>
  <c r="AN351" i="2"/>
  <c r="M32" i="2"/>
  <c r="N32" i="2" s="1"/>
  <c r="O32" i="2" s="1"/>
  <c r="P32" i="2" s="1"/>
  <c r="AM352" i="2" l="1"/>
  <c r="AH354" i="2"/>
  <c r="AL353" i="2"/>
  <c r="AK353" i="2"/>
  <c r="AJ353" i="2"/>
  <c r="AI353" i="2"/>
  <c r="AN352" i="2"/>
  <c r="AM353" i="2" l="1"/>
  <c r="AN353" i="2"/>
  <c r="AL354" i="2"/>
  <c r="AK354" i="2"/>
  <c r="AH355" i="2"/>
  <c r="AJ354" i="2"/>
  <c r="AI354" i="2"/>
  <c r="AM354" i="2" l="1"/>
  <c r="AJ355" i="2"/>
  <c r="AI355" i="2"/>
  <c r="AH356" i="2"/>
  <c r="AL355" i="2"/>
  <c r="AK355" i="2"/>
  <c r="AN354" i="2"/>
  <c r="AN355" i="2" l="1"/>
  <c r="AL356" i="2"/>
  <c r="AK356" i="2"/>
  <c r="AJ356" i="2"/>
  <c r="AI356" i="2"/>
  <c r="AH357" i="2"/>
  <c r="AM355" i="2"/>
  <c r="AM356" i="2" l="1"/>
  <c r="AN356" i="2"/>
  <c r="AH358" i="2"/>
  <c r="AK357" i="2"/>
  <c r="AJ357" i="2"/>
  <c r="AI357" i="2"/>
  <c r="AL357" i="2"/>
  <c r="AI358" i="2" l="1"/>
  <c r="AK358" i="2"/>
  <c r="AJ358" i="2"/>
  <c r="AM358" i="2" s="1"/>
  <c r="AH359" i="2"/>
  <c r="AL358" i="2"/>
  <c r="AM357" i="2"/>
  <c r="AN357" i="2"/>
  <c r="AL359" i="2" l="1"/>
  <c r="AK359" i="2"/>
  <c r="AH360" i="2"/>
  <c r="AJ359" i="2"/>
  <c r="AI359" i="2"/>
  <c r="AN358" i="2"/>
  <c r="AM359" i="2" l="1"/>
  <c r="AH361" i="2"/>
  <c r="AI360" i="2"/>
  <c r="AJ360" i="2"/>
  <c r="AL360" i="2"/>
  <c r="AK360" i="2"/>
  <c r="AN359" i="2"/>
  <c r="AM360" i="2" l="1"/>
  <c r="AN360" i="2"/>
  <c r="AL361" i="2"/>
  <c r="AH362" i="2"/>
  <c r="AK361" i="2"/>
  <c r="AJ361" i="2"/>
  <c r="AI361" i="2"/>
  <c r="AM361" i="2" l="1"/>
  <c r="AN361" i="2"/>
  <c r="AK362" i="2"/>
  <c r="AJ362" i="2"/>
  <c r="AH363" i="2"/>
  <c r="AL362" i="2"/>
  <c r="AI362" i="2"/>
  <c r="AM362" i="2" l="1"/>
  <c r="AN362" i="2"/>
  <c r="AL363" i="2"/>
  <c r="AK363" i="2"/>
  <c r="AJ363" i="2"/>
  <c r="AI363" i="2"/>
  <c r="AM363" i="2" l="1"/>
  <c r="AN363" i="2"/>
  <c r="M33" i="2"/>
  <c r="N33" i="2" s="1"/>
  <c r="O33" i="2" s="1"/>
  <c r="P33" i="2" s="1"/>
  <c r="D39" i="2" l="1"/>
</calcChain>
</file>

<file path=xl/sharedStrings.xml><?xml version="1.0" encoding="utf-8"?>
<sst xmlns="http://schemas.openxmlformats.org/spreadsheetml/2006/main" count="220" uniqueCount="82">
  <si>
    <t>GROWTH IN PROPERTY</t>
  </si>
  <si>
    <t>GROWTH IN RENT</t>
  </si>
  <si>
    <t>GROWTH IN TAX</t>
  </si>
  <si>
    <t>DEDUCTIONS</t>
  </si>
  <si>
    <t>TAX RATE</t>
  </si>
  <si>
    <t>YEAR</t>
  </si>
  <si>
    <t>RENTAL INCOME PER YEAR</t>
  </si>
  <si>
    <t>ANNUAL TAX</t>
  </si>
  <si>
    <t>NET RENT RECEIVED</t>
  </si>
  <si>
    <t>STD DEDUCTIONS</t>
  </si>
  <si>
    <t>NET TAXABLE INCOME</t>
  </si>
  <si>
    <t>NET TAX PAYABLE</t>
  </si>
  <si>
    <t>POST TAX RENTAL INCOME</t>
  </si>
  <si>
    <t>PROPERTY COST</t>
  </si>
  <si>
    <t>NET YIELD</t>
  </si>
  <si>
    <t>STAMP DUTY RATE</t>
  </si>
  <si>
    <t>TOTAL STAMP DUTY</t>
  </si>
  <si>
    <t>REGISTRATION RATE</t>
  </si>
  <si>
    <t>REGISTRATION COST</t>
  </si>
  <si>
    <t>TRANSFER DUTY RATE</t>
  </si>
  <si>
    <t>TRANSFER DUTY FEE</t>
  </si>
  <si>
    <t>EXPECTED RENT</t>
  </si>
  <si>
    <t>ANNUAL GROWTH IN RENT</t>
  </si>
  <si>
    <t>ANNUAL PROPERTY TAX</t>
  </si>
  <si>
    <t>PROPERTY VALUE CALCULATION</t>
  </si>
  <si>
    <t>COST OF THE PROPERTY</t>
  </si>
  <si>
    <t>EXPECTED GROWTH RATE OF HOUSE</t>
  </si>
  <si>
    <t>AGE OF THE HOUSE</t>
  </si>
  <si>
    <t>VALUE OF THE HOUSE</t>
  </si>
  <si>
    <t>NET AVERAGE YIELD POST TAXES</t>
  </si>
  <si>
    <t>MONTH</t>
  </si>
  <si>
    <t>EMI</t>
  </si>
  <si>
    <t>PRINCIPAL AMOUNT</t>
  </si>
  <si>
    <t>INTEREST AMOUNT</t>
  </si>
  <si>
    <t>OUTSTANDING LOAN AMOUNT</t>
  </si>
  <si>
    <t>PAID FPR THE MONTH</t>
  </si>
  <si>
    <t>INTEREST PAID</t>
  </si>
  <si>
    <t>PRINCIPAL</t>
  </si>
  <si>
    <t>INTEREST</t>
  </si>
  <si>
    <t>DOWN PAYMENT</t>
  </si>
  <si>
    <t>LOAN AMOUNT</t>
  </si>
  <si>
    <t>LOAN INTEREST RATE</t>
  </si>
  <si>
    <t>LOAN TENURE IN YEARS</t>
  </si>
  <si>
    <t>WITHOUT CONSIDERATION OF PROPERTY GROWTH</t>
  </si>
  <si>
    <t>WITH CONSIDERATION OF PROPERTY GROWTH</t>
  </si>
  <si>
    <t>NET YIELD (WO)</t>
  </si>
  <si>
    <t>NET YIELD(W)</t>
  </si>
  <si>
    <t>COST OF OWNING A PROPERTY</t>
  </si>
  <si>
    <t>ACTUAL INVESTMENT</t>
  </si>
  <si>
    <t>AMOUNT PAID FOR THE PROPERTY</t>
  </si>
  <si>
    <t>TOTAL CASH PAID TO BUY THE PROPERTY</t>
  </si>
  <si>
    <t>EMI PAID</t>
  </si>
  <si>
    <t>WITH COST OF PROPERTY</t>
  </si>
  <si>
    <t>WITH ACTUAL INVESTMENT ALONG WITH GROWTH</t>
  </si>
  <si>
    <t>LIFE EXPECTANCY OF THE PROPERTY</t>
  </si>
  <si>
    <t>TOTAL COST OF THE PROPERTY</t>
  </si>
  <si>
    <t>INCREASE IN MAINTENANCE COST</t>
  </si>
  <si>
    <t>HOUSE MAINTENANCE (Repairs)</t>
  </si>
  <si>
    <t>MAINTENANCE COST</t>
  </si>
  <si>
    <t>HOUSE MAINTENANCE</t>
  </si>
  <si>
    <t>AGE OF THE PROPERTY</t>
  </si>
  <si>
    <t>VALUE OF THE PROPERTY</t>
  </si>
  <si>
    <t>PROPERTY APPRECIATION RATE</t>
  </si>
  <si>
    <t>NET AVERAGE RENTAL YIELD POST TAXES</t>
  </si>
  <si>
    <t>CORPUS FUND</t>
  </si>
  <si>
    <t>GROWTH IN PROP TAX</t>
  </si>
  <si>
    <t>GST</t>
  </si>
  <si>
    <t>GST @18%*</t>
  </si>
  <si>
    <t>*GST is applicable if the net Taxable Income croses 20lakhs</t>
  </si>
  <si>
    <t>FYERS</t>
  </si>
  <si>
    <t>https://bit.ly/3JZwgyc</t>
  </si>
  <si>
    <t>UPSTOX</t>
  </si>
  <si>
    <t>https://tinyurl.com/y8sbw9w8</t>
  </si>
  <si>
    <t>ZERODHA</t>
  </si>
  <si>
    <t>https://zerodha.com/open-account?c=ZMPVNW</t>
  </si>
  <si>
    <t>ANGEL</t>
  </si>
  <si>
    <t>https://angel-one.onelink.me/Wjgr/8vxyj8iq</t>
  </si>
  <si>
    <t>TO SUPPORT YOUR CHANNEL OPEN DEMAT ACCOUNT BY USING THE LINKS BELOW</t>
  </si>
  <si>
    <t>You can compare Term Insurance here</t>
  </si>
  <si>
    <t>You can compare Health Insurance here</t>
  </si>
  <si>
    <t>https://tinyurl.com/4xtsdbbd</t>
  </si>
  <si>
    <t>https://tinyurl.com/3xt9k3uj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</si>
</sst>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₹&quot;#,##0.00_);[Red]\(&quot;₹&quot;#,##0.00\)"/>
    <numFmt numFmtId="164" formatCode="&quot;₹&quot;#,##0.00"/>
  </numFmts>
  <fonts count="1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36"/>
      <color theme="1"/>
      <name val="Aptos Narrow"/>
      <family val="2"/>
      <scheme val="minor"/>
    </font>
    <font>
      <b/>
      <sz val="36"/>
      <color theme="1"/>
      <name val="Aptos Narrow"/>
      <scheme val="minor"/>
    </font>
    <font>
      <b/>
      <sz val="36"/>
      <color theme="0"/>
      <name val="Aptos Narrow"/>
      <scheme val="minor"/>
    </font>
    <font>
      <sz val="36"/>
      <color rgb="FFFF0000"/>
      <name val="Aptos Narrow"/>
      <scheme val="minor"/>
    </font>
    <font>
      <b/>
      <sz val="36"/>
      <color rgb="FFFF0000"/>
      <name val="Aptos Narrow"/>
      <scheme val="minor"/>
    </font>
    <font>
      <sz val="36"/>
      <color theme="0"/>
      <name val="Aptos Narrow"/>
      <family val="2"/>
      <scheme val="minor"/>
    </font>
    <font>
      <b/>
      <sz val="28"/>
      <color theme="1"/>
      <name val="Aptos Narrow"/>
      <scheme val="minor"/>
    </font>
    <font>
      <u/>
      <sz val="12"/>
      <color theme="10"/>
      <name val="Aptos Narrow"/>
      <family val="2"/>
      <scheme val="minor"/>
    </font>
    <font>
      <b/>
      <sz val="36"/>
      <color theme="1"/>
      <name val="Aptos Narrow"/>
      <family val="2"/>
      <scheme val="minor"/>
    </font>
    <font>
      <u/>
      <sz val="36"/>
      <color theme="10"/>
      <name val="Aptos Narrow"/>
      <family val="2"/>
      <scheme val="minor"/>
    </font>
    <font>
      <sz val="36"/>
      <color rgb="FF0D0D0D"/>
      <name val="Arial"/>
      <family val="2"/>
    </font>
    <font>
      <u/>
      <sz val="32"/>
      <color theme="10"/>
      <name val="Aptos Narrow"/>
      <family val="2"/>
      <scheme val="minor"/>
    </font>
    <font>
      <sz val="32"/>
      <color rgb="FF0D0D0D"/>
      <name val="Arial"/>
      <family val="2"/>
    </font>
    <font>
      <b/>
      <sz val="36"/>
      <color rgb="FF000000"/>
      <name val="Helvetica Neue"/>
      <family val="2"/>
    </font>
  </fonts>
  <fills count="6">
    <fill>
      <patternFill patternType="none"/>
    </fill>
    <fill>
      <patternFill patternType="gray125"/>
    </fill>
    <fill>
      <patternFill patternType="solid">
        <fgColor rgb="FF754E19"/>
        <bgColor indexed="64"/>
      </patternFill>
    </fill>
    <fill>
      <patternFill patternType="solid">
        <fgColor rgb="FFF8E2B7"/>
        <bgColor indexed="64"/>
      </patternFill>
    </fill>
    <fill>
      <patternFill patternType="solid">
        <fgColor rgb="FFF8E3B7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75">
    <xf numFmtId="0" fontId="0" fillId="0" borderId="0" xfId="0"/>
    <xf numFmtId="0" fontId="10" fillId="5" borderId="1" xfId="0" applyFont="1" applyFill="1" applyBorder="1" applyProtection="1">
      <protection hidden="1"/>
    </xf>
    <xf numFmtId="0" fontId="10" fillId="0" borderId="1" xfId="0" applyFont="1" applyBorder="1" applyProtection="1">
      <protection hidden="1"/>
    </xf>
    <xf numFmtId="0" fontId="2" fillId="0" borderId="0" xfId="0" applyFont="1" applyProtection="1">
      <protection hidden="1"/>
    </xf>
    <xf numFmtId="0" fontId="4" fillId="2" borderId="1" xfId="0" applyFont="1" applyFill="1" applyBorder="1" applyAlignment="1" applyProtection="1">
      <alignment horizontal="center"/>
      <protection hidden="1"/>
    </xf>
    <xf numFmtId="0" fontId="3" fillId="0" borderId="0" xfId="0" applyFont="1" applyAlignment="1" applyProtection="1">
      <alignment horizontal="center"/>
      <protection hidden="1"/>
    </xf>
    <xf numFmtId="0" fontId="3" fillId="0" borderId="1" xfId="0" applyFont="1" applyBorder="1" applyAlignment="1" applyProtection="1">
      <alignment horizontal="center"/>
      <protection hidden="1"/>
    </xf>
    <xf numFmtId="9" fontId="2" fillId="0" borderId="1" xfId="0" applyNumberFormat="1" applyFont="1" applyBorder="1" applyAlignment="1" applyProtection="1">
      <alignment horizontal="center"/>
      <protection hidden="1"/>
    </xf>
    <xf numFmtId="0" fontId="8" fillId="0" borderId="1" xfId="0" applyFont="1" applyBorder="1" applyAlignment="1" applyProtection="1">
      <alignment horizontal="center"/>
      <protection hidden="1"/>
    </xf>
    <xf numFmtId="9" fontId="3" fillId="0" borderId="1" xfId="0" applyNumberFormat="1" applyFont="1" applyBorder="1" applyAlignment="1" applyProtection="1">
      <alignment horizontal="center"/>
      <protection hidden="1"/>
    </xf>
    <xf numFmtId="10" fontId="3" fillId="0" borderId="1" xfId="0" applyNumberFormat="1" applyFont="1" applyBorder="1" applyAlignment="1" applyProtection="1">
      <alignment horizontal="center"/>
      <protection hidden="1"/>
    </xf>
    <xf numFmtId="10" fontId="3" fillId="3" borderId="1" xfId="0" applyNumberFormat="1" applyFont="1" applyFill="1" applyBorder="1" applyAlignment="1" applyProtection="1">
      <alignment horizontal="center"/>
      <protection hidden="1"/>
    </xf>
    <xf numFmtId="0" fontId="3" fillId="0" borderId="1" xfId="0" applyFont="1" applyBorder="1" applyProtection="1">
      <protection hidden="1"/>
    </xf>
    <xf numFmtId="9" fontId="3" fillId="3" borderId="1" xfId="0" applyNumberFormat="1" applyFont="1" applyFill="1" applyBorder="1" applyAlignment="1" applyProtection="1">
      <alignment horizontal="center"/>
      <protection hidden="1"/>
    </xf>
    <xf numFmtId="0" fontId="2" fillId="0" borderId="1" xfId="0" applyFont="1" applyBorder="1" applyProtection="1">
      <protection hidden="1"/>
    </xf>
    <xf numFmtId="0" fontId="2" fillId="0" borderId="1" xfId="0" applyFont="1" applyBorder="1" applyAlignment="1" applyProtection="1">
      <alignment horizontal="center"/>
      <protection hidden="1"/>
    </xf>
    <xf numFmtId="164" fontId="2" fillId="0" borderId="1" xfId="0" applyNumberFormat="1" applyFont="1" applyBorder="1" applyAlignment="1" applyProtection="1">
      <alignment horizontal="center"/>
      <protection hidden="1"/>
    </xf>
    <xf numFmtId="10" fontId="2" fillId="0" borderId="1" xfId="1" applyNumberFormat="1" applyFont="1" applyBorder="1" applyAlignment="1" applyProtection="1">
      <alignment horizontal="center"/>
      <protection hidden="1"/>
    </xf>
    <xf numFmtId="164" fontId="2" fillId="0" borderId="1" xfId="0" applyNumberFormat="1" applyFont="1" applyBorder="1" applyProtection="1">
      <protection hidden="1"/>
    </xf>
    <xf numFmtId="10" fontId="2" fillId="0" borderId="0" xfId="1" applyNumberFormat="1" applyFont="1" applyAlignment="1" applyProtection="1">
      <alignment horizontal="left"/>
      <protection hidden="1"/>
    </xf>
    <xf numFmtId="0" fontId="2" fillId="0" borderId="2" xfId="0" applyFont="1" applyBorder="1" applyProtection="1">
      <protection hidden="1"/>
    </xf>
    <xf numFmtId="0" fontId="4" fillId="2" borderId="7" xfId="0" applyFont="1" applyFill="1" applyBorder="1" applyProtection="1">
      <protection hidden="1"/>
    </xf>
    <xf numFmtId="164" fontId="2" fillId="0" borderId="6" xfId="0" applyNumberFormat="1" applyFont="1" applyBorder="1" applyProtection="1">
      <protection hidden="1"/>
    </xf>
    <xf numFmtId="0" fontId="2" fillId="0" borderId="0" xfId="0" applyFont="1" applyAlignment="1" applyProtection="1">
      <alignment horizontal="center"/>
      <protection hidden="1"/>
    </xf>
    <xf numFmtId="0" fontId="2" fillId="0" borderId="5" xfId="0" applyFont="1" applyBorder="1" applyProtection="1">
      <protection hidden="1"/>
    </xf>
    <xf numFmtId="164" fontId="2" fillId="0" borderId="0" xfId="0" applyNumberFormat="1" applyFont="1" applyProtection="1">
      <protection hidden="1"/>
    </xf>
    <xf numFmtId="0" fontId="4" fillId="2" borderId="3" xfId="0" applyFont="1" applyFill="1" applyBorder="1" applyAlignment="1" applyProtection="1">
      <alignment horizontal="center"/>
      <protection hidden="1"/>
    </xf>
    <xf numFmtId="0" fontId="4" fillId="2" borderId="4" xfId="0" applyFont="1" applyFill="1" applyBorder="1" applyAlignment="1" applyProtection="1">
      <alignment horizontal="center"/>
      <protection hidden="1"/>
    </xf>
    <xf numFmtId="10" fontId="2" fillId="0" borderId="1" xfId="0" applyNumberFormat="1" applyFont="1" applyBorder="1" applyProtection="1">
      <protection hidden="1"/>
    </xf>
    <xf numFmtId="8" fontId="2" fillId="0" borderId="1" xfId="0" applyNumberFormat="1" applyFont="1" applyBorder="1" applyProtection="1">
      <protection hidden="1"/>
    </xf>
    <xf numFmtId="8" fontId="2" fillId="0" borderId="0" xfId="0" applyNumberFormat="1" applyFont="1" applyProtection="1">
      <protection hidden="1"/>
    </xf>
    <xf numFmtId="10" fontId="2" fillId="0" borderId="0" xfId="1" applyNumberFormat="1" applyFont="1" applyBorder="1" applyProtection="1">
      <protection hidden="1"/>
    </xf>
    <xf numFmtId="0" fontId="2" fillId="3" borderId="1" xfId="1" applyNumberFormat="1" applyFont="1" applyFill="1" applyBorder="1" applyProtection="1">
      <protection locked="0" hidden="1"/>
    </xf>
    <xf numFmtId="10" fontId="2" fillId="3" borderId="1" xfId="1" applyNumberFormat="1" applyFont="1" applyFill="1" applyBorder="1" applyProtection="1">
      <protection locked="0" hidden="1"/>
    </xf>
    <xf numFmtId="164" fontId="2" fillId="3" borderId="1" xfId="0" applyNumberFormat="1" applyFont="1" applyFill="1" applyBorder="1" applyProtection="1">
      <protection locked="0" hidden="1"/>
    </xf>
    <xf numFmtId="9" fontId="2" fillId="3" borderId="2" xfId="0" applyNumberFormat="1" applyFont="1" applyFill="1" applyBorder="1" applyProtection="1">
      <protection locked="0" hidden="1"/>
    </xf>
    <xf numFmtId="10" fontId="2" fillId="3" borderId="1" xfId="0" applyNumberFormat="1" applyFont="1" applyFill="1" applyBorder="1" applyProtection="1">
      <protection locked="0" hidden="1"/>
    </xf>
    <xf numFmtId="9" fontId="2" fillId="3" borderId="1" xfId="0" applyNumberFormat="1" applyFont="1" applyFill="1" applyBorder="1" applyAlignment="1" applyProtection="1">
      <alignment horizontal="center"/>
      <protection locked="0" hidden="1"/>
    </xf>
    <xf numFmtId="10" fontId="2" fillId="3" borderId="1" xfId="0" applyNumberFormat="1" applyFont="1" applyFill="1" applyBorder="1" applyAlignment="1" applyProtection="1">
      <alignment horizontal="center"/>
      <protection locked="0" hidden="1"/>
    </xf>
    <xf numFmtId="10" fontId="3" fillId="3" borderId="1" xfId="0" applyNumberFormat="1" applyFont="1" applyFill="1" applyBorder="1" applyAlignment="1" applyProtection="1">
      <alignment horizontal="center"/>
      <protection locked="0" hidden="1"/>
    </xf>
    <xf numFmtId="9" fontId="3" fillId="3" borderId="1" xfId="0" applyNumberFormat="1" applyFont="1" applyFill="1" applyBorder="1" applyAlignment="1" applyProtection="1">
      <alignment horizontal="center"/>
      <protection locked="0" hidden="1"/>
    </xf>
    <xf numFmtId="0" fontId="5" fillId="0" borderId="0" xfId="0" applyFont="1" applyProtection="1">
      <protection hidden="1"/>
    </xf>
    <xf numFmtId="0" fontId="4" fillId="2" borderId="1" xfId="0" applyFont="1" applyFill="1" applyBorder="1" applyProtection="1">
      <protection hidden="1"/>
    </xf>
    <xf numFmtId="10" fontId="2" fillId="0" borderId="1" xfId="1" applyNumberFormat="1" applyFont="1" applyBorder="1" applyProtection="1">
      <protection hidden="1"/>
    </xf>
    <xf numFmtId="8" fontId="2" fillId="0" borderId="1" xfId="0" applyNumberFormat="1" applyFont="1" applyBorder="1" applyAlignment="1" applyProtection="1">
      <alignment horizontal="center"/>
      <protection hidden="1"/>
    </xf>
    <xf numFmtId="8" fontId="5" fillId="0" borderId="1" xfId="0" applyNumberFormat="1" applyFont="1" applyBorder="1" applyAlignment="1" applyProtection="1">
      <alignment horizontal="center"/>
      <protection hidden="1"/>
    </xf>
    <xf numFmtId="0" fontId="4" fillId="2" borderId="6" xfId="0" applyFont="1" applyFill="1" applyBorder="1" applyProtection="1">
      <protection hidden="1"/>
    </xf>
    <xf numFmtId="164" fontId="2" fillId="0" borderId="4" xfId="0" applyNumberFormat="1" applyFont="1" applyBorder="1" applyProtection="1">
      <protection hidden="1"/>
    </xf>
    <xf numFmtId="9" fontId="2" fillId="3" borderId="1" xfId="0" applyNumberFormat="1" applyFont="1" applyFill="1" applyBorder="1" applyProtection="1">
      <protection locked="0" hidden="1"/>
    </xf>
    <xf numFmtId="9" fontId="2" fillId="3" borderId="1" xfId="1" applyFont="1" applyFill="1" applyBorder="1" applyProtection="1">
      <protection locked="0" hidden="1"/>
    </xf>
    <xf numFmtId="0" fontId="2" fillId="3" borderId="1" xfId="0" applyFont="1" applyFill="1" applyBorder="1" applyProtection="1">
      <protection locked="0" hidden="1"/>
    </xf>
    <xf numFmtId="0" fontId="7" fillId="0" borderId="0" xfId="0" applyFont="1" applyProtection="1">
      <protection hidden="1"/>
    </xf>
    <xf numFmtId="164" fontId="7" fillId="0" borderId="0" xfId="0" applyNumberFormat="1" applyFont="1" applyProtection="1">
      <protection hidden="1"/>
    </xf>
    <xf numFmtId="10" fontId="2" fillId="0" borderId="1" xfId="0" applyNumberFormat="1" applyFont="1" applyBorder="1" applyAlignment="1" applyProtection="1">
      <alignment horizontal="center"/>
      <protection hidden="1"/>
    </xf>
    <xf numFmtId="10" fontId="2" fillId="0" borderId="0" xfId="0" applyNumberFormat="1" applyFont="1" applyProtection="1">
      <protection hidden="1"/>
    </xf>
    <xf numFmtId="0" fontId="3" fillId="0" borderId="0" xfId="0" applyFont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2" fillId="0" borderId="1" xfId="0" applyNumberFormat="1" applyFont="1" applyBorder="1" applyProtection="1">
      <protection locked="0" hidden="1"/>
    </xf>
    <xf numFmtId="164" fontId="2" fillId="4" borderId="1" xfId="0" applyNumberFormat="1" applyFont="1" applyFill="1" applyBorder="1" applyProtection="1">
      <protection locked="0" hidden="1"/>
    </xf>
    <xf numFmtId="0" fontId="11" fillId="0" borderId="1" xfId="2" applyFont="1" applyBorder="1" applyAlignment="1" applyProtection="1">
      <alignment horizontal="center"/>
      <protection hidden="1"/>
    </xf>
    <xf numFmtId="0" fontId="12" fillId="0" borderId="1" xfId="0" applyFont="1" applyBorder="1" applyAlignment="1" applyProtection="1">
      <alignment horizontal="center"/>
      <protection hidden="1"/>
    </xf>
    <xf numFmtId="0" fontId="13" fillId="0" borderId="1" xfId="2" applyFont="1" applyBorder="1" applyAlignment="1" applyProtection="1">
      <alignment horizontal="center"/>
      <protection hidden="1"/>
    </xf>
    <xf numFmtId="0" fontId="14" fillId="0" borderId="1" xfId="0" applyFont="1" applyBorder="1" applyAlignment="1" applyProtection="1">
      <alignment horizontal="center"/>
      <protection hidden="1"/>
    </xf>
    <xf numFmtId="0" fontId="4" fillId="2" borderId="1" xfId="0" applyFont="1" applyFill="1" applyBorder="1" applyAlignment="1" applyProtection="1">
      <alignment horizontal="center"/>
      <protection hidden="1"/>
    </xf>
    <xf numFmtId="0" fontId="4" fillId="2" borderId="3" xfId="0" applyFont="1" applyFill="1" applyBorder="1" applyAlignment="1" applyProtection="1">
      <alignment horizontal="center"/>
      <protection hidden="1"/>
    </xf>
    <xf numFmtId="0" fontId="4" fillId="2" borderId="4" xfId="0" applyFont="1" applyFill="1" applyBorder="1" applyAlignment="1" applyProtection="1">
      <alignment horizontal="center"/>
      <protection hidden="1"/>
    </xf>
    <xf numFmtId="0" fontId="3" fillId="0" borderId="0" xfId="0" applyFont="1" applyAlignment="1" applyProtection="1">
      <alignment horizontal="center"/>
      <protection hidden="1"/>
    </xf>
    <xf numFmtId="0" fontId="3" fillId="0" borderId="1" xfId="0" applyFont="1" applyBorder="1" applyAlignment="1" applyProtection="1">
      <alignment horizontal="center"/>
      <protection hidden="1"/>
    </xf>
    <xf numFmtId="0" fontId="3" fillId="0" borderId="1" xfId="0" applyFont="1" applyBorder="1" applyAlignment="1" applyProtection="1">
      <alignment horizontal="center" vertical="center"/>
      <protection hidden="1"/>
    </xf>
    <xf numFmtId="0" fontId="6" fillId="0" borderId="1" xfId="0" applyFont="1" applyBorder="1" applyAlignment="1" applyProtection="1">
      <alignment horizontal="center" vertical="center"/>
      <protection hidden="1"/>
    </xf>
    <xf numFmtId="0" fontId="10" fillId="5" borderId="2" xfId="0" applyFont="1" applyFill="1" applyBorder="1" applyProtection="1">
      <protection hidden="1"/>
    </xf>
    <xf numFmtId="0" fontId="11" fillId="0" borderId="2" xfId="2" applyFont="1" applyBorder="1" applyAlignment="1" applyProtection="1">
      <alignment horizontal="center"/>
      <protection hidden="1"/>
    </xf>
    <xf numFmtId="0" fontId="12" fillId="0" borderId="2" xfId="0" applyFont="1" applyBorder="1" applyAlignment="1" applyProtection="1">
      <alignment horizontal="center"/>
      <protection hidden="1"/>
    </xf>
    <xf numFmtId="0" fontId="15" fillId="0" borderId="1" xfId="0" applyFont="1" applyBorder="1"/>
    <xf numFmtId="0" fontId="11" fillId="0" borderId="1" xfId="2" applyFont="1" applyBorder="1" applyAlignment="1">
      <alignment horizontal="center"/>
    </xf>
  </cellXfs>
  <cellStyles count="3">
    <cellStyle name="Hyperlink" xfId="2" builtinId="8"/>
    <cellStyle name="Normal" xfId="0" builtinId="0"/>
    <cellStyle name="Per cent" xfId="1" builtinId="5"/>
  </cellStyles>
  <dxfs count="8"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754E19"/>
      <color rgb="FFF8E3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1058332</xdr:colOff>
      <xdr:row>3</xdr:row>
      <xdr:rowOff>500744</xdr:rowOff>
    </xdr:from>
    <xdr:to>
      <xdr:col>6</xdr:col>
      <xdr:colOff>134010</xdr:colOff>
      <xdr:row>9</xdr:row>
      <xdr:rowOff>570896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2A2761-225E-A862-0892-8205A9747B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787532" y="2329544"/>
          <a:ext cx="6086078" cy="385475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787400</xdr:colOff>
      <xdr:row>1</xdr:row>
      <xdr:rowOff>0</xdr:rowOff>
    </xdr:from>
    <xdr:to>
      <xdr:col>5</xdr:col>
      <xdr:colOff>675878</xdr:colOff>
      <xdr:row>7</xdr:row>
      <xdr:rowOff>30238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D54015-DB06-7A43-B3BC-F96BE6732C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973800" y="609600"/>
          <a:ext cx="6060678" cy="384023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1270000</xdr:colOff>
      <xdr:row>3</xdr:row>
      <xdr:rowOff>0</xdr:rowOff>
    </xdr:from>
    <xdr:to>
      <xdr:col>6</xdr:col>
      <xdr:colOff>320278</xdr:colOff>
      <xdr:row>9</xdr:row>
      <xdr:rowOff>55638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B208F5-07B8-D84A-A556-2FAF468840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999200" y="1828800"/>
          <a:ext cx="6060678" cy="384023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1219200</xdr:colOff>
      <xdr:row>2</xdr:row>
      <xdr:rowOff>584200</xdr:rowOff>
    </xdr:from>
    <xdr:to>
      <xdr:col>6</xdr:col>
      <xdr:colOff>269478</xdr:colOff>
      <xdr:row>9</xdr:row>
      <xdr:rowOff>30238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2EB5B3-7D01-1249-B0BD-0E9027715F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948400" y="1803400"/>
          <a:ext cx="6060678" cy="3840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zerodha.com/open-account?c=ZMPVNW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bit.ly/3JZwgyc" TargetMode="External"/><Relationship Id="rId1" Type="http://schemas.openxmlformats.org/officeDocument/2006/relationships/hyperlink" Target="https://tinyurl.com/y8sbw9w8" TargetMode="External"/><Relationship Id="rId6" Type="http://schemas.openxmlformats.org/officeDocument/2006/relationships/hyperlink" Target="https://tinyurl.com/3xt9k3uj" TargetMode="External"/><Relationship Id="rId5" Type="http://schemas.openxmlformats.org/officeDocument/2006/relationships/hyperlink" Target="https://tinyurl.com/4xtsdbbd" TargetMode="External"/><Relationship Id="rId4" Type="http://schemas.openxmlformats.org/officeDocument/2006/relationships/hyperlink" Target="https://angel-one.onelink.me/Wjgr/8vxyj8iq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zerodha.com/open-account?c=ZMPVNW" TargetMode="External"/><Relationship Id="rId7" Type="http://schemas.openxmlformats.org/officeDocument/2006/relationships/drawing" Target="../drawings/drawing2.xml"/><Relationship Id="rId2" Type="http://schemas.openxmlformats.org/officeDocument/2006/relationships/hyperlink" Target="https://bit.ly/3JZwgyc" TargetMode="External"/><Relationship Id="rId1" Type="http://schemas.openxmlformats.org/officeDocument/2006/relationships/hyperlink" Target="https://tinyurl.com/y8sbw9w8" TargetMode="External"/><Relationship Id="rId6" Type="http://schemas.openxmlformats.org/officeDocument/2006/relationships/hyperlink" Target="https://tinyurl.com/3xt9k3uj" TargetMode="External"/><Relationship Id="rId5" Type="http://schemas.openxmlformats.org/officeDocument/2006/relationships/hyperlink" Target="https://tinyurl.com/4xtsdbbd" TargetMode="External"/><Relationship Id="rId4" Type="http://schemas.openxmlformats.org/officeDocument/2006/relationships/hyperlink" Target="https://angel-one.onelink.me/Wjgr/8vxyj8iq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zerodha.com/open-account?c=ZMPVNW" TargetMode="External"/><Relationship Id="rId7" Type="http://schemas.openxmlformats.org/officeDocument/2006/relationships/drawing" Target="../drawings/drawing3.xml"/><Relationship Id="rId2" Type="http://schemas.openxmlformats.org/officeDocument/2006/relationships/hyperlink" Target="https://bit.ly/3JZwgyc" TargetMode="External"/><Relationship Id="rId1" Type="http://schemas.openxmlformats.org/officeDocument/2006/relationships/hyperlink" Target="https://tinyurl.com/y8sbw9w8" TargetMode="External"/><Relationship Id="rId6" Type="http://schemas.openxmlformats.org/officeDocument/2006/relationships/hyperlink" Target="https://tinyurl.com/3xt9k3uj" TargetMode="External"/><Relationship Id="rId5" Type="http://schemas.openxmlformats.org/officeDocument/2006/relationships/hyperlink" Target="https://tinyurl.com/4xtsdbbd" TargetMode="External"/><Relationship Id="rId4" Type="http://schemas.openxmlformats.org/officeDocument/2006/relationships/hyperlink" Target="https://angel-one.onelink.me/Wjgr/8vxyj8iq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zerodha.com/open-account?c=ZMPVNW" TargetMode="External"/><Relationship Id="rId7" Type="http://schemas.openxmlformats.org/officeDocument/2006/relationships/drawing" Target="../drawings/drawing4.xml"/><Relationship Id="rId2" Type="http://schemas.openxmlformats.org/officeDocument/2006/relationships/hyperlink" Target="https://bit.ly/3JZwgyc" TargetMode="External"/><Relationship Id="rId1" Type="http://schemas.openxmlformats.org/officeDocument/2006/relationships/hyperlink" Target="https://tinyurl.com/y8sbw9w8" TargetMode="External"/><Relationship Id="rId6" Type="http://schemas.openxmlformats.org/officeDocument/2006/relationships/hyperlink" Target="https://tinyurl.com/3xt9k3uj" TargetMode="External"/><Relationship Id="rId5" Type="http://schemas.openxmlformats.org/officeDocument/2006/relationships/hyperlink" Target="https://tinyurl.com/4xtsdbbd" TargetMode="External"/><Relationship Id="rId4" Type="http://schemas.openxmlformats.org/officeDocument/2006/relationships/hyperlink" Target="https://angel-one.onelink.me/Wjgr/8vxyj8i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2126D-3909-1740-BCB0-2054F2F376B9}">
  <dimension ref="B4:S96"/>
  <sheetViews>
    <sheetView showGridLines="0" tabSelected="1" zoomScale="50" workbookViewId="0">
      <selection activeCell="I188" sqref="I188"/>
    </sheetView>
  </sheetViews>
  <sheetFormatPr baseColWidth="10" defaultRowHeight="47" x14ac:dyDescent="0.55000000000000004"/>
  <cols>
    <col min="1" max="2" width="10.83203125" style="3"/>
    <col min="3" max="3" width="129.5" style="3" customWidth="1"/>
    <col min="4" max="5" width="80.83203125" style="3" customWidth="1"/>
    <col min="6" max="7" width="10.83203125" style="3"/>
    <col min="8" max="8" width="48.1640625" style="3" customWidth="1"/>
    <col min="9" max="9" width="70.83203125" style="3" bestFit="1" customWidth="1"/>
    <col min="10" max="10" width="56" style="3" customWidth="1"/>
    <col min="11" max="11" width="57.1640625" style="3" customWidth="1"/>
    <col min="12" max="12" width="59.1640625" style="3" customWidth="1"/>
    <col min="13" max="13" width="58.83203125" style="3" bestFit="1" customWidth="1"/>
    <col min="14" max="14" width="52.5" style="3" customWidth="1"/>
    <col min="15" max="15" width="70.5" style="3" bestFit="1" customWidth="1"/>
    <col min="16" max="16" width="92.1640625" style="3" bestFit="1" customWidth="1"/>
    <col min="17" max="17" width="49.6640625" style="3" customWidth="1"/>
    <col min="18" max="18" width="66.1640625" style="3" customWidth="1"/>
    <col min="19" max="19" width="61.83203125" style="3" customWidth="1"/>
    <col min="20" max="20" width="50.83203125" style="3" customWidth="1"/>
    <col min="21" max="16384" width="10.83203125" style="3"/>
  </cols>
  <sheetData>
    <row r="4" spans="3:19" ht="48" thickBot="1" x14ac:dyDescent="0.6"/>
    <row r="5" spans="3:19" ht="49" thickTop="1" thickBot="1" x14ac:dyDescent="0.6">
      <c r="C5" s="63" t="s">
        <v>47</v>
      </c>
      <c r="D5" s="63"/>
      <c r="E5" s="5"/>
      <c r="H5" s="6" t="s">
        <v>1</v>
      </c>
      <c r="I5" s="7">
        <f>D16</f>
        <v>0.05</v>
      </c>
      <c r="J5" s="8" t="s">
        <v>65</v>
      </c>
      <c r="K5" s="37">
        <v>0.05</v>
      </c>
      <c r="L5" s="9" t="s">
        <v>3</v>
      </c>
      <c r="M5" s="7">
        <v>0.3</v>
      </c>
      <c r="N5" s="9" t="s">
        <v>4</v>
      </c>
      <c r="O5" s="38">
        <v>0.3</v>
      </c>
      <c r="P5" s="10" t="s">
        <v>56</v>
      </c>
      <c r="Q5" s="39">
        <v>0.1</v>
      </c>
      <c r="R5" s="12" t="s">
        <v>0</v>
      </c>
      <c r="S5" s="40">
        <f>D14</f>
        <v>0.06</v>
      </c>
    </row>
    <row r="6" spans="3:19" ht="49" thickTop="1" thickBot="1" x14ac:dyDescent="0.6">
      <c r="C6" s="14" t="s">
        <v>25</v>
      </c>
      <c r="D6" s="34">
        <v>12000000</v>
      </c>
      <c r="H6" s="4" t="s">
        <v>5</v>
      </c>
      <c r="I6" s="4" t="s">
        <v>6</v>
      </c>
      <c r="J6" s="4" t="s">
        <v>7</v>
      </c>
      <c r="K6" s="4" t="s">
        <v>8</v>
      </c>
      <c r="L6" s="4" t="s">
        <v>9</v>
      </c>
      <c r="M6" s="4" t="s">
        <v>10</v>
      </c>
      <c r="N6" s="4" t="s">
        <v>11</v>
      </c>
      <c r="O6" s="4" t="s">
        <v>12</v>
      </c>
      <c r="P6" s="4" t="s">
        <v>58</v>
      </c>
      <c r="Q6" s="4" t="s">
        <v>45</v>
      </c>
      <c r="R6" s="4" t="s">
        <v>13</v>
      </c>
      <c r="S6" s="4" t="s">
        <v>46</v>
      </c>
    </row>
    <row r="7" spans="3:19" ht="49" thickTop="1" thickBot="1" x14ac:dyDescent="0.6">
      <c r="C7" s="14" t="s">
        <v>15</v>
      </c>
      <c r="D7" s="33">
        <v>5.5E-2</v>
      </c>
      <c r="H7" s="15">
        <v>1</v>
      </c>
      <c r="I7" s="16">
        <f>D15*12</f>
        <v>480000</v>
      </c>
      <c r="J7" s="16">
        <f>D21</f>
        <v>15000</v>
      </c>
      <c r="K7" s="16">
        <f>I7-J7</f>
        <v>465000</v>
      </c>
      <c r="L7" s="16">
        <f>K7*$M$5</f>
        <v>139500</v>
      </c>
      <c r="M7" s="16">
        <f>K7-L7</f>
        <v>325500</v>
      </c>
      <c r="N7" s="16">
        <f>M7*$O$5</f>
        <v>97650</v>
      </c>
      <c r="O7" s="16">
        <f>K7-N7</f>
        <v>367350</v>
      </c>
      <c r="P7" s="16">
        <f>D22</f>
        <v>10000</v>
      </c>
      <c r="Q7" s="17">
        <f>(O7-P7)/D17</f>
        <v>2.7701550387596901E-2</v>
      </c>
      <c r="R7" s="16">
        <f>D17</f>
        <v>12900000</v>
      </c>
      <c r="S7" s="17">
        <f>(O7-P7)/R7</f>
        <v>2.7701550387596901E-2</v>
      </c>
    </row>
    <row r="8" spans="3:19" ht="49" thickTop="1" thickBot="1" x14ac:dyDescent="0.6">
      <c r="C8" s="14" t="s">
        <v>16</v>
      </c>
      <c r="D8" s="18">
        <f>D6*D7</f>
        <v>660000</v>
      </c>
      <c r="H8" s="15">
        <f t="shared" ref="H8:H39" si="0">IF(H7&lt;$D$13,H7+1, "NA")</f>
        <v>2</v>
      </c>
      <c r="I8" s="16">
        <f>IF(H8= "NA",0,I7*(1+$I$5))</f>
        <v>504000</v>
      </c>
      <c r="J8" s="16">
        <f>IF(H8= "NA",0,J7*(1+$K$5))</f>
        <v>15750</v>
      </c>
      <c r="K8" s="16">
        <f>IF(H8= "NA",0,I8-J8)</f>
        <v>488250</v>
      </c>
      <c r="L8" s="16">
        <f>IF(H8= "NA",0,K8*$M$5)</f>
        <v>146475</v>
      </c>
      <c r="M8" s="16">
        <f>IF(H8= "NA",0,K8-L8)</f>
        <v>341775</v>
      </c>
      <c r="N8" s="16">
        <f>IF(H8= "NA",0,M8*$O$5)</f>
        <v>102532.5</v>
      </c>
      <c r="O8" s="16">
        <f>IF(H8= "NA",0,K8-N8)</f>
        <v>385717.5</v>
      </c>
      <c r="P8" s="16">
        <f t="shared" ref="P8:P39" si="1">IF(H8= "NA",0,P7*(1+$Q$5))</f>
        <v>11000</v>
      </c>
      <c r="Q8" s="17">
        <f t="shared" ref="Q8:Q39" si="2">IF(H8= "NA",0,(O8-P8)/$D$17)</f>
        <v>2.9047868217054264E-2</v>
      </c>
      <c r="R8" s="16">
        <f>IF(H8= "NA",0,R7*(1+$S$5))</f>
        <v>13674000</v>
      </c>
      <c r="S8" s="17">
        <f>IF(H8= "NA",0,(O8-P8)/R8)</f>
        <v>2.7403649261371947E-2</v>
      </c>
    </row>
    <row r="9" spans="3:19" ht="49" thickTop="1" thickBot="1" x14ac:dyDescent="0.6">
      <c r="C9" s="14" t="s">
        <v>17</v>
      </c>
      <c r="D9" s="33">
        <v>5.0000000000000001E-3</v>
      </c>
      <c r="H9" s="15">
        <f t="shared" si="0"/>
        <v>3</v>
      </c>
      <c r="I9" s="16">
        <f t="shared" ref="I9:I72" si="3">IF(H9= "NA",0,I8*(1+$I$5))</f>
        <v>529200</v>
      </c>
      <c r="J9" s="16">
        <f t="shared" ref="J9:J72" si="4">IF(H9= "NA",0,J8*(1+$K$5))</f>
        <v>16537.5</v>
      </c>
      <c r="K9" s="16">
        <f t="shared" ref="K9:K72" si="5">IF(H9= "NA",0,I9-J9)</f>
        <v>512662.5</v>
      </c>
      <c r="L9" s="16">
        <f t="shared" ref="L9:L72" si="6">IF(H9= "NA",0,K9*$M$5)</f>
        <v>153798.75</v>
      </c>
      <c r="M9" s="16">
        <f t="shared" ref="M9:M72" si="7">IF(H9= "NA",0,K9-L9)</f>
        <v>358863.75</v>
      </c>
      <c r="N9" s="16">
        <f t="shared" ref="N9:N72" si="8">IF(H9= "NA",0,M9*$O$5)</f>
        <v>107659.125</v>
      </c>
      <c r="O9" s="16">
        <f t="shared" ref="O9:O72" si="9">IF(H9= "NA",0,K9-N9)</f>
        <v>405003.375</v>
      </c>
      <c r="P9" s="16">
        <f t="shared" si="1"/>
        <v>12100.000000000002</v>
      </c>
      <c r="Q9" s="17">
        <f t="shared" si="2"/>
        <v>3.045762596899225E-2</v>
      </c>
      <c r="R9" s="16">
        <f t="shared" ref="R9:R72" si="10">IF(H9= "NA",0,R8*(1+$S$5))</f>
        <v>14494440</v>
      </c>
      <c r="S9" s="17">
        <f t="shared" ref="S9:S72" si="11">IF(H9= "NA",0,(O9-P9)/R9)</f>
        <v>2.7107178683688365E-2</v>
      </c>
    </row>
    <row r="10" spans="3:19" ht="49" thickTop="1" thickBot="1" x14ac:dyDescent="0.6">
      <c r="C10" s="14" t="s">
        <v>18</v>
      </c>
      <c r="D10" s="18">
        <f>D6*D9</f>
        <v>60000</v>
      </c>
      <c r="H10" s="15">
        <f t="shared" si="0"/>
        <v>4</v>
      </c>
      <c r="I10" s="16">
        <f t="shared" si="3"/>
        <v>555660</v>
      </c>
      <c r="J10" s="16">
        <f t="shared" si="4"/>
        <v>17364.375</v>
      </c>
      <c r="K10" s="16">
        <f t="shared" si="5"/>
        <v>538295.625</v>
      </c>
      <c r="L10" s="16">
        <f t="shared" si="6"/>
        <v>161488.6875</v>
      </c>
      <c r="M10" s="16">
        <f t="shared" si="7"/>
        <v>376806.9375</v>
      </c>
      <c r="N10" s="16">
        <f t="shared" si="8"/>
        <v>113042.08125</v>
      </c>
      <c r="O10" s="16">
        <f t="shared" si="9"/>
        <v>425253.54375000001</v>
      </c>
      <c r="P10" s="16">
        <f t="shared" si="1"/>
        <v>13310.000000000004</v>
      </c>
      <c r="Q10" s="17">
        <f t="shared" si="2"/>
        <v>3.1933608042635661E-2</v>
      </c>
      <c r="R10" s="16">
        <f t="shared" si="10"/>
        <v>15364106.4</v>
      </c>
      <c r="S10" s="17">
        <f t="shared" si="11"/>
        <v>2.6812073089392298E-2</v>
      </c>
    </row>
    <row r="11" spans="3:19" ht="49" thickTop="1" thickBot="1" x14ac:dyDescent="0.6">
      <c r="C11" s="14" t="s">
        <v>19</v>
      </c>
      <c r="D11" s="36">
        <v>1.4999999999999999E-2</v>
      </c>
      <c r="H11" s="15">
        <f t="shared" si="0"/>
        <v>5</v>
      </c>
      <c r="I11" s="16">
        <f t="shared" si="3"/>
        <v>583443</v>
      </c>
      <c r="J11" s="16">
        <f t="shared" si="4"/>
        <v>18232.59375</v>
      </c>
      <c r="K11" s="16">
        <f t="shared" si="5"/>
        <v>565210.40625</v>
      </c>
      <c r="L11" s="16">
        <f t="shared" si="6"/>
        <v>169563.12187499998</v>
      </c>
      <c r="M11" s="16">
        <f t="shared" si="7"/>
        <v>395647.28437500005</v>
      </c>
      <c r="N11" s="16">
        <f t="shared" si="8"/>
        <v>118694.18531250001</v>
      </c>
      <c r="O11" s="16">
        <f t="shared" si="9"/>
        <v>446516.22093750001</v>
      </c>
      <c r="P11" s="16">
        <f t="shared" si="1"/>
        <v>14641.000000000005</v>
      </c>
      <c r="Q11" s="17">
        <f t="shared" si="2"/>
        <v>3.3478699297480624E-2</v>
      </c>
      <c r="R11" s="16">
        <f t="shared" si="10"/>
        <v>16285952.784000002</v>
      </c>
      <c r="S11" s="17">
        <f t="shared" si="11"/>
        <v>2.6518265566985569E-2</v>
      </c>
    </row>
    <row r="12" spans="3:19" ht="49" thickTop="1" thickBot="1" x14ac:dyDescent="0.6">
      <c r="C12" s="14" t="s">
        <v>20</v>
      </c>
      <c r="D12" s="18">
        <f>D6*D11</f>
        <v>180000</v>
      </c>
      <c r="H12" s="15">
        <f t="shared" si="0"/>
        <v>6</v>
      </c>
      <c r="I12" s="16">
        <f t="shared" si="3"/>
        <v>612615.15</v>
      </c>
      <c r="J12" s="16">
        <f t="shared" si="4"/>
        <v>19144.223437500001</v>
      </c>
      <c r="K12" s="16">
        <f t="shared" si="5"/>
        <v>593470.92656250007</v>
      </c>
      <c r="L12" s="16">
        <f t="shared" si="6"/>
        <v>178041.27796875002</v>
      </c>
      <c r="M12" s="16">
        <f t="shared" si="7"/>
        <v>415429.64859375008</v>
      </c>
      <c r="N12" s="16">
        <f t="shared" si="8"/>
        <v>124628.89457812502</v>
      </c>
      <c r="O12" s="16">
        <f t="shared" si="9"/>
        <v>468842.03198437503</v>
      </c>
      <c r="P12" s="16">
        <f t="shared" si="1"/>
        <v>16105.100000000008</v>
      </c>
      <c r="Q12" s="17">
        <f t="shared" si="2"/>
        <v>3.5095886200339148E-2</v>
      </c>
      <c r="R12" s="16">
        <f t="shared" si="10"/>
        <v>17263109.951040003</v>
      </c>
      <c r="S12" s="17">
        <f t="shared" si="11"/>
        <v>2.6225687797180496E-2</v>
      </c>
    </row>
    <row r="13" spans="3:19" ht="49" thickTop="1" thickBot="1" x14ac:dyDescent="0.6">
      <c r="C13" s="14" t="s">
        <v>54</v>
      </c>
      <c r="D13" s="32">
        <v>25</v>
      </c>
      <c r="H13" s="15">
        <f t="shared" si="0"/>
        <v>7</v>
      </c>
      <c r="I13" s="16">
        <f t="shared" si="3"/>
        <v>643245.90750000009</v>
      </c>
      <c r="J13" s="16">
        <f t="shared" si="4"/>
        <v>20101.434609375003</v>
      </c>
      <c r="K13" s="16">
        <f t="shared" si="5"/>
        <v>623144.47289062513</v>
      </c>
      <c r="L13" s="16">
        <f t="shared" si="6"/>
        <v>186943.34186718753</v>
      </c>
      <c r="M13" s="16">
        <f t="shared" si="7"/>
        <v>436201.1310234376</v>
      </c>
      <c r="N13" s="16">
        <f t="shared" si="8"/>
        <v>130860.33930703127</v>
      </c>
      <c r="O13" s="16">
        <f t="shared" si="9"/>
        <v>492284.13358359388</v>
      </c>
      <c r="P13" s="16">
        <f t="shared" si="1"/>
        <v>17715.610000000011</v>
      </c>
      <c r="Q13" s="17">
        <f t="shared" si="2"/>
        <v>3.6788257642139062E-2</v>
      </c>
      <c r="R13" s="16">
        <f t="shared" si="10"/>
        <v>18298896.548102405</v>
      </c>
      <c r="S13" s="17">
        <f t="shared" si="11"/>
        <v>2.5934269989236407E-2</v>
      </c>
    </row>
    <row r="14" spans="3:19" ht="49" thickTop="1" thickBot="1" x14ac:dyDescent="0.6">
      <c r="C14" s="14" t="s">
        <v>62</v>
      </c>
      <c r="D14" s="33">
        <v>0.06</v>
      </c>
      <c r="H14" s="15">
        <f t="shared" si="0"/>
        <v>8</v>
      </c>
      <c r="I14" s="16">
        <f t="shared" si="3"/>
        <v>675408.20287500008</v>
      </c>
      <c r="J14" s="16">
        <f t="shared" si="4"/>
        <v>21106.506339843752</v>
      </c>
      <c r="K14" s="16">
        <f t="shared" si="5"/>
        <v>654301.69653515634</v>
      </c>
      <c r="L14" s="16">
        <f t="shared" si="6"/>
        <v>196290.5089605469</v>
      </c>
      <c r="M14" s="16">
        <f t="shared" si="7"/>
        <v>458011.18757460942</v>
      </c>
      <c r="N14" s="16">
        <f t="shared" si="8"/>
        <v>137403.35627238281</v>
      </c>
      <c r="O14" s="16">
        <f t="shared" si="9"/>
        <v>516898.34026277356</v>
      </c>
      <c r="P14" s="16">
        <f t="shared" si="1"/>
        <v>19487.171000000013</v>
      </c>
      <c r="Q14" s="17">
        <f t="shared" si="2"/>
        <v>3.8559005369207248E-2</v>
      </c>
      <c r="R14" s="16">
        <f t="shared" si="10"/>
        <v>19396830.34098855</v>
      </c>
      <c r="S14" s="17">
        <f t="shared" si="11"/>
        <v>2.5643940814993136E-2</v>
      </c>
    </row>
    <row r="15" spans="3:19" ht="49" thickTop="1" thickBot="1" x14ac:dyDescent="0.6">
      <c r="C15" s="14" t="s">
        <v>21</v>
      </c>
      <c r="D15" s="34">
        <v>40000</v>
      </c>
      <c r="E15" s="19">
        <f>D15*12/D6</f>
        <v>0.04</v>
      </c>
      <c r="H15" s="15">
        <f t="shared" si="0"/>
        <v>9</v>
      </c>
      <c r="I15" s="16">
        <f t="shared" si="3"/>
        <v>709178.6130187501</v>
      </c>
      <c r="J15" s="16">
        <f t="shared" si="4"/>
        <v>22161.831656835941</v>
      </c>
      <c r="K15" s="16">
        <f t="shared" si="5"/>
        <v>687016.78136191412</v>
      </c>
      <c r="L15" s="16">
        <f t="shared" si="6"/>
        <v>206105.03440857423</v>
      </c>
      <c r="M15" s="16">
        <f t="shared" si="7"/>
        <v>480911.7469533399</v>
      </c>
      <c r="N15" s="16">
        <f t="shared" si="8"/>
        <v>144273.52408600197</v>
      </c>
      <c r="O15" s="16">
        <f t="shared" si="9"/>
        <v>542743.25727591221</v>
      </c>
      <c r="P15" s="16">
        <f t="shared" si="1"/>
        <v>21435.888100000015</v>
      </c>
      <c r="Q15" s="17">
        <f t="shared" si="2"/>
        <v>4.0411423967124972E-2</v>
      </c>
      <c r="R15" s="16">
        <f t="shared" si="10"/>
        <v>20560640.161447864</v>
      </c>
      <c r="S15" s="17">
        <f t="shared" si="11"/>
        <v>2.5354627340513806E-2</v>
      </c>
    </row>
    <row r="16" spans="3:19" ht="49" thickTop="1" thickBot="1" x14ac:dyDescent="0.6">
      <c r="C16" s="20" t="s">
        <v>22</v>
      </c>
      <c r="D16" s="35">
        <v>0.05</v>
      </c>
      <c r="H16" s="15">
        <f t="shared" si="0"/>
        <v>10</v>
      </c>
      <c r="I16" s="16">
        <f t="shared" si="3"/>
        <v>744637.54366968758</v>
      </c>
      <c r="J16" s="16">
        <f t="shared" si="4"/>
        <v>23269.923239677737</v>
      </c>
      <c r="K16" s="16">
        <f t="shared" si="5"/>
        <v>721367.62043000991</v>
      </c>
      <c r="L16" s="16">
        <f t="shared" si="6"/>
        <v>216410.28612900295</v>
      </c>
      <c r="M16" s="16">
        <f t="shared" si="7"/>
        <v>504957.33430100698</v>
      </c>
      <c r="N16" s="16">
        <f t="shared" si="8"/>
        <v>151487.20029030208</v>
      </c>
      <c r="O16" s="16">
        <f t="shared" si="9"/>
        <v>569880.42013970786</v>
      </c>
      <c r="P16" s="16">
        <f t="shared" si="1"/>
        <v>23579.476910000019</v>
      </c>
      <c r="Q16" s="17">
        <f t="shared" si="2"/>
        <v>4.2348910327884334E-2</v>
      </c>
      <c r="R16" s="16">
        <f t="shared" si="10"/>
        <v>21794278.571134739</v>
      </c>
      <c r="S16" s="17">
        <f t="shared" si="11"/>
        <v>2.5066254955245542E-2</v>
      </c>
    </row>
    <row r="17" spans="2:19" ht="49" thickTop="1" thickBot="1" x14ac:dyDescent="0.6">
      <c r="C17" s="21" t="s">
        <v>55</v>
      </c>
      <c r="D17" s="22">
        <f>SUM(D6+D8+D10+D12)</f>
        <v>12900000</v>
      </c>
      <c r="E17" s="23"/>
      <c r="H17" s="15">
        <f t="shared" si="0"/>
        <v>11</v>
      </c>
      <c r="I17" s="16">
        <f t="shared" si="3"/>
        <v>781869.42085317196</v>
      </c>
      <c r="J17" s="16">
        <f t="shared" si="4"/>
        <v>24433.419401661624</v>
      </c>
      <c r="K17" s="16">
        <f t="shared" si="5"/>
        <v>757436.00145151035</v>
      </c>
      <c r="L17" s="16">
        <f t="shared" si="6"/>
        <v>227230.8004354531</v>
      </c>
      <c r="M17" s="16">
        <f t="shared" si="7"/>
        <v>530205.20101605728</v>
      </c>
      <c r="N17" s="16">
        <f t="shared" si="8"/>
        <v>159061.56030481719</v>
      </c>
      <c r="O17" s="16">
        <f t="shared" si="9"/>
        <v>598374.44114669319</v>
      </c>
      <c r="P17" s="16">
        <f t="shared" si="1"/>
        <v>25937.424601000024</v>
      </c>
      <c r="Q17" s="17">
        <f t="shared" si="2"/>
        <v>4.4374962522921953E-2</v>
      </c>
      <c r="R17" s="16">
        <f t="shared" si="10"/>
        <v>23101935.285402823</v>
      </c>
      <c r="S17" s="17">
        <f t="shared" si="11"/>
        <v>2.4778747298603718E-2</v>
      </c>
    </row>
    <row r="18" spans="2:19" ht="49" thickTop="1" thickBot="1" x14ac:dyDescent="0.6">
      <c r="H18" s="15">
        <f t="shared" si="0"/>
        <v>12</v>
      </c>
      <c r="I18" s="16">
        <f t="shared" si="3"/>
        <v>820962.89189583063</v>
      </c>
      <c r="J18" s="16">
        <f t="shared" si="4"/>
        <v>25655.090371744707</v>
      </c>
      <c r="K18" s="16">
        <f t="shared" si="5"/>
        <v>795307.80152408592</v>
      </c>
      <c r="L18" s="16">
        <f t="shared" si="6"/>
        <v>238592.34045722577</v>
      </c>
      <c r="M18" s="16">
        <f t="shared" si="7"/>
        <v>556715.46106686012</v>
      </c>
      <c r="N18" s="16">
        <f t="shared" si="8"/>
        <v>167014.63832005803</v>
      </c>
      <c r="O18" s="16">
        <f t="shared" si="9"/>
        <v>628293.16320402792</v>
      </c>
      <c r="P18" s="16">
        <f t="shared" si="1"/>
        <v>28531.16706110003</v>
      </c>
      <c r="Q18" s="17">
        <f t="shared" si="2"/>
        <v>4.6493177995575806E-2</v>
      </c>
      <c r="R18" s="16">
        <f t="shared" si="10"/>
        <v>24488051.402526993</v>
      </c>
      <c r="S18" s="17">
        <f t="shared" si="11"/>
        <v>2.4492026183881528E-2</v>
      </c>
    </row>
    <row r="19" spans="2:19" ht="49" thickTop="1" thickBot="1" x14ac:dyDescent="0.6">
      <c r="H19" s="15">
        <f t="shared" si="0"/>
        <v>13</v>
      </c>
      <c r="I19" s="16">
        <f t="shared" si="3"/>
        <v>862011.03649062221</v>
      </c>
      <c r="J19" s="16">
        <f t="shared" si="4"/>
        <v>26937.844890331944</v>
      </c>
      <c r="K19" s="16">
        <f t="shared" si="5"/>
        <v>835073.19160029024</v>
      </c>
      <c r="L19" s="16">
        <f t="shared" si="6"/>
        <v>250521.95748008706</v>
      </c>
      <c r="M19" s="16">
        <f t="shared" si="7"/>
        <v>584551.23412020318</v>
      </c>
      <c r="N19" s="16">
        <f t="shared" si="8"/>
        <v>175365.37023606096</v>
      </c>
      <c r="O19" s="16">
        <f t="shared" si="9"/>
        <v>659707.82136422931</v>
      </c>
      <c r="P19" s="16">
        <f t="shared" si="1"/>
        <v>31384.283767210036</v>
      </c>
      <c r="Q19" s="17">
        <f t="shared" si="2"/>
        <v>4.8707250976513121E-2</v>
      </c>
      <c r="R19" s="16">
        <f t="shared" si="10"/>
        <v>25957334.486678615</v>
      </c>
      <c r="S19" s="17">
        <f t="shared" si="11"/>
        <v>2.4206011519382963E-2</v>
      </c>
    </row>
    <row r="20" spans="2:19" ht="49" thickTop="1" thickBot="1" x14ac:dyDescent="0.6">
      <c r="H20" s="15">
        <f t="shared" si="0"/>
        <v>14</v>
      </c>
      <c r="I20" s="16">
        <f t="shared" si="3"/>
        <v>905111.58831515338</v>
      </c>
      <c r="J20" s="16">
        <f t="shared" si="4"/>
        <v>28284.737134848543</v>
      </c>
      <c r="K20" s="16">
        <f t="shared" si="5"/>
        <v>876826.85118030489</v>
      </c>
      <c r="L20" s="16">
        <f t="shared" si="6"/>
        <v>263048.05535409146</v>
      </c>
      <c r="M20" s="16">
        <f t="shared" si="7"/>
        <v>613778.79582621343</v>
      </c>
      <c r="N20" s="16">
        <f t="shared" si="8"/>
        <v>184133.63874786402</v>
      </c>
      <c r="O20" s="16">
        <f t="shared" si="9"/>
        <v>692693.21243244084</v>
      </c>
      <c r="P20" s="16">
        <f t="shared" si="1"/>
        <v>34522.712143931043</v>
      </c>
      <c r="Q20" s="17">
        <f t="shared" si="2"/>
        <v>5.1020969014613157E-2</v>
      </c>
      <c r="R20" s="16">
        <f t="shared" si="10"/>
        <v>27514774.555879332</v>
      </c>
      <c r="S20" s="17">
        <f t="shared" si="11"/>
        <v>2.3920621226673742E-2</v>
      </c>
    </row>
    <row r="21" spans="2:19" ht="49" thickTop="1" thickBot="1" x14ac:dyDescent="0.6">
      <c r="B21" s="24"/>
      <c r="C21" s="14" t="s">
        <v>23</v>
      </c>
      <c r="D21" s="34">
        <v>15000</v>
      </c>
      <c r="H21" s="15">
        <f t="shared" si="0"/>
        <v>15</v>
      </c>
      <c r="I21" s="16">
        <f t="shared" si="3"/>
        <v>950367.16773091105</v>
      </c>
      <c r="J21" s="16">
        <f t="shared" si="4"/>
        <v>29698.97399159097</v>
      </c>
      <c r="K21" s="16">
        <f t="shared" si="5"/>
        <v>920668.19373932004</v>
      </c>
      <c r="L21" s="16">
        <f t="shared" si="6"/>
        <v>276200.45812179602</v>
      </c>
      <c r="M21" s="16">
        <f t="shared" si="7"/>
        <v>644467.73561752401</v>
      </c>
      <c r="N21" s="16">
        <f t="shared" si="8"/>
        <v>193340.3206852572</v>
      </c>
      <c r="O21" s="16">
        <f t="shared" si="9"/>
        <v>727327.87305406283</v>
      </c>
      <c r="P21" s="16">
        <f t="shared" si="1"/>
        <v>37974.983358324149</v>
      </c>
      <c r="Q21" s="17">
        <f t="shared" si="2"/>
        <v>5.3438208503545637E-2</v>
      </c>
      <c r="R21" s="16">
        <f t="shared" si="10"/>
        <v>29165661.029232092</v>
      </c>
      <c r="S21" s="17">
        <f t="shared" si="11"/>
        <v>2.3635771155840275E-2</v>
      </c>
    </row>
    <row r="22" spans="2:19" ht="49" thickTop="1" thickBot="1" x14ac:dyDescent="0.6">
      <c r="C22" s="14" t="s">
        <v>57</v>
      </c>
      <c r="D22" s="34">
        <v>10000</v>
      </c>
      <c r="H22" s="15">
        <f t="shared" si="0"/>
        <v>16</v>
      </c>
      <c r="I22" s="16">
        <f t="shared" si="3"/>
        <v>997885.52611745661</v>
      </c>
      <c r="J22" s="16">
        <f t="shared" si="4"/>
        <v>31183.922691170519</v>
      </c>
      <c r="K22" s="16">
        <f t="shared" si="5"/>
        <v>966701.60342628614</v>
      </c>
      <c r="L22" s="16">
        <f t="shared" si="6"/>
        <v>290010.48102788581</v>
      </c>
      <c r="M22" s="16">
        <f t="shared" si="7"/>
        <v>676691.12239840033</v>
      </c>
      <c r="N22" s="16">
        <f t="shared" si="8"/>
        <v>203007.3367195201</v>
      </c>
      <c r="O22" s="16">
        <f t="shared" si="9"/>
        <v>763694.2667067661</v>
      </c>
      <c r="P22" s="16">
        <f t="shared" si="1"/>
        <v>41772.481694156566</v>
      </c>
      <c r="Q22" s="17">
        <f t="shared" si="2"/>
        <v>5.5962929070744925E-2</v>
      </c>
      <c r="R22" s="16">
        <f t="shared" si="10"/>
        <v>30915600.690986019</v>
      </c>
      <c r="S22" s="17">
        <f t="shared" si="11"/>
        <v>2.3351374997643129E-2</v>
      </c>
    </row>
    <row r="23" spans="2:19" ht="49" thickTop="1" thickBot="1" x14ac:dyDescent="0.6">
      <c r="H23" s="15">
        <f t="shared" si="0"/>
        <v>17</v>
      </c>
      <c r="I23" s="16">
        <f t="shared" si="3"/>
        <v>1047779.8024233294</v>
      </c>
      <c r="J23" s="16">
        <f t="shared" si="4"/>
        <v>32743.118825729045</v>
      </c>
      <c r="K23" s="16">
        <f t="shared" si="5"/>
        <v>1015036.6835976004</v>
      </c>
      <c r="L23" s="16">
        <f t="shared" si="6"/>
        <v>304511.00507928012</v>
      </c>
      <c r="M23" s="16">
        <f t="shared" si="7"/>
        <v>710525.67851832032</v>
      </c>
      <c r="N23" s="16">
        <f t="shared" si="8"/>
        <v>213157.70355549609</v>
      </c>
      <c r="O23" s="16">
        <f t="shared" si="9"/>
        <v>801878.98004210438</v>
      </c>
      <c r="P23" s="16">
        <f t="shared" si="1"/>
        <v>45949.729863572225</v>
      </c>
      <c r="Q23" s="17">
        <f t="shared" si="2"/>
        <v>5.8599166680506375E-2</v>
      </c>
      <c r="R23" s="16">
        <f t="shared" si="10"/>
        <v>32770536.73244518</v>
      </c>
      <c r="S23" s="17">
        <f t="shared" si="11"/>
        <v>2.306734419244675E-2</v>
      </c>
    </row>
    <row r="24" spans="2:19" ht="49" thickTop="1" thickBot="1" x14ac:dyDescent="0.6">
      <c r="H24" s="15">
        <f t="shared" si="0"/>
        <v>18</v>
      </c>
      <c r="I24" s="16">
        <f t="shared" si="3"/>
        <v>1100168.792544496</v>
      </c>
      <c r="J24" s="16">
        <f t="shared" si="4"/>
        <v>34380.2747670155</v>
      </c>
      <c r="K24" s="16">
        <f t="shared" si="5"/>
        <v>1065788.5177774804</v>
      </c>
      <c r="L24" s="16">
        <f t="shared" si="6"/>
        <v>319736.55533324409</v>
      </c>
      <c r="M24" s="16">
        <f t="shared" si="7"/>
        <v>746051.96244423627</v>
      </c>
      <c r="N24" s="16">
        <f t="shared" si="8"/>
        <v>223815.58873327088</v>
      </c>
      <c r="O24" s="16">
        <f t="shared" si="9"/>
        <v>841972.92904420954</v>
      </c>
      <c r="P24" s="16">
        <f t="shared" si="1"/>
        <v>50544.702849929454</v>
      </c>
      <c r="Q24" s="17">
        <f t="shared" si="2"/>
        <v>6.13510252863783E-2</v>
      </c>
      <c r="R24" s="16">
        <f t="shared" si="10"/>
        <v>34736768.93639189</v>
      </c>
      <c r="S24" s="17">
        <f t="shared" si="11"/>
        <v>2.2783587835803067E-2</v>
      </c>
    </row>
    <row r="25" spans="2:19" ht="49" thickTop="1" thickBot="1" x14ac:dyDescent="0.6">
      <c r="D25" s="25"/>
      <c r="E25" s="23"/>
      <c r="H25" s="15">
        <f t="shared" si="0"/>
        <v>19</v>
      </c>
      <c r="I25" s="16">
        <f t="shared" si="3"/>
        <v>1155177.2321717208</v>
      </c>
      <c r="J25" s="16">
        <f t="shared" si="4"/>
        <v>36099.288505366276</v>
      </c>
      <c r="K25" s="16">
        <f t="shared" si="5"/>
        <v>1119077.9436663545</v>
      </c>
      <c r="L25" s="16">
        <f t="shared" si="6"/>
        <v>335723.38309990632</v>
      </c>
      <c r="M25" s="16">
        <f t="shared" si="7"/>
        <v>783354.56056644814</v>
      </c>
      <c r="N25" s="16">
        <f t="shared" si="8"/>
        <v>235006.36816993443</v>
      </c>
      <c r="O25" s="16">
        <f t="shared" si="9"/>
        <v>884071.57549642003</v>
      </c>
      <c r="P25" s="16">
        <f t="shared" si="1"/>
        <v>55599.173134922406</v>
      </c>
      <c r="Q25" s="17">
        <f t="shared" si="2"/>
        <v>6.4222666849728494E-2</v>
      </c>
      <c r="R25" s="16">
        <f t="shared" si="10"/>
        <v>36820975.072575405</v>
      </c>
      <c r="S25" s="17">
        <f t="shared" si="11"/>
        <v>2.2500012580561762E-2</v>
      </c>
    </row>
    <row r="26" spans="2:19" ht="49" thickTop="1" thickBot="1" x14ac:dyDescent="0.6">
      <c r="H26" s="15">
        <f t="shared" si="0"/>
        <v>20</v>
      </c>
      <c r="I26" s="16">
        <f t="shared" si="3"/>
        <v>1212936.0937803069</v>
      </c>
      <c r="J26" s="16">
        <f t="shared" si="4"/>
        <v>37904.25293063459</v>
      </c>
      <c r="K26" s="16">
        <f t="shared" si="5"/>
        <v>1175031.8408496722</v>
      </c>
      <c r="L26" s="16">
        <f t="shared" si="6"/>
        <v>352509.55225490168</v>
      </c>
      <c r="M26" s="16">
        <f t="shared" si="7"/>
        <v>822522.28859477048</v>
      </c>
      <c r="N26" s="16">
        <f t="shared" si="8"/>
        <v>246756.68657843114</v>
      </c>
      <c r="O26" s="16">
        <f t="shared" si="9"/>
        <v>928275.15427124104</v>
      </c>
      <c r="P26" s="16">
        <f t="shared" si="1"/>
        <v>61159.090448414652</v>
      </c>
      <c r="Q26" s="17">
        <f t="shared" si="2"/>
        <v>6.7218299521149327E-2</v>
      </c>
      <c r="R26" s="16">
        <f t="shared" si="10"/>
        <v>39030233.576929934</v>
      </c>
      <c r="S26" s="17">
        <f t="shared" si="11"/>
        <v>2.2216522535375319E-2</v>
      </c>
    </row>
    <row r="27" spans="2:19" ht="49" thickTop="1" thickBot="1" x14ac:dyDescent="0.6">
      <c r="H27" s="15">
        <f t="shared" si="0"/>
        <v>21</v>
      </c>
      <c r="I27" s="16">
        <f t="shared" si="3"/>
        <v>1273582.8984693224</v>
      </c>
      <c r="J27" s="16">
        <f t="shared" si="4"/>
        <v>39799.465577166324</v>
      </c>
      <c r="K27" s="16">
        <f t="shared" si="5"/>
        <v>1233783.4328921561</v>
      </c>
      <c r="L27" s="16">
        <f t="shared" si="6"/>
        <v>370135.02986764681</v>
      </c>
      <c r="M27" s="16">
        <f t="shared" si="7"/>
        <v>863648.40302450932</v>
      </c>
      <c r="N27" s="16">
        <f t="shared" si="8"/>
        <v>259094.52090735279</v>
      </c>
      <c r="O27" s="16">
        <f t="shared" si="9"/>
        <v>974688.91198480327</v>
      </c>
      <c r="P27" s="16">
        <f t="shared" si="1"/>
        <v>67274.999493256124</v>
      </c>
      <c r="Q27" s="17">
        <f t="shared" si="2"/>
        <v>7.0342163759034668E-2</v>
      </c>
      <c r="R27" s="16">
        <f t="shared" si="10"/>
        <v>41372047.591545731</v>
      </c>
      <c r="S27" s="17">
        <f t="shared" si="11"/>
        <v>2.1933019159462025E-2</v>
      </c>
    </row>
    <row r="28" spans="2:19" ht="49" thickTop="1" thickBot="1" x14ac:dyDescent="0.6">
      <c r="C28" s="64" t="s">
        <v>24</v>
      </c>
      <c r="D28" s="65"/>
      <c r="H28" s="15">
        <f t="shared" si="0"/>
        <v>22</v>
      </c>
      <c r="I28" s="16">
        <f t="shared" si="3"/>
        <v>1337262.0433927886</v>
      </c>
      <c r="J28" s="16">
        <f t="shared" si="4"/>
        <v>41789.438856024644</v>
      </c>
      <c r="K28" s="16">
        <f t="shared" si="5"/>
        <v>1295472.6045367639</v>
      </c>
      <c r="L28" s="16">
        <f t="shared" si="6"/>
        <v>388641.78136102913</v>
      </c>
      <c r="M28" s="16">
        <f t="shared" si="7"/>
        <v>906830.82317573472</v>
      </c>
      <c r="N28" s="16">
        <f t="shared" si="8"/>
        <v>272049.24695272039</v>
      </c>
      <c r="O28" s="16">
        <f t="shared" si="9"/>
        <v>1023423.3575840434</v>
      </c>
      <c r="P28" s="16">
        <f t="shared" si="1"/>
        <v>74002.499442581742</v>
      </c>
      <c r="Q28" s="17">
        <f t="shared" si="2"/>
        <v>7.359851613499703E-2</v>
      </c>
      <c r="R28" s="16">
        <f t="shared" si="10"/>
        <v>43854370.447038479</v>
      </c>
      <c r="S28" s="17">
        <f t="shared" si="11"/>
        <v>2.1649401153484734E-2</v>
      </c>
    </row>
    <row r="29" spans="2:19" ht="49" thickTop="1" thickBot="1" x14ac:dyDescent="0.6">
      <c r="C29" s="14" t="s">
        <v>25</v>
      </c>
      <c r="D29" s="18">
        <f>D6</f>
        <v>12000000</v>
      </c>
      <c r="H29" s="15">
        <f t="shared" si="0"/>
        <v>23</v>
      </c>
      <c r="I29" s="16">
        <f t="shared" si="3"/>
        <v>1404125.145562428</v>
      </c>
      <c r="J29" s="16">
        <f t="shared" si="4"/>
        <v>43878.910798825877</v>
      </c>
      <c r="K29" s="16">
        <f t="shared" si="5"/>
        <v>1360246.2347636023</v>
      </c>
      <c r="L29" s="16">
        <f t="shared" si="6"/>
        <v>408073.87042908068</v>
      </c>
      <c r="M29" s="16">
        <f t="shared" si="7"/>
        <v>952172.36433452158</v>
      </c>
      <c r="N29" s="16">
        <f t="shared" si="8"/>
        <v>285651.70930035645</v>
      </c>
      <c r="O29" s="16">
        <f t="shared" si="9"/>
        <v>1074594.5254632458</v>
      </c>
      <c r="P29" s="16">
        <f t="shared" si="1"/>
        <v>81402.749386839918</v>
      </c>
      <c r="Q29" s="17">
        <f t="shared" si="2"/>
        <v>7.6991610548558589E-2</v>
      </c>
      <c r="R29" s="16">
        <f t="shared" si="10"/>
        <v>46485632.673860788</v>
      </c>
      <c r="S29" s="17">
        <f t="shared" si="11"/>
        <v>2.1365564346398257E-2</v>
      </c>
    </row>
    <row r="30" spans="2:19" ht="49" thickTop="1" thickBot="1" x14ac:dyDescent="0.6">
      <c r="C30" s="14" t="s">
        <v>26</v>
      </c>
      <c r="D30" s="28">
        <f>D14</f>
        <v>0.06</v>
      </c>
      <c r="H30" s="15">
        <f t="shared" si="0"/>
        <v>24</v>
      </c>
      <c r="I30" s="16">
        <f t="shared" si="3"/>
        <v>1474331.4028405496</v>
      </c>
      <c r="J30" s="16">
        <f t="shared" si="4"/>
        <v>46072.856338767175</v>
      </c>
      <c r="K30" s="16">
        <f t="shared" si="5"/>
        <v>1428258.5465017825</v>
      </c>
      <c r="L30" s="16">
        <f t="shared" si="6"/>
        <v>428477.56395053474</v>
      </c>
      <c r="M30" s="16">
        <f t="shared" si="7"/>
        <v>999780.98255124781</v>
      </c>
      <c r="N30" s="16">
        <f t="shared" si="8"/>
        <v>299934.29476537433</v>
      </c>
      <c r="O30" s="16">
        <f t="shared" si="9"/>
        <v>1128324.2517364081</v>
      </c>
      <c r="P30" s="16">
        <f t="shared" si="1"/>
        <v>89543.024325523918</v>
      </c>
      <c r="Q30" s="17">
        <f t="shared" si="2"/>
        <v>8.0525676543479391E-2</v>
      </c>
      <c r="R30" s="16">
        <f t="shared" si="10"/>
        <v>49274770.634292439</v>
      </c>
      <c r="S30" s="17">
        <f t="shared" si="11"/>
        <v>2.1081401578112096E-2</v>
      </c>
    </row>
    <row r="31" spans="2:19" ht="49" thickTop="1" thickBot="1" x14ac:dyDescent="0.6">
      <c r="C31" s="14" t="s">
        <v>27</v>
      </c>
      <c r="D31" s="14">
        <f>D13</f>
        <v>25</v>
      </c>
      <c r="H31" s="15">
        <f t="shared" si="0"/>
        <v>25</v>
      </c>
      <c r="I31" s="16">
        <f t="shared" si="3"/>
        <v>1548047.972982577</v>
      </c>
      <c r="J31" s="16">
        <f t="shared" si="4"/>
        <v>48376.499155705533</v>
      </c>
      <c r="K31" s="16">
        <f t="shared" si="5"/>
        <v>1499671.4738268715</v>
      </c>
      <c r="L31" s="16">
        <f t="shared" si="6"/>
        <v>449901.44214806141</v>
      </c>
      <c r="M31" s="16">
        <f t="shared" si="7"/>
        <v>1049770.03167881</v>
      </c>
      <c r="N31" s="16">
        <f t="shared" si="8"/>
        <v>314931.00950364297</v>
      </c>
      <c r="O31" s="16">
        <f t="shared" si="9"/>
        <v>1184740.4643232285</v>
      </c>
      <c r="P31" s="16">
        <f t="shared" si="1"/>
        <v>98497.32675807632</v>
      </c>
      <c r="Q31" s="17">
        <f t="shared" si="2"/>
        <v>8.4204894384895521E-2</v>
      </c>
      <c r="R31" s="16">
        <f t="shared" si="10"/>
        <v>52231256.872349985</v>
      </c>
      <c r="S31" s="17">
        <f t="shared" si="11"/>
        <v>2.079680257781015E-2</v>
      </c>
    </row>
    <row r="32" spans="2:19" ht="49" thickTop="1" thickBot="1" x14ac:dyDescent="0.6">
      <c r="C32" s="14" t="s">
        <v>28</v>
      </c>
      <c r="D32" s="29">
        <f>FV(D30,D31,0,-D29)</f>
        <v>51502448.63692186</v>
      </c>
      <c r="H32" s="15" t="str">
        <f t="shared" si="0"/>
        <v>NA</v>
      </c>
      <c r="I32" s="16">
        <f t="shared" si="3"/>
        <v>0</v>
      </c>
      <c r="J32" s="16">
        <f t="shared" si="4"/>
        <v>0</v>
      </c>
      <c r="K32" s="16">
        <f t="shared" si="5"/>
        <v>0</v>
      </c>
      <c r="L32" s="16">
        <f t="shared" si="6"/>
        <v>0</v>
      </c>
      <c r="M32" s="16">
        <f t="shared" si="7"/>
        <v>0</v>
      </c>
      <c r="N32" s="16">
        <f t="shared" si="8"/>
        <v>0</v>
      </c>
      <c r="O32" s="16">
        <f t="shared" si="9"/>
        <v>0</v>
      </c>
      <c r="P32" s="16">
        <f t="shared" si="1"/>
        <v>0</v>
      </c>
      <c r="Q32" s="17">
        <f t="shared" si="2"/>
        <v>0</v>
      </c>
      <c r="R32" s="16">
        <f t="shared" si="10"/>
        <v>0</v>
      </c>
      <c r="S32" s="17">
        <f t="shared" si="11"/>
        <v>0</v>
      </c>
    </row>
    <row r="33" spans="3:19" ht="49" thickTop="1" thickBot="1" x14ac:dyDescent="0.6">
      <c r="H33" s="15" t="str">
        <f t="shared" si="0"/>
        <v>NA</v>
      </c>
      <c r="I33" s="16">
        <f t="shared" si="3"/>
        <v>0</v>
      </c>
      <c r="J33" s="16">
        <f t="shared" si="4"/>
        <v>0</v>
      </c>
      <c r="K33" s="16">
        <f t="shared" si="5"/>
        <v>0</v>
      </c>
      <c r="L33" s="16">
        <f t="shared" si="6"/>
        <v>0</v>
      </c>
      <c r="M33" s="16">
        <f t="shared" si="7"/>
        <v>0</v>
      </c>
      <c r="N33" s="16">
        <f t="shared" si="8"/>
        <v>0</v>
      </c>
      <c r="O33" s="16">
        <f t="shared" si="9"/>
        <v>0</v>
      </c>
      <c r="P33" s="16">
        <f t="shared" si="1"/>
        <v>0</v>
      </c>
      <c r="Q33" s="17">
        <f t="shared" si="2"/>
        <v>0</v>
      </c>
      <c r="R33" s="16">
        <f t="shared" si="10"/>
        <v>0</v>
      </c>
      <c r="S33" s="17">
        <f t="shared" si="11"/>
        <v>0</v>
      </c>
    </row>
    <row r="34" spans="3:19" ht="49" thickTop="1" thickBot="1" x14ac:dyDescent="0.6">
      <c r="H34" s="15" t="str">
        <f t="shared" si="0"/>
        <v>NA</v>
      </c>
      <c r="I34" s="16">
        <f t="shared" si="3"/>
        <v>0</v>
      </c>
      <c r="J34" s="16">
        <f t="shared" si="4"/>
        <v>0</v>
      </c>
      <c r="K34" s="16">
        <f t="shared" si="5"/>
        <v>0</v>
      </c>
      <c r="L34" s="16">
        <f t="shared" si="6"/>
        <v>0</v>
      </c>
      <c r="M34" s="16">
        <f t="shared" si="7"/>
        <v>0</v>
      </c>
      <c r="N34" s="16">
        <f t="shared" si="8"/>
        <v>0</v>
      </c>
      <c r="O34" s="16">
        <f t="shared" si="9"/>
        <v>0</v>
      </c>
      <c r="P34" s="16">
        <f t="shared" si="1"/>
        <v>0</v>
      </c>
      <c r="Q34" s="17">
        <f t="shared" si="2"/>
        <v>0</v>
      </c>
      <c r="R34" s="16">
        <f t="shared" si="10"/>
        <v>0</v>
      </c>
      <c r="S34" s="17">
        <f t="shared" si="11"/>
        <v>0</v>
      </c>
    </row>
    <row r="35" spans="3:19" ht="49" thickTop="1" thickBot="1" x14ac:dyDescent="0.6">
      <c r="C35" s="63" t="s">
        <v>63</v>
      </c>
      <c r="D35" s="63"/>
      <c r="H35" s="15" t="str">
        <f t="shared" si="0"/>
        <v>NA</v>
      </c>
      <c r="I35" s="16">
        <f t="shared" si="3"/>
        <v>0</v>
      </c>
      <c r="J35" s="16">
        <f t="shared" si="4"/>
        <v>0</v>
      </c>
      <c r="K35" s="16">
        <f t="shared" si="5"/>
        <v>0</v>
      </c>
      <c r="L35" s="16">
        <f t="shared" si="6"/>
        <v>0</v>
      </c>
      <c r="M35" s="16">
        <f t="shared" si="7"/>
        <v>0</v>
      </c>
      <c r="N35" s="16">
        <f t="shared" si="8"/>
        <v>0</v>
      </c>
      <c r="O35" s="16">
        <f t="shared" si="9"/>
        <v>0</v>
      </c>
      <c r="P35" s="16">
        <f t="shared" si="1"/>
        <v>0</v>
      </c>
      <c r="Q35" s="17">
        <f t="shared" si="2"/>
        <v>0</v>
      </c>
      <c r="R35" s="16">
        <f t="shared" si="10"/>
        <v>0</v>
      </c>
      <c r="S35" s="17">
        <f t="shared" si="11"/>
        <v>0</v>
      </c>
    </row>
    <row r="36" spans="3:19" ht="49" thickTop="1" thickBot="1" x14ac:dyDescent="0.6">
      <c r="C36" s="14" t="s">
        <v>43</v>
      </c>
      <c r="D36" s="28">
        <f>SUM(Q7:Q95)/D13</f>
        <v>5.1314974128523871E-2</v>
      </c>
      <c r="H36" s="15" t="str">
        <f t="shared" si="0"/>
        <v>NA</v>
      </c>
      <c r="I36" s="16">
        <f t="shared" si="3"/>
        <v>0</v>
      </c>
      <c r="J36" s="16">
        <f t="shared" si="4"/>
        <v>0</v>
      </c>
      <c r="K36" s="16">
        <f t="shared" si="5"/>
        <v>0</v>
      </c>
      <c r="L36" s="16">
        <f t="shared" si="6"/>
        <v>0</v>
      </c>
      <c r="M36" s="16">
        <f t="shared" si="7"/>
        <v>0</v>
      </c>
      <c r="N36" s="16">
        <f t="shared" si="8"/>
        <v>0</v>
      </c>
      <c r="O36" s="16">
        <f t="shared" si="9"/>
        <v>0</v>
      </c>
      <c r="P36" s="16">
        <f t="shared" si="1"/>
        <v>0</v>
      </c>
      <c r="Q36" s="17">
        <f t="shared" si="2"/>
        <v>0</v>
      </c>
      <c r="R36" s="16">
        <f t="shared" si="10"/>
        <v>0</v>
      </c>
      <c r="S36" s="17">
        <f t="shared" si="11"/>
        <v>0</v>
      </c>
    </row>
    <row r="37" spans="3:19" ht="49" thickTop="1" thickBot="1" x14ac:dyDescent="0.6">
      <c r="C37" s="14" t="s">
        <v>44</v>
      </c>
      <c r="D37" s="28">
        <f>SUM(S7:S95)/D13</f>
        <v>2.4221828249107361E-2</v>
      </c>
      <c r="H37" s="15" t="str">
        <f t="shared" si="0"/>
        <v>NA</v>
      </c>
      <c r="I37" s="16">
        <f t="shared" si="3"/>
        <v>0</v>
      </c>
      <c r="J37" s="16">
        <f t="shared" si="4"/>
        <v>0</v>
      </c>
      <c r="K37" s="16">
        <f t="shared" si="5"/>
        <v>0</v>
      </c>
      <c r="L37" s="16">
        <f t="shared" si="6"/>
        <v>0</v>
      </c>
      <c r="M37" s="16">
        <f t="shared" si="7"/>
        <v>0</v>
      </c>
      <c r="N37" s="16">
        <f t="shared" si="8"/>
        <v>0</v>
      </c>
      <c r="O37" s="16">
        <f t="shared" si="9"/>
        <v>0</v>
      </c>
      <c r="P37" s="16">
        <f t="shared" si="1"/>
        <v>0</v>
      </c>
      <c r="Q37" s="17">
        <f t="shared" si="2"/>
        <v>0</v>
      </c>
      <c r="R37" s="16">
        <f t="shared" si="10"/>
        <v>0</v>
      </c>
      <c r="S37" s="17">
        <f t="shared" si="11"/>
        <v>0</v>
      </c>
    </row>
    <row r="38" spans="3:19" ht="49" thickTop="1" thickBot="1" x14ac:dyDescent="0.6">
      <c r="D38" s="30"/>
      <c r="H38" s="15" t="str">
        <f t="shared" si="0"/>
        <v>NA</v>
      </c>
      <c r="I38" s="16">
        <f t="shared" si="3"/>
        <v>0</v>
      </c>
      <c r="J38" s="16">
        <f t="shared" si="4"/>
        <v>0</v>
      </c>
      <c r="K38" s="16">
        <f t="shared" si="5"/>
        <v>0</v>
      </c>
      <c r="L38" s="16">
        <f t="shared" si="6"/>
        <v>0</v>
      </c>
      <c r="M38" s="16">
        <f t="shared" si="7"/>
        <v>0</v>
      </c>
      <c r="N38" s="16">
        <f t="shared" si="8"/>
        <v>0</v>
      </c>
      <c r="O38" s="16">
        <f t="shared" si="9"/>
        <v>0</v>
      </c>
      <c r="P38" s="16">
        <f t="shared" si="1"/>
        <v>0</v>
      </c>
      <c r="Q38" s="17">
        <f t="shared" si="2"/>
        <v>0</v>
      </c>
      <c r="R38" s="16">
        <f t="shared" si="10"/>
        <v>0</v>
      </c>
      <c r="S38" s="17">
        <f t="shared" si="11"/>
        <v>0</v>
      </c>
    </row>
    <row r="39" spans="3:19" ht="49" thickTop="1" thickBot="1" x14ac:dyDescent="0.6">
      <c r="H39" s="15" t="str">
        <f t="shared" si="0"/>
        <v>NA</v>
      </c>
      <c r="I39" s="16">
        <f t="shared" si="3"/>
        <v>0</v>
      </c>
      <c r="J39" s="16">
        <f t="shared" si="4"/>
        <v>0</v>
      </c>
      <c r="K39" s="16">
        <f t="shared" si="5"/>
        <v>0</v>
      </c>
      <c r="L39" s="16">
        <f t="shared" si="6"/>
        <v>0</v>
      </c>
      <c r="M39" s="16">
        <f t="shared" si="7"/>
        <v>0</v>
      </c>
      <c r="N39" s="16">
        <f t="shared" si="8"/>
        <v>0</v>
      </c>
      <c r="O39" s="16">
        <f t="shared" si="9"/>
        <v>0</v>
      </c>
      <c r="P39" s="16">
        <f t="shared" si="1"/>
        <v>0</v>
      </c>
      <c r="Q39" s="17">
        <f t="shared" si="2"/>
        <v>0</v>
      </c>
      <c r="R39" s="16">
        <f t="shared" si="10"/>
        <v>0</v>
      </c>
      <c r="S39" s="17">
        <f t="shared" si="11"/>
        <v>0</v>
      </c>
    </row>
    <row r="40" spans="3:19" ht="49" thickTop="1" thickBot="1" x14ac:dyDescent="0.6">
      <c r="C40" s="31"/>
      <c r="H40" s="15" t="str">
        <f t="shared" ref="H40:H71" si="12">IF(H39&lt;$D$13,H39+1, "NA")</f>
        <v>NA</v>
      </c>
      <c r="I40" s="16">
        <f t="shared" si="3"/>
        <v>0</v>
      </c>
      <c r="J40" s="16">
        <f t="shared" si="4"/>
        <v>0</v>
      </c>
      <c r="K40" s="16">
        <f t="shared" si="5"/>
        <v>0</v>
      </c>
      <c r="L40" s="16">
        <f t="shared" si="6"/>
        <v>0</v>
      </c>
      <c r="M40" s="16">
        <f t="shared" si="7"/>
        <v>0</v>
      </c>
      <c r="N40" s="16">
        <f t="shared" si="8"/>
        <v>0</v>
      </c>
      <c r="O40" s="16">
        <f t="shared" si="9"/>
        <v>0</v>
      </c>
      <c r="P40" s="16">
        <f t="shared" ref="P40:P71" si="13">IF(H40= "NA",0,P39*(1+$Q$5))</f>
        <v>0</v>
      </c>
      <c r="Q40" s="17">
        <f t="shared" ref="Q40:Q71" si="14">IF(H40= "NA",0,(O40-P40)/$D$17)</f>
        <v>0</v>
      </c>
      <c r="R40" s="16">
        <f t="shared" si="10"/>
        <v>0</v>
      </c>
      <c r="S40" s="17">
        <f t="shared" si="11"/>
        <v>0</v>
      </c>
    </row>
    <row r="41" spans="3:19" ht="49" thickTop="1" thickBot="1" x14ac:dyDescent="0.6">
      <c r="C41" s="66"/>
      <c r="D41" s="66"/>
      <c r="H41" s="15" t="str">
        <f t="shared" si="12"/>
        <v>NA</v>
      </c>
      <c r="I41" s="16">
        <f t="shared" si="3"/>
        <v>0</v>
      </c>
      <c r="J41" s="16">
        <f t="shared" si="4"/>
        <v>0</v>
      </c>
      <c r="K41" s="16">
        <f t="shared" si="5"/>
        <v>0</v>
      </c>
      <c r="L41" s="16">
        <f t="shared" si="6"/>
        <v>0</v>
      </c>
      <c r="M41" s="16">
        <f t="shared" si="7"/>
        <v>0</v>
      </c>
      <c r="N41" s="16">
        <f t="shared" si="8"/>
        <v>0</v>
      </c>
      <c r="O41" s="16">
        <f t="shared" si="9"/>
        <v>0</v>
      </c>
      <c r="P41" s="16">
        <f t="shared" si="13"/>
        <v>0</v>
      </c>
      <c r="Q41" s="17">
        <f t="shared" si="14"/>
        <v>0</v>
      </c>
      <c r="R41" s="16">
        <f t="shared" si="10"/>
        <v>0</v>
      </c>
      <c r="S41" s="17">
        <f t="shared" si="11"/>
        <v>0</v>
      </c>
    </row>
    <row r="42" spans="3:19" ht="49" thickTop="1" thickBot="1" x14ac:dyDescent="0.6">
      <c r="C42" s="63" t="s">
        <v>77</v>
      </c>
      <c r="D42" s="63"/>
      <c r="E42" s="63"/>
      <c r="H42" s="15" t="str">
        <f t="shared" si="12"/>
        <v>NA</v>
      </c>
      <c r="I42" s="16">
        <f t="shared" si="3"/>
        <v>0</v>
      </c>
      <c r="J42" s="16">
        <f t="shared" si="4"/>
        <v>0</v>
      </c>
      <c r="K42" s="16">
        <f t="shared" si="5"/>
        <v>0</v>
      </c>
      <c r="L42" s="16">
        <f t="shared" si="6"/>
        <v>0</v>
      </c>
      <c r="M42" s="16">
        <f t="shared" si="7"/>
        <v>0</v>
      </c>
      <c r="N42" s="16">
        <f t="shared" si="8"/>
        <v>0</v>
      </c>
      <c r="O42" s="16">
        <f t="shared" si="9"/>
        <v>0</v>
      </c>
      <c r="P42" s="16">
        <f t="shared" si="13"/>
        <v>0</v>
      </c>
      <c r="Q42" s="17">
        <f t="shared" si="14"/>
        <v>0</v>
      </c>
      <c r="R42" s="16">
        <f t="shared" si="10"/>
        <v>0</v>
      </c>
      <c r="S42" s="17">
        <f t="shared" si="11"/>
        <v>0</v>
      </c>
    </row>
    <row r="43" spans="3:19" ht="49" thickTop="1" thickBot="1" x14ac:dyDescent="0.6">
      <c r="C43" s="1" t="s">
        <v>69</v>
      </c>
      <c r="D43" s="59" t="s">
        <v>70</v>
      </c>
      <c r="E43" s="60"/>
      <c r="H43" s="15" t="str">
        <f t="shared" si="12"/>
        <v>NA</v>
      </c>
      <c r="I43" s="16">
        <f t="shared" si="3"/>
        <v>0</v>
      </c>
      <c r="J43" s="16">
        <f t="shared" si="4"/>
        <v>0</v>
      </c>
      <c r="K43" s="16">
        <f t="shared" si="5"/>
        <v>0</v>
      </c>
      <c r="L43" s="16">
        <f t="shared" si="6"/>
        <v>0</v>
      </c>
      <c r="M43" s="16">
        <f t="shared" si="7"/>
        <v>0</v>
      </c>
      <c r="N43" s="16">
        <f t="shared" si="8"/>
        <v>0</v>
      </c>
      <c r="O43" s="16">
        <f t="shared" si="9"/>
        <v>0</v>
      </c>
      <c r="P43" s="16">
        <f t="shared" si="13"/>
        <v>0</v>
      </c>
      <c r="Q43" s="17">
        <f t="shared" si="14"/>
        <v>0</v>
      </c>
      <c r="R43" s="16">
        <f t="shared" si="10"/>
        <v>0</v>
      </c>
      <c r="S43" s="17">
        <f t="shared" si="11"/>
        <v>0</v>
      </c>
    </row>
    <row r="44" spans="3:19" ht="49" thickTop="1" thickBot="1" x14ac:dyDescent="0.6">
      <c r="C44" s="2" t="s">
        <v>71</v>
      </c>
      <c r="D44" s="59" t="s">
        <v>72</v>
      </c>
      <c r="E44" s="60"/>
      <c r="H44" s="15" t="str">
        <f t="shared" si="12"/>
        <v>NA</v>
      </c>
      <c r="I44" s="16">
        <f t="shared" si="3"/>
        <v>0</v>
      </c>
      <c r="J44" s="16">
        <f t="shared" si="4"/>
        <v>0</v>
      </c>
      <c r="K44" s="16">
        <f t="shared" si="5"/>
        <v>0</v>
      </c>
      <c r="L44" s="16">
        <f t="shared" si="6"/>
        <v>0</v>
      </c>
      <c r="M44" s="16">
        <f t="shared" si="7"/>
        <v>0</v>
      </c>
      <c r="N44" s="16">
        <f t="shared" si="8"/>
        <v>0</v>
      </c>
      <c r="O44" s="16">
        <f t="shared" si="9"/>
        <v>0</v>
      </c>
      <c r="P44" s="16">
        <f t="shared" si="13"/>
        <v>0</v>
      </c>
      <c r="Q44" s="17">
        <f t="shared" si="14"/>
        <v>0</v>
      </c>
      <c r="R44" s="16">
        <f t="shared" si="10"/>
        <v>0</v>
      </c>
      <c r="S44" s="17">
        <f t="shared" si="11"/>
        <v>0</v>
      </c>
    </row>
    <row r="45" spans="3:19" ht="49" thickTop="1" thickBot="1" x14ac:dyDescent="0.6">
      <c r="C45" s="1" t="s">
        <v>73</v>
      </c>
      <c r="D45" s="61" t="s">
        <v>74</v>
      </c>
      <c r="E45" s="62"/>
      <c r="H45" s="15" t="str">
        <f t="shared" si="12"/>
        <v>NA</v>
      </c>
      <c r="I45" s="16">
        <f t="shared" si="3"/>
        <v>0</v>
      </c>
      <c r="J45" s="16">
        <f t="shared" si="4"/>
        <v>0</v>
      </c>
      <c r="K45" s="16">
        <f t="shared" si="5"/>
        <v>0</v>
      </c>
      <c r="L45" s="16">
        <f t="shared" si="6"/>
        <v>0</v>
      </c>
      <c r="M45" s="16">
        <f t="shared" si="7"/>
        <v>0</v>
      </c>
      <c r="N45" s="16">
        <f t="shared" si="8"/>
        <v>0</v>
      </c>
      <c r="O45" s="16">
        <f t="shared" si="9"/>
        <v>0</v>
      </c>
      <c r="P45" s="16">
        <f t="shared" si="13"/>
        <v>0</v>
      </c>
      <c r="Q45" s="17">
        <f t="shared" si="14"/>
        <v>0</v>
      </c>
      <c r="R45" s="16">
        <f t="shared" si="10"/>
        <v>0</v>
      </c>
      <c r="S45" s="17">
        <f t="shared" si="11"/>
        <v>0</v>
      </c>
    </row>
    <row r="46" spans="3:19" ht="49" thickTop="1" thickBot="1" x14ac:dyDescent="0.6">
      <c r="C46" s="70" t="s">
        <v>75</v>
      </c>
      <c r="D46" s="71" t="s">
        <v>76</v>
      </c>
      <c r="E46" s="72"/>
      <c r="H46" s="15" t="str">
        <f t="shared" si="12"/>
        <v>NA</v>
      </c>
      <c r="I46" s="16">
        <f t="shared" si="3"/>
        <v>0</v>
      </c>
      <c r="J46" s="16">
        <f t="shared" si="4"/>
        <v>0</v>
      </c>
      <c r="K46" s="16">
        <f t="shared" si="5"/>
        <v>0</v>
      </c>
      <c r="L46" s="16">
        <f t="shared" si="6"/>
        <v>0</v>
      </c>
      <c r="M46" s="16">
        <f t="shared" si="7"/>
        <v>0</v>
      </c>
      <c r="N46" s="16">
        <f t="shared" si="8"/>
        <v>0</v>
      </c>
      <c r="O46" s="16">
        <f t="shared" si="9"/>
        <v>0</v>
      </c>
      <c r="P46" s="16">
        <f t="shared" si="13"/>
        <v>0</v>
      </c>
      <c r="Q46" s="17">
        <f t="shared" si="14"/>
        <v>0</v>
      </c>
      <c r="R46" s="16">
        <f t="shared" si="10"/>
        <v>0</v>
      </c>
      <c r="S46" s="17">
        <f t="shared" si="11"/>
        <v>0</v>
      </c>
    </row>
    <row r="47" spans="3:19" ht="49" thickTop="1" thickBot="1" x14ac:dyDescent="0.6">
      <c r="C47" s="73" t="s">
        <v>78</v>
      </c>
      <c r="D47" s="74" t="s">
        <v>80</v>
      </c>
      <c r="E47" s="74"/>
      <c r="H47" s="15" t="str">
        <f t="shared" si="12"/>
        <v>NA</v>
      </c>
      <c r="I47" s="16">
        <f t="shared" si="3"/>
        <v>0</v>
      </c>
      <c r="J47" s="16">
        <f t="shared" si="4"/>
        <v>0</v>
      </c>
      <c r="K47" s="16">
        <f t="shared" si="5"/>
        <v>0</v>
      </c>
      <c r="L47" s="16">
        <f t="shared" si="6"/>
        <v>0</v>
      </c>
      <c r="M47" s="16">
        <f t="shared" si="7"/>
        <v>0</v>
      </c>
      <c r="N47" s="16">
        <f t="shared" si="8"/>
        <v>0</v>
      </c>
      <c r="O47" s="16">
        <f t="shared" si="9"/>
        <v>0</v>
      </c>
      <c r="P47" s="16">
        <f t="shared" si="13"/>
        <v>0</v>
      </c>
      <c r="Q47" s="17">
        <f t="shared" si="14"/>
        <v>0</v>
      </c>
      <c r="R47" s="16">
        <f t="shared" si="10"/>
        <v>0</v>
      </c>
      <c r="S47" s="17">
        <f t="shared" si="11"/>
        <v>0</v>
      </c>
    </row>
    <row r="48" spans="3:19" ht="49" thickTop="1" thickBot="1" x14ac:dyDescent="0.6">
      <c r="C48" s="73" t="s">
        <v>79</v>
      </c>
      <c r="D48" s="74" t="s">
        <v>81</v>
      </c>
      <c r="E48" s="74"/>
      <c r="H48" s="15" t="str">
        <f t="shared" si="12"/>
        <v>NA</v>
      </c>
      <c r="I48" s="16">
        <f t="shared" si="3"/>
        <v>0</v>
      </c>
      <c r="J48" s="16">
        <f t="shared" si="4"/>
        <v>0</v>
      </c>
      <c r="K48" s="16">
        <f t="shared" si="5"/>
        <v>0</v>
      </c>
      <c r="L48" s="16">
        <f t="shared" si="6"/>
        <v>0</v>
      </c>
      <c r="M48" s="16">
        <f t="shared" si="7"/>
        <v>0</v>
      </c>
      <c r="N48" s="16">
        <f t="shared" si="8"/>
        <v>0</v>
      </c>
      <c r="O48" s="16">
        <f t="shared" si="9"/>
        <v>0</v>
      </c>
      <c r="P48" s="16">
        <f t="shared" si="13"/>
        <v>0</v>
      </c>
      <c r="Q48" s="17">
        <f t="shared" si="14"/>
        <v>0</v>
      </c>
      <c r="R48" s="16">
        <f t="shared" si="10"/>
        <v>0</v>
      </c>
      <c r="S48" s="17">
        <f t="shared" si="11"/>
        <v>0</v>
      </c>
    </row>
    <row r="49" spans="8:19" ht="49" thickTop="1" thickBot="1" x14ac:dyDescent="0.6">
      <c r="H49" s="15" t="str">
        <f t="shared" si="12"/>
        <v>NA</v>
      </c>
      <c r="I49" s="16">
        <f t="shared" si="3"/>
        <v>0</v>
      </c>
      <c r="J49" s="16">
        <f t="shared" si="4"/>
        <v>0</v>
      </c>
      <c r="K49" s="16">
        <f t="shared" si="5"/>
        <v>0</v>
      </c>
      <c r="L49" s="16">
        <f t="shared" si="6"/>
        <v>0</v>
      </c>
      <c r="M49" s="16">
        <f t="shared" si="7"/>
        <v>0</v>
      </c>
      <c r="N49" s="16">
        <f t="shared" si="8"/>
        <v>0</v>
      </c>
      <c r="O49" s="16">
        <f t="shared" si="9"/>
        <v>0</v>
      </c>
      <c r="P49" s="16">
        <f t="shared" si="13"/>
        <v>0</v>
      </c>
      <c r="Q49" s="17">
        <f t="shared" si="14"/>
        <v>0</v>
      </c>
      <c r="R49" s="16">
        <f t="shared" si="10"/>
        <v>0</v>
      </c>
      <c r="S49" s="17">
        <f t="shared" si="11"/>
        <v>0</v>
      </c>
    </row>
    <row r="50" spans="8:19" ht="49" thickTop="1" thickBot="1" x14ac:dyDescent="0.6">
      <c r="H50" s="15" t="str">
        <f t="shared" si="12"/>
        <v>NA</v>
      </c>
      <c r="I50" s="16">
        <f t="shared" si="3"/>
        <v>0</v>
      </c>
      <c r="J50" s="16">
        <f t="shared" si="4"/>
        <v>0</v>
      </c>
      <c r="K50" s="16">
        <f t="shared" si="5"/>
        <v>0</v>
      </c>
      <c r="L50" s="16">
        <f t="shared" si="6"/>
        <v>0</v>
      </c>
      <c r="M50" s="16">
        <f t="shared" si="7"/>
        <v>0</v>
      </c>
      <c r="N50" s="16">
        <f t="shared" si="8"/>
        <v>0</v>
      </c>
      <c r="O50" s="16">
        <f t="shared" si="9"/>
        <v>0</v>
      </c>
      <c r="P50" s="16">
        <f t="shared" si="13"/>
        <v>0</v>
      </c>
      <c r="Q50" s="17">
        <f t="shared" si="14"/>
        <v>0</v>
      </c>
      <c r="R50" s="16">
        <f t="shared" si="10"/>
        <v>0</v>
      </c>
      <c r="S50" s="17">
        <f t="shared" si="11"/>
        <v>0</v>
      </c>
    </row>
    <row r="51" spans="8:19" ht="49" thickTop="1" thickBot="1" x14ac:dyDescent="0.6">
      <c r="H51" s="15" t="str">
        <f t="shared" si="12"/>
        <v>NA</v>
      </c>
      <c r="I51" s="16">
        <f t="shared" si="3"/>
        <v>0</v>
      </c>
      <c r="J51" s="16">
        <f t="shared" si="4"/>
        <v>0</v>
      </c>
      <c r="K51" s="16">
        <f t="shared" si="5"/>
        <v>0</v>
      </c>
      <c r="L51" s="16">
        <f t="shared" si="6"/>
        <v>0</v>
      </c>
      <c r="M51" s="16">
        <f t="shared" si="7"/>
        <v>0</v>
      </c>
      <c r="N51" s="16">
        <f t="shared" si="8"/>
        <v>0</v>
      </c>
      <c r="O51" s="16">
        <f t="shared" si="9"/>
        <v>0</v>
      </c>
      <c r="P51" s="16">
        <f t="shared" si="13"/>
        <v>0</v>
      </c>
      <c r="Q51" s="17">
        <f t="shared" si="14"/>
        <v>0</v>
      </c>
      <c r="R51" s="16">
        <f t="shared" si="10"/>
        <v>0</v>
      </c>
      <c r="S51" s="17">
        <f t="shared" si="11"/>
        <v>0</v>
      </c>
    </row>
    <row r="52" spans="8:19" ht="49" thickTop="1" thickBot="1" x14ac:dyDescent="0.6">
      <c r="H52" s="15" t="str">
        <f t="shared" si="12"/>
        <v>NA</v>
      </c>
      <c r="I52" s="16">
        <f t="shared" si="3"/>
        <v>0</v>
      </c>
      <c r="J52" s="16">
        <f t="shared" si="4"/>
        <v>0</v>
      </c>
      <c r="K52" s="16">
        <f t="shared" si="5"/>
        <v>0</v>
      </c>
      <c r="L52" s="16">
        <f t="shared" si="6"/>
        <v>0</v>
      </c>
      <c r="M52" s="16">
        <f t="shared" si="7"/>
        <v>0</v>
      </c>
      <c r="N52" s="16">
        <f t="shared" si="8"/>
        <v>0</v>
      </c>
      <c r="O52" s="16">
        <f t="shared" si="9"/>
        <v>0</v>
      </c>
      <c r="P52" s="16">
        <f t="shared" si="13"/>
        <v>0</v>
      </c>
      <c r="Q52" s="17">
        <f t="shared" si="14"/>
        <v>0</v>
      </c>
      <c r="R52" s="16">
        <f t="shared" si="10"/>
        <v>0</v>
      </c>
      <c r="S52" s="17">
        <f t="shared" si="11"/>
        <v>0</v>
      </c>
    </row>
    <row r="53" spans="8:19" ht="49" thickTop="1" thickBot="1" x14ac:dyDescent="0.6">
      <c r="H53" s="15" t="str">
        <f t="shared" si="12"/>
        <v>NA</v>
      </c>
      <c r="I53" s="16">
        <f t="shared" si="3"/>
        <v>0</v>
      </c>
      <c r="J53" s="16">
        <f t="shared" si="4"/>
        <v>0</v>
      </c>
      <c r="K53" s="16">
        <f t="shared" si="5"/>
        <v>0</v>
      </c>
      <c r="L53" s="16">
        <f t="shared" si="6"/>
        <v>0</v>
      </c>
      <c r="M53" s="16">
        <f t="shared" si="7"/>
        <v>0</v>
      </c>
      <c r="N53" s="16">
        <f t="shared" si="8"/>
        <v>0</v>
      </c>
      <c r="O53" s="16">
        <f t="shared" si="9"/>
        <v>0</v>
      </c>
      <c r="P53" s="16">
        <f t="shared" si="13"/>
        <v>0</v>
      </c>
      <c r="Q53" s="17">
        <f t="shared" si="14"/>
        <v>0</v>
      </c>
      <c r="R53" s="16">
        <f t="shared" si="10"/>
        <v>0</v>
      </c>
      <c r="S53" s="17">
        <f t="shared" si="11"/>
        <v>0</v>
      </c>
    </row>
    <row r="54" spans="8:19" ht="49" thickTop="1" thickBot="1" x14ac:dyDescent="0.6">
      <c r="H54" s="15" t="str">
        <f t="shared" si="12"/>
        <v>NA</v>
      </c>
      <c r="I54" s="16">
        <f t="shared" si="3"/>
        <v>0</v>
      </c>
      <c r="J54" s="16">
        <f t="shared" si="4"/>
        <v>0</v>
      </c>
      <c r="K54" s="16">
        <f t="shared" si="5"/>
        <v>0</v>
      </c>
      <c r="L54" s="16">
        <f t="shared" si="6"/>
        <v>0</v>
      </c>
      <c r="M54" s="16">
        <f t="shared" si="7"/>
        <v>0</v>
      </c>
      <c r="N54" s="16">
        <f t="shared" si="8"/>
        <v>0</v>
      </c>
      <c r="O54" s="16">
        <f t="shared" si="9"/>
        <v>0</v>
      </c>
      <c r="P54" s="16">
        <f t="shared" si="13"/>
        <v>0</v>
      </c>
      <c r="Q54" s="17">
        <f t="shared" si="14"/>
        <v>0</v>
      </c>
      <c r="R54" s="16">
        <f t="shared" si="10"/>
        <v>0</v>
      </c>
      <c r="S54" s="17">
        <f t="shared" si="11"/>
        <v>0</v>
      </c>
    </row>
    <row r="55" spans="8:19" ht="49" thickTop="1" thickBot="1" x14ac:dyDescent="0.6">
      <c r="H55" s="15" t="str">
        <f t="shared" si="12"/>
        <v>NA</v>
      </c>
      <c r="I55" s="16">
        <f t="shared" si="3"/>
        <v>0</v>
      </c>
      <c r="J55" s="16">
        <f t="shared" si="4"/>
        <v>0</v>
      </c>
      <c r="K55" s="16">
        <f t="shared" si="5"/>
        <v>0</v>
      </c>
      <c r="L55" s="16">
        <f t="shared" si="6"/>
        <v>0</v>
      </c>
      <c r="M55" s="16">
        <f t="shared" si="7"/>
        <v>0</v>
      </c>
      <c r="N55" s="16">
        <f t="shared" si="8"/>
        <v>0</v>
      </c>
      <c r="O55" s="16">
        <f t="shared" si="9"/>
        <v>0</v>
      </c>
      <c r="P55" s="16">
        <f t="shared" si="13"/>
        <v>0</v>
      </c>
      <c r="Q55" s="17">
        <f t="shared" si="14"/>
        <v>0</v>
      </c>
      <c r="R55" s="16">
        <f t="shared" si="10"/>
        <v>0</v>
      </c>
      <c r="S55" s="17">
        <f t="shared" si="11"/>
        <v>0</v>
      </c>
    </row>
    <row r="56" spans="8:19" ht="49" thickTop="1" thickBot="1" x14ac:dyDescent="0.6">
      <c r="H56" s="15" t="str">
        <f t="shared" si="12"/>
        <v>NA</v>
      </c>
      <c r="I56" s="16">
        <f t="shared" si="3"/>
        <v>0</v>
      </c>
      <c r="J56" s="16">
        <f t="shared" si="4"/>
        <v>0</v>
      </c>
      <c r="K56" s="16">
        <f t="shared" si="5"/>
        <v>0</v>
      </c>
      <c r="L56" s="16">
        <f t="shared" si="6"/>
        <v>0</v>
      </c>
      <c r="M56" s="16">
        <f t="shared" si="7"/>
        <v>0</v>
      </c>
      <c r="N56" s="16">
        <f t="shared" si="8"/>
        <v>0</v>
      </c>
      <c r="O56" s="16">
        <f t="shared" si="9"/>
        <v>0</v>
      </c>
      <c r="P56" s="16">
        <f t="shared" si="13"/>
        <v>0</v>
      </c>
      <c r="Q56" s="17">
        <f t="shared" si="14"/>
        <v>0</v>
      </c>
      <c r="R56" s="16">
        <f t="shared" si="10"/>
        <v>0</v>
      </c>
      <c r="S56" s="17">
        <f t="shared" si="11"/>
        <v>0</v>
      </c>
    </row>
    <row r="57" spans="8:19" ht="49" thickTop="1" thickBot="1" x14ac:dyDescent="0.6">
      <c r="H57" s="15" t="str">
        <f t="shared" si="12"/>
        <v>NA</v>
      </c>
      <c r="I57" s="16">
        <f t="shared" si="3"/>
        <v>0</v>
      </c>
      <c r="J57" s="16">
        <f t="shared" si="4"/>
        <v>0</v>
      </c>
      <c r="K57" s="16">
        <f t="shared" si="5"/>
        <v>0</v>
      </c>
      <c r="L57" s="16">
        <f t="shared" si="6"/>
        <v>0</v>
      </c>
      <c r="M57" s="16">
        <f t="shared" si="7"/>
        <v>0</v>
      </c>
      <c r="N57" s="16">
        <f t="shared" si="8"/>
        <v>0</v>
      </c>
      <c r="O57" s="16">
        <f t="shared" si="9"/>
        <v>0</v>
      </c>
      <c r="P57" s="16">
        <f t="shared" si="13"/>
        <v>0</v>
      </c>
      <c r="Q57" s="17">
        <f t="shared" si="14"/>
        <v>0</v>
      </c>
      <c r="R57" s="16">
        <f t="shared" si="10"/>
        <v>0</v>
      </c>
      <c r="S57" s="17">
        <f t="shared" si="11"/>
        <v>0</v>
      </c>
    </row>
    <row r="58" spans="8:19" ht="49" thickTop="1" thickBot="1" x14ac:dyDescent="0.6">
      <c r="H58" s="15" t="str">
        <f t="shared" si="12"/>
        <v>NA</v>
      </c>
      <c r="I58" s="16">
        <f t="shared" si="3"/>
        <v>0</v>
      </c>
      <c r="J58" s="16">
        <f t="shared" si="4"/>
        <v>0</v>
      </c>
      <c r="K58" s="16">
        <f t="shared" si="5"/>
        <v>0</v>
      </c>
      <c r="L58" s="16">
        <f t="shared" si="6"/>
        <v>0</v>
      </c>
      <c r="M58" s="16">
        <f t="shared" si="7"/>
        <v>0</v>
      </c>
      <c r="N58" s="16">
        <f t="shared" si="8"/>
        <v>0</v>
      </c>
      <c r="O58" s="16">
        <f t="shared" si="9"/>
        <v>0</v>
      </c>
      <c r="P58" s="16">
        <f t="shared" si="13"/>
        <v>0</v>
      </c>
      <c r="Q58" s="17">
        <f t="shared" si="14"/>
        <v>0</v>
      </c>
      <c r="R58" s="16">
        <f t="shared" si="10"/>
        <v>0</v>
      </c>
      <c r="S58" s="17">
        <f t="shared" si="11"/>
        <v>0</v>
      </c>
    </row>
    <row r="59" spans="8:19" ht="49" thickTop="1" thickBot="1" x14ac:dyDescent="0.6">
      <c r="H59" s="15" t="str">
        <f t="shared" si="12"/>
        <v>NA</v>
      </c>
      <c r="I59" s="16">
        <f t="shared" si="3"/>
        <v>0</v>
      </c>
      <c r="J59" s="16">
        <f t="shared" si="4"/>
        <v>0</v>
      </c>
      <c r="K59" s="16">
        <f t="shared" si="5"/>
        <v>0</v>
      </c>
      <c r="L59" s="16">
        <f t="shared" si="6"/>
        <v>0</v>
      </c>
      <c r="M59" s="16">
        <f t="shared" si="7"/>
        <v>0</v>
      </c>
      <c r="N59" s="16">
        <f t="shared" si="8"/>
        <v>0</v>
      </c>
      <c r="O59" s="16">
        <f t="shared" si="9"/>
        <v>0</v>
      </c>
      <c r="P59" s="16">
        <f t="shared" si="13"/>
        <v>0</v>
      </c>
      <c r="Q59" s="17">
        <f t="shared" si="14"/>
        <v>0</v>
      </c>
      <c r="R59" s="16">
        <f t="shared" si="10"/>
        <v>0</v>
      </c>
      <c r="S59" s="17">
        <f t="shared" si="11"/>
        <v>0</v>
      </c>
    </row>
    <row r="60" spans="8:19" ht="49" thickTop="1" thickBot="1" x14ac:dyDescent="0.6">
      <c r="H60" s="15" t="str">
        <f t="shared" si="12"/>
        <v>NA</v>
      </c>
      <c r="I60" s="16">
        <f t="shared" si="3"/>
        <v>0</v>
      </c>
      <c r="J60" s="16">
        <f t="shared" si="4"/>
        <v>0</v>
      </c>
      <c r="K60" s="16">
        <f t="shared" si="5"/>
        <v>0</v>
      </c>
      <c r="L60" s="16">
        <f t="shared" si="6"/>
        <v>0</v>
      </c>
      <c r="M60" s="16">
        <f t="shared" si="7"/>
        <v>0</v>
      </c>
      <c r="N60" s="16">
        <f t="shared" si="8"/>
        <v>0</v>
      </c>
      <c r="O60" s="16">
        <f t="shared" si="9"/>
        <v>0</v>
      </c>
      <c r="P60" s="16">
        <f t="shared" si="13"/>
        <v>0</v>
      </c>
      <c r="Q60" s="17">
        <f t="shared" si="14"/>
        <v>0</v>
      </c>
      <c r="R60" s="16">
        <f t="shared" si="10"/>
        <v>0</v>
      </c>
      <c r="S60" s="17">
        <f t="shared" si="11"/>
        <v>0</v>
      </c>
    </row>
    <row r="61" spans="8:19" ht="49" thickTop="1" thickBot="1" x14ac:dyDescent="0.6">
      <c r="H61" s="15" t="str">
        <f t="shared" si="12"/>
        <v>NA</v>
      </c>
      <c r="I61" s="16">
        <f t="shared" si="3"/>
        <v>0</v>
      </c>
      <c r="J61" s="16">
        <f t="shared" si="4"/>
        <v>0</v>
      </c>
      <c r="K61" s="16">
        <f t="shared" si="5"/>
        <v>0</v>
      </c>
      <c r="L61" s="16">
        <f t="shared" si="6"/>
        <v>0</v>
      </c>
      <c r="M61" s="16">
        <f t="shared" si="7"/>
        <v>0</v>
      </c>
      <c r="N61" s="16">
        <f t="shared" si="8"/>
        <v>0</v>
      </c>
      <c r="O61" s="16">
        <f t="shared" si="9"/>
        <v>0</v>
      </c>
      <c r="P61" s="16">
        <f t="shared" si="13"/>
        <v>0</v>
      </c>
      <c r="Q61" s="17">
        <f t="shared" si="14"/>
        <v>0</v>
      </c>
      <c r="R61" s="16">
        <f t="shared" si="10"/>
        <v>0</v>
      </c>
      <c r="S61" s="17">
        <f t="shared" si="11"/>
        <v>0</v>
      </c>
    </row>
    <row r="62" spans="8:19" ht="49" thickTop="1" thickBot="1" x14ac:dyDescent="0.6">
      <c r="H62" s="15" t="str">
        <f t="shared" si="12"/>
        <v>NA</v>
      </c>
      <c r="I62" s="16">
        <f t="shared" si="3"/>
        <v>0</v>
      </c>
      <c r="J62" s="16">
        <f t="shared" si="4"/>
        <v>0</v>
      </c>
      <c r="K62" s="16">
        <f t="shared" si="5"/>
        <v>0</v>
      </c>
      <c r="L62" s="16">
        <f t="shared" si="6"/>
        <v>0</v>
      </c>
      <c r="M62" s="16">
        <f t="shared" si="7"/>
        <v>0</v>
      </c>
      <c r="N62" s="16">
        <f t="shared" si="8"/>
        <v>0</v>
      </c>
      <c r="O62" s="16">
        <f t="shared" si="9"/>
        <v>0</v>
      </c>
      <c r="P62" s="16">
        <f t="shared" si="13"/>
        <v>0</v>
      </c>
      <c r="Q62" s="17">
        <f t="shared" si="14"/>
        <v>0</v>
      </c>
      <c r="R62" s="16">
        <f t="shared" si="10"/>
        <v>0</v>
      </c>
      <c r="S62" s="17">
        <f t="shared" si="11"/>
        <v>0</v>
      </c>
    </row>
    <row r="63" spans="8:19" ht="49" thickTop="1" thickBot="1" x14ac:dyDescent="0.6">
      <c r="H63" s="15" t="str">
        <f t="shared" si="12"/>
        <v>NA</v>
      </c>
      <c r="I63" s="16">
        <f t="shared" si="3"/>
        <v>0</v>
      </c>
      <c r="J63" s="16">
        <f t="shared" si="4"/>
        <v>0</v>
      </c>
      <c r="K63" s="16">
        <f t="shared" si="5"/>
        <v>0</v>
      </c>
      <c r="L63" s="16">
        <f t="shared" si="6"/>
        <v>0</v>
      </c>
      <c r="M63" s="16">
        <f t="shared" si="7"/>
        <v>0</v>
      </c>
      <c r="N63" s="16">
        <f t="shared" si="8"/>
        <v>0</v>
      </c>
      <c r="O63" s="16">
        <f t="shared" si="9"/>
        <v>0</v>
      </c>
      <c r="P63" s="16">
        <f t="shared" si="13"/>
        <v>0</v>
      </c>
      <c r="Q63" s="17">
        <f t="shared" si="14"/>
        <v>0</v>
      </c>
      <c r="R63" s="16">
        <f t="shared" si="10"/>
        <v>0</v>
      </c>
      <c r="S63" s="17">
        <f t="shared" si="11"/>
        <v>0</v>
      </c>
    </row>
    <row r="64" spans="8:19" ht="49" thickTop="1" thickBot="1" x14ac:dyDescent="0.6">
      <c r="H64" s="15" t="str">
        <f t="shared" si="12"/>
        <v>NA</v>
      </c>
      <c r="I64" s="16">
        <f t="shared" si="3"/>
        <v>0</v>
      </c>
      <c r="J64" s="16">
        <f t="shared" si="4"/>
        <v>0</v>
      </c>
      <c r="K64" s="16">
        <f t="shared" si="5"/>
        <v>0</v>
      </c>
      <c r="L64" s="16">
        <f t="shared" si="6"/>
        <v>0</v>
      </c>
      <c r="M64" s="16">
        <f t="shared" si="7"/>
        <v>0</v>
      </c>
      <c r="N64" s="16">
        <f t="shared" si="8"/>
        <v>0</v>
      </c>
      <c r="O64" s="16">
        <f t="shared" si="9"/>
        <v>0</v>
      </c>
      <c r="P64" s="16">
        <f t="shared" si="13"/>
        <v>0</v>
      </c>
      <c r="Q64" s="17">
        <f t="shared" si="14"/>
        <v>0</v>
      </c>
      <c r="R64" s="16">
        <f t="shared" si="10"/>
        <v>0</v>
      </c>
      <c r="S64" s="17">
        <f t="shared" si="11"/>
        <v>0</v>
      </c>
    </row>
    <row r="65" spans="8:19" ht="49" thickTop="1" thickBot="1" x14ac:dyDescent="0.6">
      <c r="H65" s="15" t="str">
        <f t="shared" si="12"/>
        <v>NA</v>
      </c>
      <c r="I65" s="16">
        <f t="shared" si="3"/>
        <v>0</v>
      </c>
      <c r="J65" s="16">
        <f t="shared" si="4"/>
        <v>0</v>
      </c>
      <c r="K65" s="16">
        <f t="shared" si="5"/>
        <v>0</v>
      </c>
      <c r="L65" s="16">
        <f t="shared" si="6"/>
        <v>0</v>
      </c>
      <c r="M65" s="16">
        <f t="shared" si="7"/>
        <v>0</v>
      </c>
      <c r="N65" s="16">
        <f t="shared" si="8"/>
        <v>0</v>
      </c>
      <c r="O65" s="16">
        <f t="shared" si="9"/>
        <v>0</v>
      </c>
      <c r="P65" s="16">
        <f t="shared" si="13"/>
        <v>0</v>
      </c>
      <c r="Q65" s="17">
        <f t="shared" si="14"/>
        <v>0</v>
      </c>
      <c r="R65" s="16">
        <f t="shared" si="10"/>
        <v>0</v>
      </c>
      <c r="S65" s="17">
        <f t="shared" si="11"/>
        <v>0</v>
      </c>
    </row>
    <row r="66" spans="8:19" ht="49" thickTop="1" thickBot="1" x14ac:dyDescent="0.6">
      <c r="H66" s="15" t="str">
        <f t="shared" si="12"/>
        <v>NA</v>
      </c>
      <c r="I66" s="16">
        <f t="shared" si="3"/>
        <v>0</v>
      </c>
      <c r="J66" s="16">
        <f t="shared" si="4"/>
        <v>0</v>
      </c>
      <c r="K66" s="16">
        <f t="shared" si="5"/>
        <v>0</v>
      </c>
      <c r="L66" s="16">
        <f t="shared" si="6"/>
        <v>0</v>
      </c>
      <c r="M66" s="16">
        <f t="shared" si="7"/>
        <v>0</v>
      </c>
      <c r="N66" s="16">
        <f t="shared" si="8"/>
        <v>0</v>
      </c>
      <c r="O66" s="16">
        <f t="shared" si="9"/>
        <v>0</v>
      </c>
      <c r="P66" s="16">
        <f t="shared" si="13"/>
        <v>0</v>
      </c>
      <c r="Q66" s="17">
        <f t="shared" si="14"/>
        <v>0</v>
      </c>
      <c r="R66" s="16">
        <f t="shared" si="10"/>
        <v>0</v>
      </c>
      <c r="S66" s="17">
        <f t="shared" si="11"/>
        <v>0</v>
      </c>
    </row>
    <row r="67" spans="8:19" ht="49" thickTop="1" thickBot="1" x14ac:dyDescent="0.6">
      <c r="H67" s="15" t="str">
        <f t="shared" si="12"/>
        <v>NA</v>
      </c>
      <c r="I67" s="16">
        <f t="shared" si="3"/>
        <v>0</v>
      </c>
      <c r="J67" s="16">
        <f t="shared" si="4"/>
        <v>0</v>
      </c>
      <c r="K67" s="16">
        <f t="shared" si="5"/>
        <v>0</v>
      </c>
      <c r="L67" s="16">
        <f t="shared" si="6"/>
        <v>0</v>
      </c>
      <c r="M67" s="16">
        <f t="shared" si="7"/>
        <v>0</v>
      </c>
      <c r="N67" s="16">
        <f t="shared" si="8"/>
        <v>0</v>
      </c>
      <c r="O67" s="16">
        <f t="shared" si="9"/>
        <v>0</v>
      </c>
      <c r="P67" s="16">
        <f t="shared" si="13"/>
        <v>0</v>
      </c>
      <c r="Q67" s="17">
        <f t="shared" si="14"/>
        <v>0</v>
      </c>
      <c r="R67" s="16">
        <f t="shared" si="10"/>
        <v>0</v>
      </c>
      <c r="S67" s="17">
        <f t="shared" si="11"/>
        <v>0</v>
      </c>
    </row>
    <row r="68" spans="8:19" ht="49" thickTop="1" thickBot="1" x14ac:dyDescent="0.6">
      <c r="H68" s="15" t="str">
        <f t="shared" si="12"/>
        <v>NA</v>
      </c>
      <c r="I68" s="16">
        <f t="shared" si="3"/>
        <v>0</v>
      </c>
      <c r="J68" s="16">
        <f t="shared" si="4"/>
        <v>0</v>
      </c>
      <c r="K68" s="16">
        <f t="shared" si="5"/>
        <v>0</v>
      </c>
      <c r="L68" s="16">
        <f t="shared" si="6"/>
        <v>0</v>
      </c>
      <c r="M68" s="16">
        <f t="shared" si="7"/>
        <v>0</v>
      </c>
      <c r="N68" s="16">
        <f t="shared" si="8"/>
        <v>0</v>
      </c>
      <c r="O68" s="16">
        <f t="shared" si="9"/>
        <v>0</v>
      </c>
      <c r="P68" s="16">
        <f t="shared" si="13"/>
        <v>0</v>
      </c>
      <c r="Q68" s="17">
        <f t="shared" si="14"/>
        <v>0</v>
      </c>
      <c r="R68" s="16">
        <f t="shared" si="10"/>
        <v>0</v>
      </c>
      <c r="S68" s="17">
        <f t="shared" si="11"/>
        <v>0</v>
      </c>
    </row>
    <row r="69" spans="8:19" ht="49" thickTop="1" thickBot="1" x14ac:dyDescent="0.6">
      <c r="H69" s="15" t="str">
        <f t="shared" si="12"/>
        <v>NA</v>
      </c>
      <c r="I69" s="16">
        <f t="shared" si="3"/>
        <v>0</v>
      </c>
      <c r="J69" s="16">
        <f t="shared" si="4"/>
        <v>0</v>
      </c>
      <c r="K69" s="16">
        <f t="shared" si="5"/>
        <v>0</v>
      </c>
      <c r="L69" s="16">
        <f t="shared" si="6"/>
        <v>0</v>
      </c>
      <c r="M69" s="16">
        <f t="shared" si="7"/>
        <v>0</v>
      </c>
      <c r="N69" s="16">
        <f t="shared" si="8"/>
        <v>0</v>
      </c>
      <c r="O69" s="16">
        <f t="shared" si="9"/>
        <v>0</v>
      </c>
      <c r="P69" s="16">
        <f t="shared" si="13"/>
        <v>0</v>
      </c>
      <c r="Q69" s="17">
        <f t="shared" si="14"/>
        <v>0</v>
      </c>
      <c r="R69" s="16">
        <f t="shared" si="10"/>
        <v>0</v>
      </c>
      <c r="S69" s="17">
        <f t="shared" si="11"/>
        <v>0</v>
      </c>
    </row>
    <row r="70" spans="8:19" ht="49" thickTop="1" thickBot="1" x14ac:dyDescent="0.6">
      <c r="H70" s="15" t="str">
        <f t="shared" si="12"/>
        <v>NA</v>
      </c>
      <c r="I70" s="16">
        <f t="shared" si="3"/>
        <v>0</v>
      </c>
      <c r="J70" s="16">
        <f t="shared" si="4"/>
        <v>0</v>
      </c>
      <c r="K70" s="16">
        <f t="shared" si="5"/>
        <v>0</v>
      </c>
      <c r="L70" s="16">
        <f t="shared" si="6"/>
        <v>0</v>
      </c>
      <c r="M70" s="16">
        <f t="shared" si="7"/>
        <v>0</v>
      </c>
      <c r="N70" s="16">
        <f t="shared" si="8"/>
        <v>0</v>
      </c>
      <c r="O70" s="16">
        <f t="shared" si="9"/>
        <v>0</v>
      </c>
      <c r="P70" s="16">
        <f t="shared" si="13"/>
        <v>0</v>
      </c>
      <c r="Q70" s="17">
        <f t="shared" si="14"/>
        <v>0</v>
      </c>
      <c r="R70" s="16">
        <f t="shared" si="10"/>
        <v>0</v>
      </c>
      <c r="S70" s="17">
        <f t="shared" si="11"/>
        <v>0</v>
      </c>
    </row>
    <row r="71" spans="8:19" ht="49" thickTop="1" thickBot="1" x14ac:dyDescent="0.6">
      <c r="H71" s="15" t="str">
        <f t="shared" si="12"/>
        <v>NA</v>
      </c>
      <c r="I71" s="16">
        <f t="shared" si="3"/>
        <v>0</v>
      </c>
      <c r="J71" s="16">
        <f t="shared" si="4"/>
        <v>0</v>
      </c>
      <c r="K71" s="16">
        <f t="shared" si="5"/>
        <v>0</v>
      </c>
      <c r="L71" s="16">
        <f t="shared" si="6"/>
        <v>0</v>
      </c>
      <c r="M71" s="16">
        <f t="shared" si="7"/>
        <v>0</v>
      </c>
      <c r="N71" s="16">
        <f t="shared" si="8"/>
        <v>0</v>
      </c>
      <c r="O71" s="16">
        <f t="shared" si="9"/>
        <v>0</v>
      </c>
      <c r="P71" s="16">
        <f t="shared" si="13"/>
        <v>0</v>
      </c>
      <c r="Q71" s="17">
        <f t="shared" si="14"/>
        <v>0</v>
      </c>
      <c r="R71" s="16">
        <f t="shared" si="10"/>
        <v>0</v>
      </c>
      <c r="S71" s="17">
        <f t="shared" si="11"/>
        <v>0</v>
      </c>
    </row>
    <row r="72" spans="8:19" ht="49" thickTop="1" thickBot="1" x14ac:dyDescent="0.6">
      <c r="H72" s="15" t="str">
        <f t="shared" ref="H72:H95" si="15">IF(H71&lt;$D$13,H71+1, "NA")</f>
        <v>NA</v>
      </c>
      <c r="I72" s="16">
        <f t="shared" si="3"/>
        <v>0</v>
      </c>
      <c r="J72" s="16">
        <f t="shared" si="4"/>
        <v>0</v>
      </c>
      <c r="K72" s="16">
        <f t="shared" si="5"/>
        <v>0</v>
      </c>
      <c r="L72" s="16">
        <f t="shared" si="6"/>
        <v>0</v>
      </c>
      <c r="M72" s="16">
        <f t="shared" si="7"/>
        <v>0</v>
      </c>
      <c r="N72" s="16">
        <f t="shared" si="8"/>
        <v>0</v>
      </c>
      <c r="O72" s="16">
        <f t="shared" si="9"/>
        <v>0</v>
      </c>
      <c r="P72" s="16">
        <f t="shared" ref="P72:P95" si="16">IF(H72= "NA",0,P71*(1+$Q$5))</f>
        <v>0</v>
      </c>
      <c r="Q72" s="17">
        <f t="shared" ref="Q72:Q95" si="17">IF(H72= "NA",0,(O72-P72)/$D$17)</f>
        <v>0</v>
      </c>
      <c r="R72" s="16">
        <f t="shared" si="10"/>
        <v>0</v>
      </c>
      <c r="S72" s="17">
        <f t="shared" si="11"/>
        <v>0</v>
      </c>
    </row>
    <row r="73" spans="8:19" ht="49" thickTop="1" thickBot="1" x14ac:dyDescent="0.6">
      <c r="H73" s="15" t="str">
        <f t="shared" si="15"/>
        <v>NA</v>
      </c>
      <c r="I73" s="16">
        <f t="shared" ref="I73:I95" si="18">IF(H73= "NA",0,I72*(1+$I$5))</f>
        <v>0</v>
      </c>
      <c r="J73" s="16">
        <f t="shared" ref="J73:J95" si="19">IF(H73= "NA",0,J72*(1+$K$5))</f>
        <v>0</v>
      </c>
      <c r="K73" s="16">
        <f t="shared" ref="K73:K95" si="20">IF(H73= "NA",0,I73-J73)</f>
        <v>0</v>
      </c>
      <c r="L73" s="16">
        <f t="shared" ref="L73:L95" si="21">IF(H73= "NA",0,K73*$M$5)</f>
        <v>0</v>
      </c>
      <c r="M73" s="16">
        <f t="shared" ref="M73:M95" si="22">IF(H73= "NA",0,K73-L73)</f>
        <v>0</v>
      </c>
      <c r="N73" s="16">
        <f t="shared" ref="N73:N95" si="23">IF(H73= "NA",0,M73*$O$5)</f>
        <v>0</v>
      </c>
      <c r="O73" s="16">
        <f t="shared" ref="O73:O95" si="24">IF(H73= "NA",0,K73-N73)</f>
        <v>0</v>
      </c>
      <c r="P73" s="16">
        <f t="shared" si="16"/>
        <v>0</v>
      </c>
      <c r="Q73" s="17">
        <f t="shared" si="17"/>
        <v>0</v>
      </c>
      <c r="R73" s="16">
        <f t="shared" ref="R73:R95" si="25">IF(H73= "NA",0,R72*(1+$S$5))</f>
        <v>0</v>
      </c>
      <c r="S73" s="17">
        <f t="shared" ref="S73:S95" si="26">IF(H73= "NA",0,(O73-P73)/R73)</f>
        <v>0</v>
      </c>
    </row>
    <row r="74" spans="8:19" ht="49" thickTop="1" thickBot="1" x14ac:dyDescent="0.6">
      <c r="H74" s="15" t="str">
        <f t="shared" si="15"/>
        <v>NA</v>
      </c>
      <c r="I74" s="16">
        <f t="shared" si="18"/>
        <v>0</v>
      </c>
      <c r="J74" s="16">
        <f t="shared" si="19"/>
        <v>0</v>
      </c>
      <c r="K74" s="16">
        <f t="shared" si="20"/>
        <v>0</v>
      </c>
      <c r="L74" s="16">
        <f t="shared" si="21"/>
        <v>0</v>
      </c>
      <c r="M74" s="16">
        <f t="shared" si="22"/>
        <v>0</v>
      </c>
      <c r="N74" s="16">
        <f t="shared" si="23"/>
        <v>0</v>
      </c>
      <c r="O74" s="16">
        <f t="shared" si="24"/>
        <v>0</v>
      </c>
      <c r="P74" s="16">
        <f t="shared" si="16"/>
        <v>0</v>
      </c>
      <c r="Q74" s="17">
        <f t="shared" si="17"/>
        <v>0</v>
      </c>
      <c r="R74" s="16">
        <f t="shared" si="25"/>
        <v>0</v>
      </c>
      <c r="S74" s="17">
        <f t="shared" si="26"/>
        <v>0</v>
      </c>
    </row>
    <row r="75" spans="8:19" ht="49" thickTop="1" thickBot="1" x14ac:dyDescent="0.6">
      <c r="H75" s="15" t="str">
        <f t="shared" si="15"/>
        <v>NA</v>
      </c>
      <c r="I75" s="16">
        <f t="shared" si="18"/>
        <v>0</v>
      </c>
      <c r="J75" s="16">
        <f t="shared" si="19"/>
        <v>0</v>
      </c>
      <c r="K75" s="16">
        <f t="shared" si="20"/>
        <v>0</v>
      </c>
      <c r="L75" s="16">
        <f t="shared" si="21"/>
        <v>0</v>
      </c>
      <c r="M75" s="16">
        <f t="shared" si="22"/>
        <v>0</v>
      </c>
      <c r="N75" s="16">
        <f t="shared" si="23"/>
        <v>0</v>
      </c>
      <c r="O75" s="16">
        <f t="shared" si="24"/>
        <v>0</v>
      </c>
      <c r="P75" s="16">
        <f t="shared" si="16"/>
        <v>0</v>
      </c>
      <c r="Q75" s="17">
        <f t="shared" si="17"/>
        <v>0</v>
      </c>
      <c r="R75" s="16">
        <f t="shared" si="25"/>
        <v>0</v>
      </c>
      <c r="S75" s="17">
        <f t="shared" si="26"/>
        <v>0</v>
      </c>
    </row>
    <row r="76" spans="8:19" ht="49" thickTop="1" thickBot="1" x14ac:dyDescent="0.6">
      <c r="H76" s="15" t="str">
        <f t="shared" si="15"/>
        <v>NA</v>
      </c>
      <c r="I76" s="16">
        <f t="shared" si="18"/>
        <v>0</v>
      </c>
      <c r="J76" s="16">
        <f t="shared" si="19"/>
        <v>0</v>
      </c>
      <c r="K76" s="16">
        <f t="shared" si="20"/>
        <v>0</v>
      </c>
      <c r="L76" s="16">
        <f t="shared" si="21"/>
        <v>0</v>
      </c>
      <c r="M76" s="16">
        <f t="shared" si="22"/>
        <v>0</v>
      </c>
      <c r="N76" s="16">
        <f t="shared" si="23"/>
        <v>0</v>
      </c>
      <c r="O76" s="16">
        <f t="shared" si="24"/>
        <v>0</v>
      </c>
      <c r="P76" s="16">
        <f t="shared" si="16"/>
        <v>0</v>
      </c>
      <c r="Q76" s="17">
        <f t="shared" si="17"/>
        <v>0</v>
      </c>
      <c r="R76" s="16">
        <f t="shared" si="25"/>
        <v>0</v>
      </c>
      <c r="S76" s="17">
        <f t="shared" si="26"/>
        <v>0</v>
      </c>
    </row>
    <row r="77" spans="8:19" ht="49" thickTop="1" thickBot="1" x14ac:dyDescent="0.6">
      <c r="H77" s="15" t="str">
        <f t="shared" si="15"/>
        <v>NA</v>
      </c>
      <c r="I77" s="16">
        <f t="shared" si="18"/>
        <v>0</v>
      </c>
      <c r="J77" s="16">
        <f t="shared" si="19"/>
        <v>0</v>
      </c>
      <c r="K77" s="16">
        <f t="shared" si="20"/>
        <v>0</v>
      </c>
      <c r="L77" s="16">
        <f t="shared" si="21"/>
        <v>0</v>
      </c>
      <c r="M77" s="16">
        <f t="shared" si="22"/>
        <v>0</v>
      </c>
      <c r="N77" s="16">
        <f t="shared" si="23"/>
        <v>0</v>
      </c>
      <c r="O77" s="16">
        <f t="shared" si="24"/>
        <v>0</v>
      </c>
      <c r="P77" s="16">
        <f t="shared" si="16"/>
        <v>0</v>
      </c>
      <c r="Q77" s="17">
        <f t="shared" si="17"/>
        <v>0</v>
      </c>
      <c r="R77" s="16">
        <f t="shared" si="25"/>
        <v>0</v>
      </c>
      <c r="S77" s="17">
        <f t="shared" si="26"/>
        <v>0</v>
      </c>
    </row>
    <row r="78" spans="8:19" ht="49" thickTop="1" thickBot="1" x14ac:dyDescent="0.6">
      <c r="H78" s="15" t="str">
        <f t="shared" si="15"/>
        <v>NA</v>
      </c>
      <c r="I78" s="16">
        <f t="shared" si="18"/>
        <v>0</v>
      </c>
      <c r="J78" s="16">
        <f t="shared" si="19"/>
        <v>0</v>
      </c>
      <c r="K78" s="16">
        <f t="shared" si="20"/>
        <v>0</v>
      </c>
      <c r="L78" s="16">
        <f t="shared" si="21"/>
        <v>0</v>
      </c>
      <c r="M78" s="16">
        <f t="shared" si="22"/>
        <v>0</v>
      </c>
      <c r="N78" s="16">
        <f t="shared" si="23"/>
        <v>0</v>
      </c>
      <c r="O78" s="16">
        <f t="shared" si="24"/>
        <v>0</v>
      </c>
      <c r="P78" s="16">
        <f t="shared" si="16"/>
        <v>0</v>
      </c>
      <c r="Q78" s="17">
        <f t="shared" si="17"/>
        <v>0</v>
      </c>
      <c r="R78" s="16">
        <f t="shared" si="25"/>
        <v>0</v>
      </c>
      <c r="S78" s="17">
        <f t="shared" si="26"/>
        <v>0</v>
      </c>
    </row>
    <row r="79" spans="8:19" ht="49" thickTop="1" thickBot="1" x14ac:dyDescent="0.6">
      <c r="H79" s="15" t="str">
        <f t="shared" si="15"/>
        <v>NA</v>
      </c>
      <c r="I79" s="16">
        <f t="shared" si="18"/>
        <v>0</v>
      </c>
      <c r="J79" s="16">
        <f t="shared" si="19"/>
        <v>0</v>
      </c>
      <c r="K79" s="16">
        <f t="shared" si="20"/>
        <v>0</v>
      </c>
      <c r="L79" s="16">
        <f t="shared" si="21"/>
        <v>0</v>
      </c>
      <c r="M79" s="16">
        <f t="shared" si="22"/>
        <v>0</v>
      </c>
      <c r="N79" s="16">
        <f t="shared" si="23"/>
        <v>0</v>
      </c>
      <c r="O79" s="16">
        <f t="shared" si="24"/>
        <v>0</v>
      </c>
      <c r="P79" s="16">
        <f t="shared" si="16"/>
        <v>0</v>
      </c>
      <c r="Q79" s="17">
        <f t="shared" si="17"/>
        <v>0</v>
      </c>
      <c r="R79" s="16">
        <f t="shared" si="25"/>
        <v>0</v>
      </c>
      <c r="S79" s="17">
        <f t="shared" si="26"/>
        <v>0</v>
      </c>
    </row>
    <row r="80" spans="8:19" ht="49" thickTop="1" thickBot="1" x14ac:dyDescent="0.6">
      <c r="H80" s="15" t="str">
        <f t="shared" si="15"/>
        <v>NA</v>
      </c>
      <c r="I80" s="16">
        <f t="shared" si="18"/>
        <v>0</v>
      </c>
      <c r="J80" s="16">
        <f t="shared" si="19"/>
        <v>0</v>
      </c>
      <c r="K80" s="16">
        <f t="shared" si="20"/>
        <v>0</v>
      </c>
      <c r="L80" s="16">
        <f t="shared" si="21"/>
        <v>0</v>
      </c>
      <c r="M80" s="16">
        <f t="shared" si="22"/>
        <v>0</v>
      </c>
      <c r="N80" s="16">
        <f t="shared" si="23"/>
        <v>0</v>
      </c>
      <c r="O80" s="16">
        <f t="shared" si="24"/>
        <v>0</v>
      </c>
      <c r="P80" s="16">
        <f t="shared" si="16"/>
        <v>0</v>
      </c>
      <c r="Q80" s="17">
        <f t="shared" si="17"/>
        <v>0</v>
      </c>
      <c r="R80" s="16">
        <f t="shared" si="25"/>
        <v>0</v>
      </c>
      <c r="S80" s="17">
        <f t="shared" si="26"/>
        <v>0</v>
      </c>
    </row>
    <row r="81" spans="8:19" ht="49" thickTop="1" thickBot="1" x14ac:dyDescent="0.6">
      <c r="H81" s="15" t="str">
        <f t="shared" si="15"/>
        <v>NA</v>
      </c>
      <c r="I81" s="16">
        <f t="shared" si="18"/>
        <v>0</v>
      </c>
      <c r="J81" s="16">
        <f t="shared" si="19"/>
        <v>0</v>
      </c>
      <c r="K81" s="16">
        <f t="shared" si="20"/>
        <v>0</v>
      </c>
      <c r="L81" s="16">
        <f t="shared" si="21"/>
        <v>0</v>
      </c>
      <c r="M81" s="16">
        <f t="shared" si="22"/>
        <v>0</v>
      </c>
      <c r="N81" s="16">
        <f t="shared" si="23"/>
        <v>0</v>
      </c>
      <c r="O81" s="16">
        <f t="shared" si="24"/>
        <v>0</v>
      </c>
      <c r="P81" s="16">
        <f t="shared" si="16"/>
        <v>0</v>
      </c>
      <c r="Q81" s="17">
        <f t="shared" si="17"/>
        <v>0</v>
      </c>
      <c r="R81" s="16">
        <f t="shared" si="25"/>
        <v>0</v>
      </c>
      <c r="S81" s="17">
        <f t="shared" si="26"/>
        <v>0</v>
      </c>
    </row>
    <row r="82" spans="8:19" ht="49" thickTop="1" thickBot="1" x14ac:dyDescent="0.6">
      <c r="H82" s="15" t="str">
        <f t="shared" si="15"/>
        <v>NA</v>
      </c>
      <c r="I82" s="16">
        <f t="shared" si="18"/>
        <v>0</v>
      </c>
      <c r="J82" s="16">
        <f t="shared" si="19"/>
        <v>0</v>
      </c>
      <c r="K82" s="16">
        <f t="shared" si="20"/>
        <v>0</v>
      </c>
      <c r="L82" s="16">
        <f t="shared" si="21"/>
        <v>0</v>
      </c>
      <c r="M82" s="16">
        <f t="shared" si="22"/>
        <v>0</v>
      </c>
      <c r="N82" s="16">
        <f t="shared" si="23"/>
        <v>0</v>
      </c>
      <c r="O82" s="16">
        <f t="shared" si="24"/>
        <v>0</v>
      </c>
      <c r="P82" s="16">
        <f t="shared" si="16"/>
        <v>0</v>
      </c>
      <c r="Q82" s="17">
        <f t="shared" si="17"/>
        <v>0</v>
      </c>
      <c r="R82" s="16">
        <f t="shared" si="25"/>
        <v>0</v>
      </c>
      <c r="S82" s="17">
        <f t="shared" si="26"/>
        <v>0</v>
      </c>
    </row>
    <row r="83" spans="8:19" ht="49" thickTop="1" thickBot="1" x14ac:dyDescent="0.6">
      <c r="H83" s="15" t="str">
        <f t="shared" si="15"/>
        <v>NA</v>
      </c>
      <c r="I83" s="16">
        <f t="shared" si="18"/>
        <v>0</v>
      </c>
      <c r="J83" s="16">
        <f t="shared" si="19"/>
        <v>0</v>
      </c>
      <c r="K83" s="16">
        <f t="shared" si="20"/>
        <v>0</v>
      </c>
      <c r="L83" s="16">
        <f t="shared" si="21"/>
        <v>0</v>
      </c>
      <c r="M83" s="16">
        <f t="shared" si="22"/>
        <v>0</v>
      </c>
      <c r="N83" s="16">
        <f t="shared" si="23"/>
        <v>0</v>
      </c>
      <c r="O83" s="16">
        <f t="shared" si="24"/>
        <v>0</v>
      </c>
      <c r="P83" s="16">
        <f t="shared" si="16"/>
        <v>0</v>
      </c>
      <c r="Q83" s="17">
        <f t="shared" si="17"/>
        <v>0</v>
      </c>
      <c r="R83" s="16">
        <f t="shared" si="25"/>
        <v>0</v>
      </c>
      <c r="S83" s="17">
        <f t="shared" si="26"/>
        <v>0</v>
      </c>
    </row>
    <row r="84" spans="8:19" ht="49" thickTop="1" thickBot="1" x14ac:dyDescent="0.6">
      <c r="H84" s="15" t="str">
        <f t="shared" si="15"/>
        <v>NA</v>
      </c>
      <c r="I84" s="16">
        <f t="shared" si="18"/>
        <v>0</v>
      </c>
      <c r="J84" s="16">
        <f t="shared" si="19"/>
        <v>0</v>
      </c>
      <c r="K84" s="16">
        <f t="shared" si="20"/>
        <v>0</v>
      </c>
      <c r="L84" s="16">
        <f t="shared" si="21"/>
        <v>0</v>
      </c>
      <c r="M84" s="16">
        <f t="shared" si="22"/>
        <v>0</v>
      </c>
      <c r="N84" s="16">
        <f t="shared" si="23"/>
        <v>0</v>
      </c>
      <c r="O84" s="16">
        <f t="shared" si="24"/>
        <v>0</v>
      </c>
      <c r="P84" s="16">
        <f t="shared" si="16"/>
        <v>0</v>
      </c>
      <c r="Q84" s="17">
        <f t="shared" si="17"/>
        <v>0</v>
      </c>
      <c r="R84" s="16">
        <f t="shared" si="25"/>
        <v>0</v>
      </c>
      <c r="S84" s="17">
        <f t="shared" si="26"/>
        <v>0</v>
      </c>
    </row>
    <row r="85" spans="8:19" ht="49" thickTop="1" thickBot="1" x14ac:dyDescent="0.6">
      <c r="H85" s="15" t="str">
        <f t="shared" si="15"/>
        <v>NA</v>
      </c>
      <c r="I85" s="16">
        <f t="shared" si="18"/>
        <v>0</v>
      </c>
      <c r="J85" s="16">
        <f t="shared" si="19"/>
        <v>0</v>
      </c>
      <c r="K85" s="16">
        <f t="shared" si="20"/>
        <v>0</v>
      </c>
      <c r="L85" s="16">
        <f t="shared" si="21"/>
        <v>0</v>
      </c>
      <c r="M85" s="16">
        <f t="shared" si="22"/>
        <v>0</v>
      </c>
      <c r="N85" s="16">
        <f t="shared" si="23"/>
        <v>0</v>
      </c>
      <c r="O85" s="16">
        <f t="shared" si="24"/>
        <v>0</v>
      </c>
      <c r="P85" s="16">
        <f t="shared" si="16"/>
        <v>0</v>
      </c>
      <c r="Q85" s="17">
        <f t="shared" si="17"/>
        <v>0</v>
      </c>
      <c r="R85" s="16">
        <f t="shared" si="25"/>
        <v>0</v>
      </c>
      <c r="S85" s="17">
        <f t="shared" si="26"/>
        <v>0</v>
      </c>
    </row>
    <row r="86" spans="8:19" ht="49" thickTop="1" thickBot="1" x14ac:dyDescent="0.6">
      <c r="H86" s="15" t="str">
        <f t="shared" si="15"/>
        <v>NA</v>
      </c>
      <c r="I86" s="16">
        <f t="shared" si="18"/>
        <v>0</v>
      </c>
      <c r="J86" s="16">
        <f t="shared" si="19"/>
        <v>0</v>
      </c>
      <c r="K86" s="16">
        <f t="shared" si="20"/>
        <v>0</v>
      </c>
      <c r="L86" s="16">
        <f t="shared" si="21"/>
        <v>0</v>
      </c>
      <c r="M86" s="16">
        <f t="shared" si="22"/>
        <v>0</v>
      </c>
      <c r="N86" s="16">
        <f t="shared" si="23"/>
        <v>0</v>
      </c>
      <c r="O86" s="16">
        <f t="shared" si="24"/>
        <v>0</v>
      </c>
      <c r="P86" s="16">
        <f t="shared" si="16"/>
        <v>0</v>
      </c>
      <c r="Q86" s="17">
        <f t="shared" si="17"/>
        <v>0</v>
      </c>
      <c r="R86" s="16">
        <f t="shared" si="25"/>
        <v>0</v>
      </c>
      <c r="S86" s="17">
        <f t="shared" si="26"/>
        <v>0</v>
      </c>
    </row>
    <row r="87" spans="8:19" ht="49" thickTop="1" thickBot="1" x14ac:dyDescent="0.6">
      <c r="H87" s="15" t="str">
        <f t="shared" si="15"/>
        <v>NA</v>
      </c>
      <c r="I87" s="16">
        <f t="shared" si="18"/>
        <v>0</v>
      </c>
      <c r="J87" s="16">
        <f t="shared" si="19"/>
        <v>0</v>
      </c>
      <c r="K87" s="16">
        <f t="shared" si="20"/>
        <v>0</v>
      </c>
      <c r="L87" s="16">
        <f t="shared" si="21"/>
        <v>0</v>
      </c>
      <c r="M87" s="16">
        <f t="shared" si="22"/>
        <v>0</v>
      </c>
      <c r="N87" s="16">
        <f t="shared" si="23"/>
        <v>0</v>
      </c>
      <c r="O87" s="16">
        <f t="shared" si="24"/>
        <v>0</v>
      </c>
      <c r="P87" s="16">
        <f t="shared" si="16"/>
        <v>0</v>
      </c>
      <c r="Q87" s="17">
        <f t="shared" si="17"/>
        <v>0</v>
      </c>
      <c r="R87" s="16">
        <f t="shared" si="25"/>
        <v>0</v>
      </c>
      <c r="S87" s="17">
        <f t="shared" si="26"/>
        <v>0</v>
      </c>
    </row>
    <row r="88" spans="8:19" ht="49" thickTop="1" thickBot="1" x14ac:dyDescent="0.6">
      <c r="H88" s="15" t="str">
        <f t="shared" si="15"/>
        <v>NA</v>
      </c>
      <c r="I88" s="16">
        <f t="shared" si="18"/>
        <v>0</v>
      </c>
      <c r="J88" s="16">
        <f t="shared" si="19"/>
        <v>0</v>
      </c>
      <c r="K88" s="16">
        <f t="shared" si="20"/>
        <v>0</v>
      </c>
      <c r="L88" s="16">
        <f t="shared" si="21"/>
        <v>0</v>
      </c>
      <c r="M88" s="16">
        <f t="shared" si="22"/>
        <v>0</v>
      </c>
      <c r="N88" s="16">
        <f t="shared" si="23"/>
        <v>0</v>
      </c>
      <c r="O88" s="16">
        <f t="shared" si="24"/>
        <v>0</v>
      </c>
      <c r="P88" s="16">
        <f t="shared" si="16"/>
        <v>0</v>
      </c>
      <c r="Q88" s="17">
        <f t="shared" si="17"/>
        <v>0</v>
      </c>
      <c r="R88" s="16">
        <f t="shared" si="25"/>
        <v>0</v>
      </c>
      <c r="S88" s="17">
        <f t="shared" si="26"/>
        <v>0</v>
      </c>
    </row>
    <row r="89" spans="8:19" ht="49" thickTop="1" thickBot="1" x14ac:dyDescent="0.6">
      <c r="H89" s="15" t="str">
        <f t="shared" si="15"/>
        <v>NA</v>
      </c>
      <c r="I89" s="16">
        <f t="shared" si="18"/>
        <v>0</v>
      </c>
      <c r="J89" s="16">
        <f t="shared" si="19"/>
        <v>0</v>
      </c>
      <c r="K89" s="16">
        <f t="shared" si="20"/>
        <v>0</v>
      </c>
      <c r="L89" s="16">
        <f t="shared" si="21"/>
        <v>0</v>
      </c>
      <c r="M89" s="16">
        <f t="shared" si="22"/>
        <v>0</v>
      </c>
      <c r="N89" s="16">
        <f t="shared" si="23"/>
        <v>0</v>
      </c>
      <c r="O89" s="16">
        <f t="shared" si="24"/>
        <v>0</v>
      </c>
      <c r="P89" s="16">
        <f t="shared" si="16"/>
        <v>0</v>
      </c>
      <c r="Q89" s="17">
        <f t="shared" si="17"/>
        <v>0</v>
      </c>
      <c r="R89" s="16">
        <f t="shared" si="25"/>
        <v>0</v>
      </c>
      <c r="S89" s="17">
        <f t="shared" si="26"/>
        <v>0</v>
      </c>
    </row>
    <row r="90" spans="8:19" ht="49" thickTop="1" thickBot="1" x14ac:dyDescent="0.6">
      <c r="H90" s="15" t="str">
        <f t="shared" si="15"/>
        <v>NA</v>
      </c>
      <c r="I90" s="16">
        <f t="shared" si="18"/>
        <v>0</v>
      </c>
      <c r="J90" s="16">
        <f t="shared" si="19"/>
        <v>0</v>
      </c>
      <c r="K90" s="16">
        <f t="shared" si="20"/>
        <v>0</v>
      </c>
      <c r="L90" s="16">
        <f t="shared" si="21"/>
        <v>0</v>
      </c>
      <c r="M90" s="16">
        <f t="shared" si="22"/>
        <v>0</v>
      </c>
      <c r="N90" s="16">
        <f t="shared" si="23"/>
        <v>0</v>
      </c>
      <c r="O90" s="16">
        <f t="shared" si="24"/>
        <v>0</v>
      </c>
      <c r="P90" s="16">
        <f t="shared" si="16"/>
        <v>0</v>
      </c>
      <c r="Q90" s="17">
        <f t="shared" si="17"/>
        <v>0</v>
      </c>
      <c r="R90" s="16">
        <f t="shared" si="25"/>
        <v>0</v>
      </c>
      <c r="S90" s="17">
        <f t="shared" si="26"/>
        <v>0</v>
      </c>
    </row>
    <row r="91" spans="8:19" ht="49" thickTop="1" thickBot="1" x14ac:dyDescent="0.6">
      <c r="H91" s="15" t="str">
        <f t="shared" si="15"/>
        <v>NA</v>
      </c>
      <c r="I91" s="16">
        <f t="shared" si="18"/>
        <v>0</v>
      </c>
      <c r="J91" s="16">
        <f t="shared" si="19"/>
        <v>0</v>
      </c>
      <c r="K91" s="16">
        <f t="shared" si="20"/>
        <v>0</v>
      </c>
      <c r="L91" s="16">
        <f t="shared" si="21"/>
        <v>0</v>
      </c>
      <c r="M91" s="16">
        <f t="shared" si="22"/>
        <v>0</v>
      </c>
      <c r="N91" s="16">
        <f t="shared" si="23"/>
        <v>0</v>
      </c>
      <c r="O91" s="16">
        <f t="shared" si="24"/>
        <v>0</v>
      </c>
      <c r="P91" s="16">
        <f t="shared" si="16"/>
        <v>0</v>
      </c>
      <c r="Q91" s="17">
        <f t="shared" si="17"/>
        <v>0</v>
      </c>
      <c r="R91" s="16">
        <f t="shared" si="25"/>
        <v>0</v>
      </c>
      <c r="S91" s="17">
        <f t="shared" si="26"/>
        <v>0</v>
      </c>
    </row>
    <row r="92" spans="8:19" ht="49" thickTop="1" thickBot="1" x14ac:dyDescent="0.6">
      <c r="H92" s="15" t="str">
        <f t="shared" si="15"/>
        <v>NA</v>
      </c>
      <c r="I92" s="16">
        <f t="shared" si="18"/>
        <v>0</v>
      </c>
      <c r="J92" s="16">
        <f t="shared" si="19"/>
        <v>0</v>
      </c>
      <c r="K92" s="16">
        <f t="shared" si="20"/>
        <v>0</v>
      </c>
      <c r="L92" s="16">
        <f t="shared" si="21"/>
        <v>0</v>
      </c>
      <c r="M92" s="16">
        <f t="shared" si="22"/>
        <v>0</v>
      </c>
      <c r="N92" s="16">
        <f t="shared" si="23"/>
        <v>0</v>
      </c>
      <c r="O92" s="16">
        <f t="shared" si="24"/>
        <v>0</v>
      </c>
      <c r="P92" s="16">
        <f t="shared" si="16"/>
        <v>0</v>
      </c>
      <c r="Q92" s="17">
        <f t="shared" si="17"/>
        <v>0</v>
      </c>
      <c r="R92" s="16">
        <f t="shared" si="25"/>
        <v>0</v>
      </c>
      <c r="S92" s="17">
        <f t="shared" si="26"/>
        <v>0</v>
      </c>
    </row>
    <row r="93" spans="8:19" ht="49" thickTop="1" thickBot="1" x14ac:dyDescent="0.6">
      <c r="H93" s="15" t="str">
        <f t="shared" si="15"/>
        <v>NA</v>
      </c>
      <c r="I93" s="16">
        <f t="shared" si="18"/>
        <v>0</v>
      </c>
      <c r="J93" s="16">
        <f t="shared" si="19"/>
        <v>0</v>
      </c>
      <c r="K93" s="16">
        <f t="shared" si="20"/>
        <v>0</v>
      </c>
      <c r="L93" s="16">
        <f t="shared" si="21"/>
        <v>0</v>
      </c>
      <c r="M93" s="16">
        <f t="shared" si="22"/>
        <v>0</v>
      </c>
      <c r="N93" s="16">
        <f t="shared" si="23"/>
        <v>0</v>
      </c>
      <c r="O93" s="16">
        <f t="shared" si="24"/>
        <v>0</v>
      </c>
      <c r="P93" s="16">
        <f t="shared" si="16"/>
        <v>0</v>
      </c>
      <c r="Q93" s="17">
        <f t="shared" si="17"/>
        <v>0</v>
      </c>
      <c r="R93" s="16">
        <f t="shared" si="25"/>
        <v>0</v>
      </c>
      <c r="S93" s="17">
        <f t="shared" si="26"/>
        <v>0</v>
      </c>
    </row>
    <row r="94" spans="8:19" ht="49" thickTop="1" thickBot="1" x14ac:dyDescent="0.6">
      <c r="H94" s="15" t="str">
        <f t="shared" si="15"/>
        <v>NA</v>
      </c>
      <c r="I94" s="16">
        <f t="shared" si="18"/>
        <v>0</v>
      </c>
      <c r="J94" s="16">
        <f t="shared" si="19"/>
        <v>0</v>
      </c>
      <c r="K94" s="16">
        <f t="shared" si="20"/>
        <v>0</v>
      </c>
      <c r="L94" s="16">
        <f t="shared" si="21"/>
        <v>0</v>
      </c>
      <c r="M94" s="16">
        <f t="shared" si="22"/>
        <v>0</v>
      </c>
      <c r="N94" s="16">
        <f t="shared" si="23"/>
        <v>0</v>
      </c>
      <c r="O94" s="16">
        <f t="shared" si="24"/>
        <v>0</v>
      </c>
      <c r="P94" s="16">
        <f t="shared" si="16"/>
        <v>0</v>
      </c>
      <c r="Q94" s="17">
        <f t="shared" si="17"/>
        <v>0</v>
      </c>
      <c r="R94" s="16">
        <f t="shared" si="25"/>
        <v>0</v>
      </c>
      <c r="S94" s="17">
        <f t="shared" si="26"/>
        <v>0</v>
      </c>
    </row>
    <row r="95" spans="8:19" ht="49" thickTop="1" thickBot="1" x14ac:dyDescent="0.6">
      <c r="H95" s="15" t="str">
        <f t="shared" si="15"/>
        <v>NA</v>
      </c>
      <c r="I95" s="16">
        <f t="shared" si="18"/>
        <v>0</v>
      </c>
      <c r="J95" s="16">
        <f t="shared" si="19"/>
        <v>0</v>
      </c>
      <c r="K95" s="16">
        <f t="shared" si="20"/>
        <v>0</v>
      </c>
      <c r="L95" s="16">
        <f t="shared" si="21"/>
        <v>0</v>
      </c>
      <c r="M95" s="16">
        <f t="shared" si="22"/>
        <v>0</v>
      </c>
      <c r="N95" s="16">
        <f t="shared" si="23"/>
        <v>0</v>
      </c>
      <c r="O95" s="16">
        <f t="shared" si="24"/>
        <v>0</v>
      </c>
      <c r="P95" s="16">
        <f t="shared" si="16"/>
        <v>0</v>
      </c>
      <c r="Q95" s="17">
        <f t="shared" si="17"/>
        <v>0</v>
      </c>
      <c r="R95" s="16">
        <f t="shared" si="25"/>
        <v>0</v>
      </c>
      <c r="S95" s="17">
        <f t="shared" si="26"/>
        <v>0</v>
      </c>
    </row>
    <row r="96" spans="8:19" ht="48" thickTop="1" x14ac:dyDescent="0.55000000000000004"/>
  </sheetData>
  <sheetProtection algorithmName="SHA-512" hashValue="t6l8JSUhXofoMHsQ/k1DiphyAXqqe8Oyf68FPI79a5djPy/llI94D9Qcqnx90WEFWFjNdEmzEzolpUWX1O4KqQ==" saltValue="2wOEPQhut5ffV+8KKLmhbA==" spinCount="100000" sheet="1" objects="1" scenarios="1"/>
  <mergeCells count="11">
    <mergeCell ref="D47:E47"/>
    <mergeCell ref="D48:E48"/>
    <mergeCell ref="D44:E44"/>
    <mergeCell ref="D45:E45"/>
    <mergeCell ref="D46:E46"/>
    <mergeCell ref="C42:E42"/>
    <mergeCell ref="C5:D5"/>
    <mergeCell ref="C28:D28"/>
    <mergeCell ref="C35:D35"/>
    <mergeCell ref="C41:D41"/>
    <mergeCell ref="D43:E43"/>
  </mergeCells>
  <conditionalFormatting sqref="C41:D41">
    <cfRule type="cellIs" dxfId="7" priority="1" operator="equal">
      <formula>"NOT ADVISABLE TO BUY"</formula>
    </cfRule>
    <cfRule type="cellIs" dxfId="6" priority="2" operator="equal">
      <formula>"ADVISABLE TO BUY"</formula>
    </cfRule>
  </conditionalFormatting>
  <hyperlinks>
    <hyperlink ref="D44" r:id="rId1" xr:uid="{7433F5EB-2C26-5141-8B96-1A00AFEFF01D}"/>
    <hyperlink ref="D43" r:id="rId2" xr:uid="{C1C00E1F-F04C-C744-B10C-44BDEC704980}"/>
    <hyperlink ref="D45" r:id="rId3" xr:uid="{C4AF8972-94AF-4346-AD3F-8619AEF63BA6}"/>
    <hyperlink ref="D46" r:id="rId4" xr:uid="{FA60CBF1-1DD1-2E40-A439-75B0ACB479A0}"/>
    <hyperlink ref="D47" r:id="rId5" xr:uid="{C2B35BC7-4A39-364E-B765-39A92BC6A58A}"/>
    <hyperlink ref="D48" r:id="rId6" xr:uid="{759A8EA8-01F2-3D47-8613-EEAA77AEFC7F}"/>
  </hyperlinks>
  <pageMargins left="0.7" right="0.7" top="0.75" bottom="0.75" header="0.3" footer="0.3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4ABA2-E917-B648-90B4-D12E39DA2ADD}">
  <dimension ref="C1:AN364"/>
  <sheetViews>
    <sheetView showGridLines="0" topLeftCell="A38" zoomScale="50" zoomScaleNormal="67" workbookViewId="0">
      <selection activeCell="C44" sqref="C44:E44"/>
    </sheetView>
  </sheetViews>
  <sheetFormatPr baseColWidth="10" defaultRowHeight="47" x14ac:dyDescent="0.55000000000000004"/>
  <cols>
    <col min="1" max="2" width="10.83203125" style="3"/>
    <col min="3" max="3" width="135.5" style="3" bestFit="1" customWidth="1"/>
    <col min="4" max="5" width="80.83203125" style="3" customWidth="1"/>
    <col min="6" max="7" width="10.83203125" style="3"/>
    <col min="8" max="8" width="47.5" style="3" bestFit="1" customWidth="1"/>
    <col min="9" max="9" width="71.83203125" style="3" bestFit="1" customWidth="1"/>
    <col min="10" max="10" width="44.1640625" style="3" bestFit="1" customWidth="1"/>
    <col min="11" max="11" width="54.33203125" style="3" bestFit="1" customWidth="1"/>
    <col min="12" max="12" width="49" style="3" bestFit="1" customWidth="1"/>
    <col min="13" max="13" width="49" style="3" customWidth="1"/>
    <col min="14" max="14" width="59.6640625" style="3" bestFit="1" customWidth="1"/>
    <col min="15" max="15" width="47.83203125" style="3" bestFit="1" customWidth="1"/>
    <col min="16" max="16" width="96" style="3" bestFit="1" customWidth="1"/>
    <col min="17" max="17" width="94.1640625" style="3" bestFit="1" customWidth="1"/>
    <col min="18" max="18" width="94.1640625" style="3" customWidth="1"/>
    <col min="19" max="19" width="45.6640625" style="3" customWidth="1"/>
    <col min="20" max="20" width="57.1640625" style="3" customWidth="1"/>
    <col min="21" max="21" width="41.1640625" style="3" customWidth="1"/>
    <col min="22" max="32" width="10.83203125" style="3"/>
    <col min="33" max="33" width="15.33203125" style="3" bestFit="1" customWidth="1"/>
    <col min="34" max="34" width="21.83203125" style="3" bestFit="1" customWidth="1"/>
    <col min="35" max="35" width="47.5" style="3" customWidth="1"/>
    <col min="36" max="36" width="55.1640625" style="3" bestFit="1" customWidth="1"/>
    <col min="37" max="37" width="51.6640625" style="41" bestFit="1" customWidth="1"/>
    <col min="38" max="38" width="82" style="3" bestFit="1" customWidth="1"/>
    <col min="39" max="40" width="40" style="3" customWidth="1"/>
    <col min="41" max="16384" width="10.83203125" style="3"/>
  </cols>
  <sheetData>
    <row r="1" spans="3:40" ht="48" thickBot="1" x14ac:dyDescent="0.6"/>
    <row r="2" spans="3:40" ht="49" thickTop="1" thickBot="1" x14ac:dyDescent="0.6">
      <c r="H2" s="6" t="s">
        <v>1</v>
      </c>
      <c r="I2" s="7">
        <f>D19</f>
        <v>0.05</v>
      </c>
      <c r="J2" s="6" t="s">
        <v>2</v>
      </c>
      <c r="K2" s="37">
        <v>0.05</v>
      </c>
      <c r="L2" s="9" t="s">
        <v>3</v>
      </c>
      <c r="M2" s="9">
        <v>0.3</v>
      </c>
      <c r="N2" s="9" t="s">
        <v>4</v>
      </c>
      <c r="O2" s="38">
        <v>0.3</v>
      </c>
      <c r="P2" s="10" t="s">
        <v>56</v>
      </c>
      <c r="Q2" s="40">
        <v>0.05</v>
      </c>
      <c r="R2" s="6" t="s">
        <v>0</v>
      </c>
      <c r="S2" s="9">
        <f>D17</f>
        <v>0.06</v>
      </c>
      <c r="T2" s="6" t="s">
        <v>51</v>
      </c>
      <c r="U2" s="18">
        <f>D9</f>
        <v>80562.850908944965</v>
      </c>
      <c r="AG2" s="68" t="s">
        <v>5</v>
      </c>
      <c r="AH2" s="68" t="s">
        <v>30</v>
      </c>
      <c r="AI2" s="68" t="s">
        <v>31</v>
      </c>
      <c r="AJ2" s="68" t="s">
        <v>32</v>
      </c>
      <c r="AK2" s="69" t="s">
        <v>33</v>
      </c>
      <c r="AL2" s="68" t="s">
        <v>34</v>
      </c>
      <c r="AM2" s="67" t="s">
        <v>35</v>
      </c>
      <c r="AN2" s="67"/>
    </row>
    <row r="3" spans="3:40" ht="49" thickTop="1" thickBot="1" x14ac:dyDescent="0.6">
      <c r="C3" s="63" t="s">
        <v>47</v>
      </c>
      <c r="D3" s="63"/>
      <c r="E3" s="5"/>
      <c r="H3" s="4" t="s">
        <v>5</v>
      </c>
      <c r="I3" s="4" t="s">
        <v>6</v>
      </c>
      <c r="J3" s="4" t="s">
        <v>7</v>
      </c>
      <c r="K3" s="4" t="s">
        <v>8</v>
      </c>
      <c r="L3" s="4" t="s">
        <v>9</v>
      </c>
      <c r="M3" s="4" t="s">
        <v>36</v>
      </c>
      <c r="N3" s="4" t="s">
        <v>10</v>
      </c>
      <c r="O3" s="4" t="s">
        <v>11</v>
      </c>
      <c r="P3" s="4" t="s">
        <v>12</v>
      </c>
      <c r="Q3" s="4" t="s">
        <v>58</v>
      </c>
      <c r="R3" s="4" t="s">
        <v>13</v>
      </c>
      <c r="S3" s="4" t="s">
        <v>14</v>
      </c>
      <c r="T3" s="42" t="s">
        <v>48</v>
      </c>
      <c r="U3" s="42" t="s">
        <v>14</v>
      </c>
      <c r="AG3" s="68"/>
      <c r="AH3" s="68"/>
      <c r="AI3" s="68"/>
      <c r="AJ3" s="68"/>
      <c r="AK3" s="69"/>
      <c r="AL3" s="68"/>
      <c r="AM3" s="6" t="s">
        <v>37</v>
      </c>
      <c r="AN3" s="6" t="s">
        <v>38</v>
      </c>
    </row>
    <row r="4" spans="3:40" ht="49" thickTop="1" thickBot="1" x14ac:dyDescent="0.6">
      <c r="C4" s="14" t="s">
        <v>25</v>
      </c>
      <c r="D4" s="34">
        <v>12000000</v>
      </c>
      <c r="H4" s="15">
        <v>1</v>
      </c>
      <c r="I4" s="16">
        <f>D18*12</f>
        <v>480000</v>
      </c>
      <c r="J4" s="16">
        <f>D24</f>
        <v>15000</v>
      </c>
      <c r="K4" s="16">
        <f>I4-J4</f>
        <v>465000</v>
      </c>
      <c r="L4" s="16">
        <f>K4*$M$2</f>
        <v>139500</v>
      </c>
      <c r="M4" s="16">
        <f>SUM(AK4:AK15)</f>
        <v>859653.61370903486</v>
      </c>
      <c r="N4" s="16">
        <f>K4-L4-M4</f>
        <v>-534153.61370903486</v>
      </c>
      <c r="O4" s="16">
        <f t="shared" ref="O4:O35" si="0">IF(N4&gt;0,N4*$O$2,0)</f>
        <v>0</v>
      </c>
      <c r="P4" s="16">
        <f>K4-O4</f>
        <v>465000</v>
      </c>
      <c r="Q4" s="16">
        <f>D25</f>
        <v>10000</v>
      </c>
      <c r="R4" s="16">
        <f>D20</f>
        <v>12900000</v>
      </c>
      <c r="S4" s="17">
        <f>P4/R4</f>
        <v>3.604651162790698E-2</v>
      </c>
      <c r="T4" s="18">
        <f>D28+U2*12</f>
        <v>4266754.21090734</v>
      </c>
      <c r="U4" s="43">
        <f>IF(H4= "NA",0,(P4-Q4)/T4)</f>
        <v>0.10663843697320513</v>
      </c>
      <c r="AG4" s="15">
        <f>IF(AH4= "NA", "NA",1)</f>
        <v>1</v>
      </c>
      <c r="AH4" s="15">
        <v>1</v>
      </c>
      <c r="AI4" s="16">
        <f>IF(AH4= "NA",0,$D$9)</f>
        <v>80562.850908944965</v>
      </c>
      <c r="AJ4" s="44">
        <f>IF(AH4= "NA",0,PPMT($D$7/12,AH4,$D$8*12,-$D$6,0))</f>
        <v>8562.8509089449726</v>
      </c>
      <c r="AK4" s="45">
        <f>IF(AH4= "NA", 0,IPMT($D$7/12,AH4,$D$8*12,-$D$6,0))</f>
        <v>72000</v>
      </c>
      <c r="AL4" s="16">
        <f>IF(AH4= "NA", 0,$D$6-AJ4)</f>
        <v>9591437.1490910556</v>
      </c>
      <c r="AM4" s="17">
        <f>AJ4/AI4</f>
        <v>0.10628783381341625</v>
      </c>
      <c r="AN4" s="17">
        <f>AK4/AI4</f>
        <v>0.89371216618658389</v>
      </c>
    </row>
    <row r="5" spans="3:40" ht="49" thickTop="1" thickBot="1" x14ac:dyDescent="0.6">
      <c r="C5" s="14" t="s">
        <v>39</v>
      </c>
      <c r="D5" s="34">
        <v>2400000</v>
      </c>
      <c r="H5" s="15">
        <f t="shared" ref="H5:H36" si="1">IF(H4&lt;$D$16,H4+1, "NA")</f>
        <v>2</v>
      </c>
      <c r="I5" s="16">
        <f>IF(H5= "NA",0,I4*(1+$I$2))</f>
        <v>504000</v>
      </c>
      <c r="J5" s="16">
        <f>IF(H5= "NA",0,J4*(1+$K$2))</f>
        <v>15750</v>
      </c>
      <c r="K5" s="16">
        <f>IF(H5= "NA",0,I5-J5)</f>
        <v>488250</v>
      </c>
      <c r="L5" s="16">
        <f>IF(H5= "NA",0,K5*$M$2)</f>
        <v>146475</v>
      </c>
      <c r="M5" s="16">
        <f>SUM(AK16:AK27)</f>
        <v>849606.83894715237</v>
      </c>
      <c r="N5" s="16">
        <f>IF(H5 = "NA",0,K5-L5-M5)</f>
        <v>-507831.83894715237</v>
      </c>
      <c r="O5" s="16">
        <f t="shared" si="0"/>
        <v>0</v>
      </c>
      <c r="P5" s="16">
        <f>IF(H5= "NA",0,K5-O5)</f>
        <v>488250</v>
      </c>
      <c r="Q5" s="16">
        <f t="shared" ref="Q5:Q36" si="2">IF(H5= "NA",0,Q4*(1+$Q$2))</f>
        <v>10500</v>
      </c>
      <c r="R5" s="16">
        <f>IF(H5= "NA",0,R4*(1+$S$2))</f>
        <v>13674000</v>
      </c>
      <c r="S5" s="17">
        <f>IF(H5= "NA",0,(P5-Q5)/R5)</f>
        <v>3.4938569548047388E-2</v>
      </c>
      <c r="T5" s="29">
        <f>IF(H5= "NA",0,IF(H4&lt;$D$8,FV(NOMINAL($S$2,12)/12,12,-$U$2,-T4,1),T4*(1+$S$2)))</f>
        <v>5520653.4996607546</v>
      </c>
      <c r="U5" s="43">
        <f t="shared" ref="U5:U68" si="3">IF(H5= "NA",0,(P5-Q5)/T5)</f>
        <v>8.6538667936569072E-2</v>
      </c>
      <c r="AG5" s="15"/>
      <c r="AH5" s="15">
        <f>IF(AH4&lt;$D$8*12,AH4+1, "NA")</f>
        <v>2</v>
      </c>
      <c r="AI5" s="16">
        <f t="shared" ref="AI5:AI68" si="4">IF(AH5= "NA",0,$D$9)</f>
        <v>80562.850908944965</v>
      </c>
      <c r="AJ5" s="44">
        <f t="shared" ref="AJ5:AJ68" si="5">IF(AH5= "NA",0,PPMT($D$7/12,AH5,$D$8*12,-$D$6,0))</f>
        <v>8627.0722907620602</v>
      </c>
      <c r="AK5" s="45">
        <f t="shared" ref="AK5:AK68" si="6">IF(AH5= "NA", 0,IPMT($D$7/12,AH5,$D$8*12,-$D$6,0))</f>
        <v>71935.7786181829</v>
      </c>
      <c r="AL5" s="16">
        <f>IF(AH5= "NA", 0,AL4-AJ5)</f>
        <v>9582810.0768002942</v>
      </c>
      <c r="AM5" s="17">
        <f t="shared" ref="AM5:AM68" si="7">AJ5/AI5</f>
        <v>0.10708499256701687</v>
      </c>
      <c r="AN5" s="17">
        <f t="shared" ref="AN5:AN68" si="8">AK5/AI5</f>
        <v>0.89291500743298302</v>
      </c>
    </row>
    <row r="6" spans="3:40" ht="49" thickTop="1" thickBot="1" x14ac:dyDescent="0.6">
      <c r="C6" s="14" t="s">
        <v>40</v>
      </c>
      <c r="D6" s="18">
        <f>D4-D5</f>
        <v>9600000</v>
      </c>
      <c r="H6" s="15">
        <f t="shared" si="1"/>
        <v>3</v>
      </c>
      <c r="I6" s="16">
        <f t="shared" ref="I6:I69" si="9">IF(H6= "NA",0,I5*(1+$I$2))</f>
        <v>529200</v>
      </c>
      <c r="J6" s="16">
        <f t="shared" ref="J6:J69" si="10">IF(H6= "NA",0,J5*(1+$K$2))</f>
        <v>16537.5</v>
      </c>
      <c r="K6" s="16">
        <f t="shared" ref="K6:K69" si="11">IF(H6= "NA",0,I6-J6)</f>
        <v>512662.5</v>
      </c>
      <c r="L6" s="16">
        <f t="shared" ref="L6:L69" si="12">IF(H6= "NA",0,K6*$M$2)</f>
        <v>153798.75</v>
      </c>
      <c r="M6" s="16">
        <f>SUM(AK28:AK39)</f>
        <v>838617.60741325852</v>
      </c>
      <c r="N6" s="16">
        <f t="shared" ref="N6:N69" si="13">IF(H6= "NA",0,K6-L6-M6)</f>
        <v>-479753.85741325852</v>
      </c>
      <c r="O6" s="16">
        <f t="shared" si="0"/>
        <v>0</v>
      </c>
      <c r="P6" s="16">
        <f t="shared" ref="P6:P69" si="14">IF(H6= "NA",0,K6-O6)</f>
        <v>512662.5</v>
      </c>
      <c r="Q6" s="16">
        <f t="shared" si="2"/>
        <v>11025</v>
      </c>
      <c r="R6" s="16">
        <f t="shared" ref="R6:R69" si="15">IF(H6= "NA",0,R5*(1+$S$2))</f>
        <v>14494440</v>
      </c>
      <c r="S6" s="17">
        <f t="shared" ref="S6:S69" si="16">IF(H6= "NA",0,(P6-Q6)/R6)</f>
        <v>3.4608960401367697E-2</v>
      </c>
      <c r="T6" s="29">
        <f t="shared" ref="T6:T69" si="17">IF(H6= "NA",0,IF(H5&lt;$D$8,FV(NOMINAL($S$2,12)/12,12,-$U$2,-T5,1),T5*(1+$S$2)))</f>
        <v>6849786.7457393762</v>
      </c>
      <c r="U6" s="43">
        <f t="shared" si="3"/>
        <v>7.3234031747342013E-2</v>
      </c>
      <c r="AG6" s="15"/>
      <c r="AH6" s="15">
        <f t="shared" ref="AH6:AH69" si="18">IF(AH5&lt;$D$8*12,AH5+1, "NA")</f>
        <v>3</v>
      </c>
      <c r="AI6" s="16">
        <f t="shared" si="4"/>
        <v>80562.850908944965</v>
      </c>
      <c r="AJ6" s="44">
        <f t="shared" si="5"/>
        <v>8691.7753329427724</v>
      </c>
      <c r="AK6" s="45">
        <f t="shared" si="6"/>
        <v>71871.075576002186</v>
      </c>
      <c r="AL6" s="16">
        <f t="shared" ref="AL6:AL69" si="19">IF(AH6= "NA", 0,AL5-AJ6)</f>
        <v>9574118.3014673516</v>
      </c>
      <c r="AM6" s="17">
        <f t="shared" si="7"/>
        <v>0.10788813001126946</v>
      </c>
      <c r="AN6" s="17">
        <f t="shared" si="8"/>
        <v>0.89211186998873049</v>
      </c>
    </row>
    <row r="7" spans="3:40" ht="49" thickTop="1" thickBot="1" x14ac:dyDescent="0.6">
      <c r="C7" s="14" t="s">
        <v>41</v>
      </c>
      <c r="D7" s="49">
        <v>0.09</v>
      </c>
      <c r="H7" s="15">
        <f t="shared" si="1"/>
        <v>4</v>
      </c>
      <c r="I7" s="16">
        <f t="shared" si="9"/>
        <v>555660</v>
      </c>
      <c r="J7" s="16">
        <f t="shared" si="10"/>
        <v>17364.375</v>
      </c>
      <c r="K7" s="16">
        <f t="shared" si="11"/>
        <v>538295.625</v>
      </c>
      <c r="L7" s="16">
        <f t="shared" si="12"/>
        <v>161488.6875</v>
      </c>
      <c r="M7" s="16">
        <f>SUM(AK40:AK51)</f>
        <v>826597.5101613818</v>
      </c>
      <c r="N7" s="16">
        <f t="shared" si="13"/>
        <v>-449790.5726613818</v>
      </c>
      <c r="O7" s="16">
        <f t="shared" si="0"/>
        <v>0</v>
      </c>
      <c r="P7" s="16">
        <f t="shared" si="14"/>
        <v>538295.625</v>
      </c>
      <c r="Q7" s="16">
        <f t="shared" si="2"/>
        <v>11576.25</v>
      </c>
      <c r="R7" s="16">
        <f t="shared" si="15"/>
        <v>15364106.4</v>
      </c>
      <c r="S7" s="17">
        <f t="shared" si="16"/>
        <v>3.4282460774939696E-2</v>
      </c>
      <c r="T7" s="29">
        <f t="shared" si="17"/>
        <v>8258667.9865827151</v>
      </c>
      <c r="U7" s="43">
        <f t="shared" si="3"/>
        <v>6.377776366064411E-2</v>
      </c>
      <c r="AG7" s="15"/>
      <c r="AH7" s="15">
        <f t="shared" si="18"/>
        <v>4</v>
      </c>
      <c r="AI7" s="16">
        <f t="shared" si="4"/>
        <v>80562.850908944965</v>
      </c>
      <c r="AJ7" s="44">
        <f t="shared" si="5"/>
        <v>8756.9636479398469</v>
      </c>
      <c r="AK7" s="45">
        <f t="shared" si="6"/>
        <v>71805.887261005118</v>
      </c>
      <c r="AL7" s="16">
        <f t="shared" si="19"/>
        <v>9565361.3378194124</v>
      </c>
      <c r="AM7" s="17">
        <f t="shared" si="7"/>
        <v>0.10869729098635403</v>
      </c>
      <c r="AN7" s="17">
        <f t="shared" si="8"/>
        <v>0.89130270901364594</v>
      </c>
    </row>
    <row r="8" spans="3:40" ht="49" thickTop="1" thickBot="1" x14ac:dyDescent="0.6">
      <c r="C8" s="14" t="s">
        <v>42</v>
      </c>
      <c r="D8" s="50">
        <v>25</v>
      </c>
      <c r="H8" s="15">
        <f t="shared" si="1"/>
        <v>5</v>
      </c>
      <c r="I8" s="16">
        <f t="shared" si="9"/>
        <v>583443</v>
      </c>
      <c r="J8" s="16">
        <f t="shared" si="10"/>
        <v>18232.59375</v>
      </c>
      <c r="K8" s="16">
        <f t="shared" si="11"/>
        <v>565210.40625</v>
      </c>
      <c r="L8" s="16">
        <f t="shared" si="12"/>
        <v>169563.12187499998</v>
      </c>
      <c r="M8" s="16">
        <f>SUM(AK52:AK63)</f>
        <v>813449.84487660322</v>
      </c>
      <c r="N8" s="16">
        <f t="shared" si="13"/>
        <v>-417802.56050160318</v>
      </c>
      <c r="O8" s="16">
        <f t="shared" si="0"/>
        <v>0</v>
      </c>
      <c r="P8" s="16">
        <f t="shared" si="14"/>
        <v>565210.40625</v>
      </c>
      <c r="Q8" s="16">
        <f t="shared" si="2"/>
        <v>12155.0625</v>
      </c>
      <c r="R8" s="16">
        <f t="shared" si="15"/>
        <v>16285952.784000002</v>
      </c>
      <c r="S8" s="17">
        <f t="shared" si="16"/>
        <v>3.395904133366668E-2</v>
      </c>
      <c r="T8" s="29">
        <f t="shared" si="17"/>
        <v>9752082.1018766556</v>
      </c>
      <c r="U8" s="43">
        <f t="shared" si="3"/>
        <v>5.6711514317908787E-2</v>
      </c>
      <c r="AG8" s="15"/>
      <c r="AH8" s="15">
        <f t="shared" si="18"/>
        <v>5</v>
      </c>
      <c r="AI8" s="16">
        <f t="shared" si="4"/>
        <v>80562.850908944965</v>
      </c>
      <c r="AJ8" s="44">
        <f t="shared" si="5"/>
        <v>8822.6408752993921</v>
      </c>
      <c r="AK8" s="45">
        <f t="shared" si="6"/>
        <v>71740.210033645577</v>
      </c>
      <c r="AL8" s="16">
        <f t="shared" si="19"/>
        <v>9556538.6969441138</v>
      </c>
      <c r="AM8" s="17">
        <f t="shared" si="7"/>
        <v>0.10951252066875164</v>
      </c>
      <c r="AN8" s="17">
        <f t="shared" si="8"/>
        <v>0.89048747933124839</v>
      </c>
    </row>
    <row r="9" spans="3:40" ht="49" thickTop="1" thickBot="1" x14ac:dyDescent="0.6">
      <c r="C9" s="14" t="s">
        <v>31</v>
      </c>
      <c r="D9" s="18">
        <f>PMT(D7/12,D8*12,-D6,0)</f>
        <v>80562.850908944965</v>
      </c>
      <c r="E9" s="25"/>
      <c r="H9" s="15">
        <f t="shared" si="1"/>
        <v>6</v>
      </c>
      <c r="I9" s="16">
        <f t="shared" si="9"/>
        <v>612615.15</v>
      </c>
      <c r="J9" s="16">
        <f t="shared" si="10"/>
        <v>19144.223437500001</v>
      </c>
      <c r="K9" s="16">
        <f t="shared" si="11"/>
        <v>593470.92656250007</v>
      </c>
      <c r="L9" s="16">
        <f t="shared" si="12"/>
        <v>178041.27796875002</v>
      </c>
      <c r="M9" s="16">
        <f>SUM(AK64:AK75)</f>
        <v>799068.837899843</v>
      </c>
      <c r="N9" s="16">
        <f t="shared" si="13"/>
        <v>-383639.18930609291</v>
      </c>
      <c r="O9" s="16">
        <f t="shared" si="0"/>
        <v>0</v>
      </c>
      <c r="P9" s="16">
        <f t="shared" si="14"/>
        <v>593470.92656250007</v>
      </c>
      <c r="Q9" s="16">
        <f t="shared" si="2"/>
        <v>12762.815625000001</v>
      </c>
      <c r="R9" s="16">
        <f t="shared" si="15"/>
        <v>17263109.951040003</v>
      </c>
      <c r="S9" s="17">
        <f t="shared" si="16"/>
        <v>3.3638673019198123E-2</v>
      </c>
      <c r="T9" s="29">
        <f t="shared" si="17"/>
        <v>11335101.064088235</v>
      </c>
      <c r="U9" s="43">
        <f t="shared" si="3"/>
        <v>5.1230960152379608E-2</v>
      </c>
      <c r="AG9" s="15"/>
      <c r="AH9" s="15">
        <f t="shared" si="18"/>
        <v>6</v>
      </c>
      <c r="AI9" s="16">
        <f t="shared" si="4"/>
        <v>80562.850908944965</v>
      </c>
      <c r="AJ9" s="44">
        <f t="shared" si="5"/>
        <v>8888.8106818641372</v>
      </c>
      <c r="AK9" s="45">
        <f t="shared" si="6"/>
        <v>71674.040227080841</v>
      </c>
      <c r="AL9" s="16">
        <f t="shared" si="19"/>
        <v>9547649.8862622492</v>
      </c>
      <c r="AM9" s="17">
        <f t="shared" si="7"/>
        <v>0.11033386457376727</v>
      </c>
      <c r="AN9" s="17">
        <f t="shared" si="8"/>
        <v>0.88966613542623285</v>
      </c>
    </row>
    <row r="10" spans="3:40" ht="49" thickTop="1" thickBot="1" x14ac:dyDescent="0.6">
      <c r="C10" s="14" t="s">
        <v>15</v>
      </c>
      <c r="D10" s="33">
        <v>5.5E-2</v>
      </c>
      <c r="H10" s="15">
        <f t="shared" si="1"/>
        <v>7</v>
      </c>
      <c r="I10" s="16">
        <f t="shared" si="9"/>
        <v>643245.90750000009</v>
      </c>
      <c r="J10" s="16">
        <f t="shared" si="10"/>
        <v>20101.434609375003</v>
      </c>
      <c r="K10" s="16">
        <f t="shared" si="11"/>
        <v>623144.47289062513</v>
      </c>
      <c r="L10" s="16">
        <f t="shared" si="12"/>
        <v>186943.34186718753</v>
      </c>
      <c r="M10" s="16">
        <f>SUM(AK76:AK87)</f>
        <v>783338.79327320831</v>
      </c>
      <c r="N10" s="16">
        <f t="shared" si="13"/>
        <v>-347137.66224977071</v>
      </c>
      <c r="O10" s="16">
        <f t="shared" si="0"/>
        <v>0</v>
      </c>
      <c r="P10" s="16">
        <f t="shared" si="14"/>
        <v>623144.47289062513</v>
      </c>
      <c r="Q10" s="16">
        <f t="shared" si="2"/>
        <v>13400.956406250001</v>
      </c>
      <c r="R10" s="16">
        <f t="shared" si="15"/>
        <v>18298896.548102405</v>
      </c>
      <c r="S10" s="17">
        <f t="shared" si="16"/>
        <v>3.3321327047318897E-2</v>
      </c>
      <c r="T10" s="29">
        <f t="shared" si="17"/>
        <v>13013101.16403251</v>
      </c>
      <c r="U10" s="43">
        <f t="shared" si="3"/>
        <v>4.6856126667920821E-2</v>
      </c>
      <c r="AG10" s="15"/>
      <c r="AH10" s="15">
        <f t="shared" si="18"/>
        <v>7</v>
      </c>
      <c r="AI10" s="16">
        <f t="shared" si="4"/>
        <v>80562.850908944965</v>
      </c>
      <c r="AJ10" s="44">
        <f t="shared" si="5"/>
        <v>8955.4767619781214</v>
      </c>
      <c r="AK10" s="45">
        <f t="shared" si="6"/>
        <v>71607.374146966831</v>
      </c>
      <c r="AL10" s="16">
        <f t="shared" si="19"/>
        <v>9538694.4095002711</v>
      </c>
      <c r="AM10" s="17">
        <f t="shared" si="7"/>
        <v>0.11116136855807056</v>
      </c>
      <c r="AN10" s="17">
        <f t="shared" si="8"/>
        <v>0.88883863144192932</v>
      </c>
    </row>
    <row r="11" spans="3:40" ht="49" thickTop="1" thickBot="1" x14ac:dyDescent="0.6">
      <c r="C11" s="14" t="s">
        <v>16</v>
      </c>
      <c r="D11" s="18">
        <f>D4*D10</f>
        <v>660000</v>
      </c>
      <c r="H11" s="15">
        <f t="shared" si="1"/>
        <v>8</v>
      </c>
      <c r="I11" s="16">
        <f t="shared" si="9"/>
        <v>675408.20287500008</v>
      </c>
      <c r="J11" s="16">
        <f t="shared" si="10"/>
        <v>21106.506339843752</v>
      </c>
      <c r="K11" s="16">
        <f t="shared" si="11"/>
        <v>654301.69653515634</v>
      </c>
      <c r="L11" s="16">
        <f t="shared" si="12"/>
        <v>196290.5089605469</v>
      </c>
      <c r="M11" s="16">
        <f>SUM(AK88:AK99)</f>
        <v>766133.16195992252</v>
      </c>
      <c r="N11" s="16">
        <f t="shared" si="13"/>
        <v>-308121.97438531311</v>
      </c>
      <c r="O11" s="16">
        <f t="shared" si="0"/>
        <v>0</v>
      </c>
      <c r="P11" s="16">
        <f t="shared" si="14"/>
        <v>654301.69653515634</v>
      </c>
      <c r="Q11" s="16">
        <f t="shared" si="2"/>
        <v>14071.004226562502</v>
      </c>
      <c r="R11" s="16">
        <f t="shared" si="15"/>
        <v>19396830.34098855</v>
      </c>
      <c r="S11" s="17">
        <f t="shared" si="16"/>
        <v>3.3006974905363057E-2</v>
      </c>
      <c r="T11" s="29">
        <f t="shared" si="17"/>
        <v>14791781.269973442</v>
      </c>
      <c r="U11" s="43">
        <f t="shared" si="3"/>
        <v>4.3282866385283114E-2</v>
      </c>
      <c r="AG11" s="15"/>
      <c r="AH11" s="15">
        <f t="shared" si="18"/>
        <v>8</v>
      </c>
      <c r="AI11" s="16">
        <f t="shared" si="4"/>
        <v>80562.850908944965</v>
      </c>
      <c r="AJ11" s="44">
        <f t="shared" si="5"/>
        <v>9022.6428376929562</v>
      </c>
      <c r="AK11" s="45">
        <f t="shared" si="6"/>
        <v>71540.208071251996</v>
      </c>
      <c r="AL11" s="16">
        <f t="shared" si="19"/>
        <v>9529671.766662579</v>
      </c>
      <c r="AM11" s="17">
        <f t="shared" si="7"/>
        <v>0.11199507882225608</v>
      </c>
      <c r="AN11" s="17">
        <f t="shared" si="8"/>
        <v>0.88800492117774377</v>
      </c>
    </row>
    <row r="12" spans="3:40" ht="49" thickTop="1" thickBot="1" x14ac:dyDescent="0.6">
      <c r="C12" s="14" t="s">
        <v>17</v>
      </c>
      <c r="D12" s="33">
        <v>5.0000000000000001E-3</v>
      </c>
      <c r="H12" s="15">
        <f t="shared" si="1"/>
        <v>9</v>
      </c>
      <c r="I12" s="16">
        <f t="shared" si="9"/>
        <v>709178.6130187501</v>
      </c>
      <c r="J12" s="16">
        <f t="shared" si="10"/>
        <v>22161.831656835941</v>
      </c>
      <c r="K12" s="16">
        <f t="shared" si="11"/>
        <v>687016.78136191412</v>
      </c>
      <c r="L12" s="16">
        <f t="shared" si="12"/>
        <v>206105.03440857423</v>
      </c>
      <c r="M12" s="16">
        <f>SUM(AK100:AK111)</f>
        <v>747313.52375066688</v>
      </c>
      <c r="N12" s="16">
        <f t="shared" si="13"/>
        <v>-266401.77679732698</v>
      </c>
      <c r="O12" s="16">
        <f t="shared" si="0"/>
        <v>0</v>
      </c>
      <c r="P12" s="16">
        <f t="shared" si="14"/>
        <v>687016.78136191412</v>
      </c>
      <c r="Q12" s="16">
        <f t="shared" si="2"/>
        <v>14774.554437890627</v>
      </c>
      <c r="R12" s="16">
        <f t="shared" si="15"/>
        <v>20560640.161447864</v>
      </c>
      <c r="S12" s="17">
        <f t="shared" si="16"/>
        <v>3.2695588349652083E-2</v>
      </c>
      <c r="T12" s="29">
        <f t="shared" si="17"/>
        <v>16677182.18227083</v>
      </c>
      <c r="U12" s="43">
        <f t="shared" si="3"/>
        <v>4.0309101356383235E-2</v>
      </c>
      <c r="AG12" s="15"/>
      <c r="AH12" s="15">
        <f t="shared" si="18"/>
        <v>9</v>
      </c>
      <c r="AI12" s="16">
        <f t="shared" si="4"/>
        <v>80562.850908944965</v>
      </c>
      <c r="AJ12" s="44">
        <f t="shared" si="5"/>
        <v>9090.3126589756539</v>
      </c>
      <c r="AK12" s="45">
        <f t="shared" si="6"/>
        <v>71472.538249969308</v>
      </c>
      <c r="AL12" s="16">
        <f t="shared" si="19"/>
        <v>9520581.4540036041</v>
      </c>
      <c r="AM12" s="17">
        <f t="shared" si="7"/>
        <v>0.112835041913423</v>
      </c>
      <c r="AN12" s="17">
        <f t="shared" si="8"/>
        <v>0.88716495808657692</v>
      </c>
    </row>
    <row r="13" spans="3:40" ht="49" thickTop="1" thickBot="1" x14ac:dyDescent="0.6">
      <c r="C13" s="14" t="s">
        <v>18</v>
      </c>
      <c r="D13" s="18">
        <f>D4*D12</f>
        <v>60000</v>
      </c>
      <c r="H13" s="15">
        <f t="shared" si="1"/>
        <v>10</v>
      </c>
      <c r="I13" s="16">
        <f t="shared" si="9"/>
        <v>744637.54366968758</v>
      </c>
      <c r="J13" s="16">
        <f t="shared" si="10"/>
        <v>23269.923239677737</v>
      </c>
      <c r="K13" s="16">
        <f t="shared" si="11"/>
        <v>721367.62043000991</v>
      </c>
      <c r="L13" s="16">
        <f t="shared" si="12"/>
        <v>216410.28612900295</v>
      </c>
      <c r="M13" s="16">
        <f>SUM(AK112:AK123)</f>
        <v>726728.47366571066</v>
      </c>
      <c r="N13" s="16">
        <f t="shared" si="13"/>
        <v>-221771.13936470367</v>
      </c>
      <c r="O13" s="16">
        <f t="shared" si="0"/>
        <v>0</v>
      </c>
      <c r="P13" s="16">
        <f t="shared" si="14"/>
        <v>721367.62043000991</v>
      </c>
      <c r="Q13" s="16">
        <f t="shared" si="2"/>
        <v>15513.28215978516</v>
      </c>
      <c r="R13" s="16">
        <f t="shared" si="15"/>
        <v>21794278.571134739</v>
      </c>
      <c r="S13" s="17">
        <f t="shared" si="16"/>
        <v>3.2387139402957253E-2</v>
      </c>
      <c r="T13" s="29">
        <f t="shared" si="17"/>
        <v>18675707.149306063</v>
      </c>
      <c r="U13" s="43">
        <f t="shared" si="3"/>
        <v>3.7795320553441661E-2</v>
      </c>
      <c r="AG13" s="15"/>
      <c r="AH13" s="15">
        <f t="shared" si="18"/>
        <v>10</v>
      </c>
      <c r="AI13" s="16">
        <f t="shared" si="4"/>
        <v>80562.850908944965</v>
      </c>
      <c r="AJ13" s="44">
        <f t="shared" si="5"/>
        <v>9158.4900039179738</v>
      </c>
      <c r="AK13" s="45">
        <f t="shared" si="6"/>
        <v>71404.360905026988</v>
      </c>
      <c r="AL13" s="16">
        <f t="shared" si="19"/>
        <v>9511422.9639996868</v>
      </c>
      <c r="AM13" s="17">
        <f t="shared" si="7"/>
        <v>0.11368130472777371</v>
      </c>
      <c r="AN13" s="17">
        <f t="shared" si="8"/>
        <v>0.88631869527222629</v>
      </c>
    </row>
    <row r="14" spans="3:40" ht="49" thickTop="1" thickBot="1" x14ac:dyDescent="0.6">
      <c r="C14" s="14" t="s">
        <v>19</v>
      </c>
      <c r="D14" s="36">
        <v>1.4999999999999999E-2</v>
      </c>
      <c r="H14" s="15">
        <f t="shared" si="1"/>
        <v>11</v>
      </c>
      <c r="I14" s="16">
        <f t="shared" si="9"/>
        <v>781869.42085317196</v>
      </c>
      <c r="J14" s="16">
        <f t="shared" si="10"/>
        <v>24433.419401661624</v>
      </c>
      <c r="K14" s="16">
        <f t="shared" si="11"/>
        <v>757436.00145151035</v>
      </c>
      <c r="L14" s="16">
        <f t="shared" si="12"/>
        <v>227230.8004354531</v>
      </c>
      <c r="M14" s="16">
        <f>SUM(AK124:AK135)</f>
        <v>704212.40389388299</v>
      </c>
      <c r="N14" s="16">
        <f t="shared" si="13"/>
        <v>-174007.20287782571</v>
      </c>
      <c r="O14" s="16">
        <f t="shared" si="0"/>
        <v>0</v>
      </c>
      <c r="P14" s="16">
        <f t="shared" si="14"/>
        <v>757436.00145151035</v>
      </c>
      <c r="Q14" s="16">
        <f t="shared" si="2"/>
        <v>16288.946267774418</v>
      </c>
      <c r="R14" s="16">
        <f t="shared" si="15"/>
        <v>23101935.285402823</v>
      </c>
      <c r="S14" s="17">
        <f t="shared" si="16"/>
        <v>3.2081600351985949E-2</v>
      </c>
      <c r="T14" s="29">
        <f t="shared" si="17"/>
        <v>20794143.614363413</v>
      </c>
      <c r="U14" s="43">
        <f t="shared" si="3"/>
        <v>3.5642105245045706E-2</v>
      </c>
      <c r="AG14" s="15"/>
      <c r="AH14" s="15">
        <f t="shared" si="18"/>
        <v>11</v>
      </c>
      <c r="AI14" s="16">
        <f t="shared" si="4"/>
        <v>80562.850908944965</v>
      </c>
      <c r="AJ14" s="44">
        <f t="shared" si="5"/>
        <v>9227.1786789473572</v>
      </c>
      <c r="AK14" s="45">
        <f t="shared" si="6"/>
        <v>71335.67222999761</v>
      </c>
      <c r="AL14" s="16">
        <f t="shared" si="19"/>
        <v>9502195.7853207402</v>
      </c>
      <c r="AM14" s="17">
        <f t="shared" si="7"/>
        <v>0.114533914513232</v>
      </c>
      <c r="AN14" s="17">
        <f t="shared" si="8"/>
        <v>0.88546608548676797</v>
      </c>
    </row>
    <row r="15" spans="3:40" ht="49" thickTop="1" thickBot="1" x14ac:dyDescent="0.6">
      <c r="C15" s="14" t="s">
        <v>20</v>
      </c>
      <c r="D15" s="18">
        <f>D4*D14</f>
        <v>180000</v>
      </c>
      <c r="H15" s="15">
        <f t="shared" si="1"/>
        <v>12</v>
      </c>
      <c r="I15" s="16">
        <f t="shared" si="9"/>
        <v>820962.89189583063</v>
      </c>
      <c r="J15" s="16">
        <f t="shared" si="10"/>
        <v>25655.090371744707</v>
      </c>
      <c r="K15" s="16">
        <f t="shared" si="11"/>
        <v>795307.80152408592</v>
      </c>
      <c r="L15" s="16">
        <f t="shared" si="12"/>
        <v>238592.34045722577</v>
      </c>
      <c r="M15" s="16">
        <f>SUM(AK136:AK147)</f>
        <v>679584.1714690167</v>
      </c>
      <c r="N15" s="16">
        <f t="shared" si="13"/>
        <v>-122868.71040215658</v>
      </c>
      <c r="O15" s="16">
        <f t="shared" si="0"/>
        <v>0</v>
      </c>
      <c r="P15" s="16">
        <f t="shared" si="14"/>
        <v>795307.80152408592</v>
      </c>
      <c r="Q15" s="16">
        <f t="shared" si="2"/>
        <v>17103.393581163138</v>
      </c>
      <c r="R15" s="16">
        <f t="shared" si="15"/>
        <v>24488051.402526993</v>
      </c>
      <c r="S15" s="17">
        <f t="shared" si="16"/>
        <v>3.1778943744891749E-2</v>
      </c>
      <c r="T15" s="29">
        <f t="shared" si="17"/>
        <v>23039686.267324205</v>
      </c>
      <c r="U15" s="43">
        <f t="shared" si="3"/>
        <v>3.3776692916457074E-2</v>
      </c>
      <c r="AG15" s="15"/>
      <c r="AH15" s="15">
        <f t="shared" si="18"/>
        <v>12</v>
      </c>
      <c r="AI15" s="16">
        <f t="shared" si="4"/>
        <v>80562.850908944965</v>
      </c>
      <c r="AJ15" s="44">
        <f t="shared" si="5"/>
        <v>9296.38251903946</v>
      </c>
      <c r="AK15" s="45">
        <f t="shared" si="6"/>
        <v>71266.468389905509</v>
      </c>
      <c r="AL15" s="16">
        <f t="shared" si="19"/>
        <v>9492899.4028016999</v>
      </c>
      <c r="AM15" s="17">
        <f t="shared" si="7"/>
        <v>0.11539291887208121</v>
      </c>
      <c r="AN15" s="17">
        <f t="shared" si="8"/>
        <v>0.88460708112791886</v>
      </c>
    </row>
    <row r="16" spans="3:40" ht="49" thickTop="1" thickBot="1" x14ac:dyDescent="0.6">
      <c r="C16" s="14" t="s">
        <v>54</v>
      </c>
      <c r="D16" s="32">
        <v>25</v>
      </c>
      <c r="H16" s="15">
        <f t="shared" si="1"/>
        <v>13</v>
      </c>
      <c r="I16" s="16">
        <f t="shared" si="9"/>
        <v>862011.03649062221</v>
      </c>
      <c r="J16" s="16">
        <f t="shared" si="10"/>
        <v>26937.844890331944</v>
      </c>
      <c r="K16" s="16">
        <f t="shared" si="11"/>
        <v>835073.19160029024</v>
      </c>
      <c r="L16" s="16">
        <f t="shared" si="12"/>
        <v>250521.95748008706</v>
      </c>
      <c r="M16" s="16">
        <f>SUM(AK148:AK159)</f>
        <v>652645.64096525358</v>
      </c>
      <c r="N16" s="16">
        <f t="shared" si="13"/>
        <v>-68094.406845050398</v>
      </c>
      <c r="O16" s="16">
        <f t="shared" si="0"/>
        <v>0</v>
      </c>
      <c r="P16" s="16">
        <f t="shared" si="14"/>
        <v>835073.19160029024</v>
      </c>
      <c r="Q16" s="16">
        <f t="shared" si="2"/>
        <v>17958.563260221297</v>
      </c>
      <c r="R16" s="16">
        <f t="shared" si="15"/>
        <v>25957334.486678615</v>
      </c>
      <c r="S16" s="17">
        <f t="shared" si="16"/>
        <v>3.1479142388807863E-2</v>
      </c>
      <c r="T16" s="29">
        <f t="shared" si="17"/>
        <v>25419961.479462646</v>
      </c>
      <c r="U16" s="43">
        <f t="shared" si="3"/>
        <v>3.2144605293766247E-2</v>
      </c>
      <c r="AG16" s="15">
        <f>IF(AH16= "NA", "NA",2)</f>
        <v>2</v>
      </c>
      <c r="AH16" s="15">
        <f t="shared" si="18"/>
        <v>13</v>
      </c>
      <c r="AI16" s="16">
        <f t="shared" si="4"/>
        <v>80562.850908944965</v>
      </c>
      <c r="AJ16" s="44">
        <f t="shared" si="5"/>
        <v>9366.105387932259</v>
      </c>
      <c r="AK16" s="45">
        <f t="shared" si="6"/>
        <v>71196.745521012708</v>
      </c>
      <c r="AL16" s="16">
        <f t="shared" si="19"/>
        <v>9483533.2974137682</v>
      </c>
      <c r="AM16" s="17">
        <f t="shared" si="7"/>
        <v>0.11625836576362185</v>
      </c>
      <c r="AN16" s="17">
        <f t="shared" si="8"/>
        <v>0.88374163423637819</v>
      </c>
    </row>
    <row r="17" spans="3:40" ht="49" thickTop="1" thickBot="1" x14ac:dyDescent="0.6">
      <c r="C17" s="14" t="s">
        <v>62</v>
      </c>
      <c r="D17" s="33">
        <v>0.06</v>
      </c>
      <c r="E17" s="23"/>
      <c r="H17" s="15">
        <f t="shared" si="1"/>
        <v>14</v>
      </c>
      <c r="I17" s="16">
        <f t="shared" si="9"/>
        <v>905111.58831515338</v>
      </c>
      <c r="J17" s="16">
        <f t="shared" si="10"/>
        <v>28284.737134848543</v>
      </c>
      <c r="K17" s="16">
        <f t="shared" si="11"/>
        <v>876826.85118030489</v>
      </c>
      <c r="L17" s="16">
        <f t="shared" si="12"/>
        <v>263048.05535409146</v>
      </c>
      <c r="M17" s="16">
        <f>SUM(AK160:AK171)</f>
        <v>623180.09048711753</v>
      </c>
      <c r="N17" s="16">
        <f t="shared" si="13"/>
        <v>-9401.2946609040955</v>
      </c>
      <c r="O17" s="16">
        <f t="shared" si="0"/>
        <v>0</v>
      </c>
      <c r="P17" s="16">
        <f t="shared" si="14"/>
        <v>876826.85118030489</v>
      </c>
      <c r="Q17" s="16">
        <f t="shared" si="2"/>
        <v>18856.491423232364</v>
      </c>
      <c r="R17" s="16">
        <f t="shared" si="15"/>
        <v>27514774.555879332</v>
      </c>
      <c r="S17" s="17">
        <f t="shared" si="16"/>
        <v>3.1182169347404018E-2</v>
      </c>
      <c r="T17" s="29">
        <f t="shared" si="17"/>
        <v>27943053.204329394</v>
      </c>
      <c r="U17" s="43">
        <f t="shared" si="3"/>
        <v>3.0704245290709382E-2</v>
      </c>
      <c r="AG17" s="15"/>
      <c r="AH17" s="15">
        <f t="shared" si="18"/>
        <v>14</v>
      </c>
      <c r="AI17" s="16">
        <f t="shared" si="4"/>
        <v>80562.850908944965</v>
      </c>
      <c r="AJ17" s="44">
        <f t="shared" si="5"/>
        <v>9436.3511783417489</v>
      </c>
      <c r="AK17" s="45">
        <f t="shared" si="6"/>
        <v>71126.499730603216</v>
      </c>
      <c r="AL17" s="16">
        <f t="shared" si="19"/>
        <v>9474096.9462354258</v>
      </c>
      <c r="AM17" s="17">
        <f t="shared" si="7"/>
        <v>0.11713030350684898</v>
      </c>
      <c r="AN17" s="17">
        <f t="shared" si="8"/>
        <v>0.88286969649315106</v>
      </c>
    </row>
    <row r="18" spans="3:40" ht="49" thickTop="1" thickBot="1" x14ac:dyDescent="0.6">
      <c r="C18" s="14" t="s">
        <v>21</v>
      </c>
      <c r="D18" s="34">
        <v>40000</v>
      </c>
      <c r="E18" s="19">
        <f>D18*12/D4</f>
        <v>0.04</v>
      </c>
      <c r="H18" s="15">
        <f t="shared" si="1"/>
        <v>15</v>
      </c>
      <c r="I18" s="16">
        <f t="shared" si="9"/>
        <v>950367.16773091105</v>
      </c>
      <c r="J18" s="16">
        <f t="shared" si="10"/>
        <v>29698.97399159097</v>
      </c>
      <c r="K18" s="16">
        <f t="shared" si="11"/>
        <v>920668.19373932004</v>
      </c>
      <c r="L18" s="16">
        <f t="shared" si="12"/>
        <v>276200.45812179602</v>
      </c>
      <c r="M18" s="16">
        <f>SUM(AK172:AK183)</f>
        <v>590950.46813045978</v>
      </c>
      <c r="N18" s="16">
        <f t="shared" si="13"/>
        <v>53517.267487064237</v>
      </c>
      <c r="O18" s="16">
        <f t="shared" si="0"/>
        <v>16055.180246119271</v>
      </c>
      <c r="P18" s="16">
        <f t="shared" si="14"/>
        <v>904613.01349320076</v>
      </c>
      <c r="Q18" s="16">
        <f t="shared" si="2"/>
        <v>19799.315994393983</v>
      </c>
      <c r="R18" s="16">
        <f t="shared" si="15"/>
        <v>29165661.029232092</v>
      </c>
      <c r="S18" s="17">
        <f t="shared" si="16"/>
        <v>3.0337515635664069E-2</v>
      </c>
      <c r="T18" s="29">
        <f t="shared" si="17"/>
        <v>30617530.432688151</v>
      </c>
      <c r="U18" s="43">
        <f t="shared" si="3"/>
        <v>2.8898924406854001E-2</v>
      </c>
      <c r="AG18" s="15"/>
      <c r="AH18" s="15">
        <f t="shared" si="18"/>
        <v>15</v>
      </c>
      <c r="AI18" s="16">
        <f t="shared" si="4"/>
        <v>80562.850908944965</v>
      </c>
      <c r="AJ18" s="44">
        <f t="shared" si="5"/>
        <v>9507.1238121793122</v>
      </c>
      <c r="AK18" s="45">
        <f t="shared" si="6"/>
        <v>71055.727096765651</v>
      </c>
      <c r="AL18" s="16">
        <f t="shared" si="19"/>
        <v>9464589.8224232458</v>
      </c>
      <c r="AM18" s="17">
        <f t="shared" si="7"/>
        <v>0.11800878078315036</v>
      </c>
      <c r="AN18" s="17">
        <f t="shared" si="8"/>
        <v>0.88199121921684964</v>
      </c>
    </row>
    <row r="19" spans="3:40" ht="49" thickTop="1" thickBot="1" x14ac:dyDescent="0.6">
      <c r="C19" s="20" t="s">
        <v>22</v>
      </c>
      <c r="D19" s="48">
        <v>0.05</v>
      </c>
      <c r="H19" s="15">
        <f t="shared" si="1"/>
        <v>16</v>
      </c>
      <c r="I19" s="16">
        <f t="shared" si="9"/>
        <v>997885.52611745661</v>
      </c>
      <c r="J19" s="16">
        <f t="shared" si="10"/>
        <v>31183.922691170519</v>
      </c>
      <c r="K19" s="16">
        <f t="shared" si="11"/>
        <v>966701.60342628614</v>
      </c>
      <c r="L19" s="16">
        <f t="shared" si="12"/>
        <v>290010.48102788581</v>
      </c>
      <c r="M19" s="16">
        <f>SUM(AK184:AK195)</f>
        <v>555697.48488741671</v>
      </c>
      <c r="N19" s="16">
        <f t="shared" si="13"/>
        <v>120993.63751098362</v>
      </c>
      <c r="O19" s="16">
        <f t="shared" si="0"/>
        <v>36298.091253295082</v>
      </c>
      <c r="P19" s="16">
        <f t="shared" si="14"/>
        <v>930403.51217299106</v>
      </c>
      <c r="Q19" s="16">
        <f t="shared" si="2"/>
        <v>20789.281794113682</v>
      </c>
      <c r="R19" s="16">
        <f t="shared" si="15"/>
        <v>30915600.690986019</v>
      </c>
      <c r="S19" s="17">
        <f t="shared" si="16"/>
        <v>2.942249899883366E-2</v>
      </c>
      <c r="T19" s="29">
        <f t="shared" si="17"/>
        <v>33452476.294748433</v>
      </c>
      <c r="U19" s="43">
        <f t="shared" si="3"/>
        <v>2.7191237574292041E-2</v>
      </c>
      <c r="AG19" s="15"/>
      <c r="AH19" s="15">
        <f t="shared" si="18"/>
        <v>16</v>
      </c>
      <c r="AI19" s="16">
        <f t="shared" si="4"/>
        <v>80562.850908944965</v>
      </c>
      <c r="AJ19" s="44">
        <f t="shared" si="5"/>
        <v>9578.427240770654</v>
      </c>
      <c r="AK19" s="45">
        <f t="shared" si="6"/>
        <v>70984.423668174306</v>
      </c>
      <c r="AL19" s="16">
        <f t="shared" si="19"/>
        <v>9455011.3951824754</v>
      </c>
      <c r="AM19" s="17">
        <f t="shared" si="7"/>
        <v>0.11889384663902396</v>
      </c>
      <c r="AN19" s="17">
        <f t="shared" si="8"/>
        <v>0.88110615336097597</v>
      </c>
    </row>
    <row r="20" spans="3:40" ht="49" thickTop="1" thickBot="1" x14ac:dyDescent="0.6">
      <c r="C20" s="46" t="s">
        <v>55</v>
      </c>
      <c r="D20" s="47">
        <f>D4+D11+D13+D15</f>
        <v>12900000</v>
      </c>
      <c r="H20" s="15">
        <f t="shared" si="1"/>
        <v>17</v>
      </c>
      <c r="I20" s="16">
        <f t="shared" si="9"/>
        <v>1047779.8024233294</v>
      </c>
      <c r="J20" s="16">
        <f t="shared" si="10"/>
        <v>32743.118825729045</v>
      </c>
      <c r="K20" s="16">
        <f t="shared" si="11"/>
        <v>1015036.6835976004</v>
      </c>
      <c r="L20" s="16">
        <f t="shared" si="12"/>
        <v>304511.00507928012</v>
      </c>
      <c r="M20" s="16">
        <f>SUM(AK196:AK207)</f>
        <v>517137.52865269629</v>
      </c>
      <c r="N20" s="16">
        <f t="shared" si="13"/>
        <v>193388.14986562403</v>
      </c>
      <c r="O20" s="16">
        <f t="shared" si="0"/>
        <v>58016.444959687207</v>
      </c>
      <c r="P20" s="16">
        <f t="shared" si="14"/>
        <v>957020.23863791325</v>
      </c>
      <c r="Q20" s="16">
        <f t="shared" si="2"/>
        <v>21828.745883819367</v>
      </c>
      <c r="R20" s="16">
        <f t="shared" si="15"/>
        <v>32770536.73244518</v>
      </c>
      <c r="S20" s="17">
        <f t="shared" si="16"/>
        <v>2.8537570207941915E-2</v>
      </c>
      <c r="T20" s="29">
        <f t="shared" si="17"/>
        <v>36457518.908532336</v>
      </c>
      <c r="U20" s="43">
        <f t="shared" si="3"/>
        <v>2.565153967554348E-2</v>
      </c>
      <c r="AG20" s="15"/>
      <c r="AH20" s="15">
        <f t="shared" si="18"/>
        <v>17</v>
      </c>
      <c r="AI20" s="16">
        <f t="shared" si="4"/>
        <v>80562.850908944965</v>
      </c>
      <c r="AJ20" s="44">
        <f t="shared" si="5"/>
        <v>9650.2654450764367</v>
      </c>
      <c r="AK20" s="45">
        <f t="shared" si="6"/>
        <v>70912.585463868541</v>
      </c>
      <c r="AL20" s="16">
        <f t="shared" si="19"/>
        <v>9445361.1297373995</v>
      </c>
      <c r="AM20" s="17">
        <f t="shared" si="7"/>
        <v>0.11978555048881666</v>
      </c>
      <c r="AN20" s="17">
        <f t="shared" si="8"/>
        <v>0.88021444951118344</v>
      </c>
    </row>
    <row r="21" spans="3:40" ht="49" thickTop="1" thickBot="1" x14ac:dyDescent="0.6">
      <c r="H21" s="15">
        <f t="shared" si="1"/>
        <v>18</v>
      </c>
      <c r="I21" s="16">
        <f t="shared" si="9"/>
        <v>1100168.792544496</v>
      </c>
      <c r="J21" s="16">
        <f t="shared" si="10"/>
        <v>34380.2747670155</v>
      </c>
      <c r="K21" s="16">
        <f t="shared" si="11"/>
        <v>1065788.5177774804</v>
      </c>
      <c r="L21" s="16">
        <f t="shared" si="12"/>
        <v>319736.55533324409</v>
      </c>
      <c r="M21" s="16">
        <f>SUM(AK208:AK219)</f>
        <v>474960.38254926819</v>
      </c>
      <c r="N21" s="16">
        <f t="shared" si="13"/>
        <v>271091.57989496808</v>
      </c>
      <c r="O21" s="16">
        <f t="shared" si="0"/>
        <v>81327.47396849042</v>
      </c>
      <c r="P21" s="16">
        <f t="shared" si="14"/>
        <v>984461.04380899004</v>
      </c>
      <c r="Q21" s="16">
        <f t="shared" si="2"/>
        <v>22920.183178010335</v>
      </c>
      <c r="R21" s="16">
        <f t="shared" si="15"/>
        <v>34736768.93639189</v>
      </c>
      <c r="S21" s="17">
        <f t="shared" si="16"/>
        <v>2.7680780051584586E-2</v>
      </c>
      <c r="T21" s="29">
        <f t="shared" si="17"/>
        <v>39642864.079143278</v>
      </c>
      <c r="U21" s="43">
        <f t="shared" si="3"/>
        <v>2.4255080528776961E-2</v>
      </c>
      <c r="AG21" s="15"/>
      <c r="AH21" s="15">
        <f t="shared" si="18"/>
        <v>18</v>
      </c>
      <c r="AI21" s="16">
        <f t="shared" si="4"/>
        <v>80562.850908944965</v>
      </c>
      <c r="AJ21" s="44">
        <f t="shared" si="5"/>
        <v>9722.6424359145094</v>
      </c>
      <c r="AK21" s="45">
        <f t="shared" si="6"/>
        <v>70840.208473030449</v>
      </c>
      <c r="AL21" s="16">
        <f t="shared" si="19"/>
        <v>9435638.4873014856</v>
      </c>
      <c r="AM21" s="17">
        <f t="shared" si="7"/>
        <v>0.12068394211748279</v>
      </c>
      <c r="AN21" s="17">
        <f t="shared" si="8"/>
        <v>0.8793160578825171</v>
      </c>
    </row>
    <row r="22" spans="3:40" ht="49" thickTop="1" thickBot="1" x14ac:dyDescent="0.6">
      <c r="H22" s="15">
        <f t="shared" si="1"/>
        <v>19</v>
      </c>
      <c r="I22" s="16">
        <f t="shared" si="9"/>
        <v>1155177.2321717208</v>
      </c>
      <c r="J22" s="16">
        <f t="shared" si="10"/>
        <v>36099.288505366276</v>
      </c>
      <c r="K22" s="16">
        <f t="shared" si="11"/>
        <v>1119077.9436663545</v>
      </c>
      <c r="L22" s="16">
        <f t="shared" si="12"/>
        <v>335723.38309990632</v>
      </c>
      <c r="M22" s="16">
        <f>SUM(AK220:AK232)</f>
        <v>462347.02745728439</v>
      </c>
      <c r="N22" s="16">
        <f t="shared" si="13"/>
        <v>321007.53310916375</v>
      </c>
      <c r="O22" s="16">
        <f t="shared" si="0"/>
        <v>96302.259932749119</v>
      </c>
      <c r="P22" s="16">
        <f t="shared" si="14"/>
        <v>1022775.6837336054</v>
      </c>
      <c r="Q22" s="16">
        <f t="shared" si="2"/>
        <v>24066.192336910852</v>
      </c>
      <c r="R22" s="16">
        <f t="shared" si="15"/>
        <v>36820975.072575405</v>
      </c>
      <c r="S22" s="17">
        <f t="shared" si="16"/>
        <v>2.7123385228886632E-2</v>
      </c>
      <c r="T22" s="29">
        <f t="shared" si="17"/>
        <v>43019329.959990874</v>
      </c>
      <c r="U22" s="43">
        <f t="shared" si="3"/>
        <v>2.32153660302362E-2</v>
      </c>
      <c r="AG22" s="15"/>
      <c r="AH22" s="15">
        <f t="shared" si="18"/>
        <v>19</v>
      </c>
      <c r="AI22" s="16">
        <f t="shared" si="4"/>
        <v>80562.850908944965</v>
      </c>
      <c r="AJ22" s="44">
        <f t="shared" si="5"/>
        <v>9795.5622541838675</v>
      </c>
      <c r="AK22" s="45">
        <f t="shared" si="6"/>
        <v>70767.288654761098</v>
      </c>
      <c r="AL22" s="16">
        <f t="shared" si="19"/>
        <v>9425842.9250473026</v>
      </c>
      <c r="AM22" s="17">
        <f t="shared" si="7"/>
        <v>0.1215890716833639</v>
      </c>
      <c r="AN22" s="17">
        <f t="shared" si="8"/>
        <v>0.87841092831663614</v>
      </c>
    </row>
    <row r="23" spans="3:40" ht="49" thickTop="1" thickBot="1" x14ac:dyDescent="0.6">
      <c r="H23" s="15">
        <f t="shared" si="1"/>
        <v>20</v>
      </c>
      <c r="I23" s="16">
        <f t="shared" si="9"/>
        <v>1212936.0937803069</v>
      </c>
      <c r="J23" s="16">
        <f t="shared" si="10"/>
        <v>37904.25293063459</v>
      </c>
      <c r="K23" s="16">
        <f t="shared" si="11"/>
        <v>1175031.8408496722</v>
      </c>
      <c r="L23" s="16">
        <f t="shared" si="12"/>
        <v>352509.55225490168</v>
      </c>
      <c r="M23" s="16">
        <f>SUM(AK232:AK243)</f>
        <v>378365.42098795081</v>
      </c>
      <c r="N23" s="16">
        <f t="shared" si="13"/>
        <v>444156.86760681967</v>
      </c>
      <c r="O23" s="16">
        <f t="shared" si="0"/>
        <v>133247.06028204589</v>
      </c>
      <c r="P23" s="16">
        <f t="shared" si="14"/>
        <v>1041784.7805676264</v>
      </c>
      <c r="Q23" s="16">
        <f t="shared" si="2"/>
        <v>25269.501953756397</v>
      </c>
      <c r="R23" s="16">
        <f t="shared" si="15"/>
        <v>39030233.576929934</v>
      </c>
      <c r="S23" s="17">
        <f t="shared" si="16"/>
        <v>2.6044304259934373E-2</v>
      </c>
      <c r="T23" s="29">
        <f t="shared" si="17"/>
        <v>46598383.793689333</v>
      </c>
      <c r="U23" s="43">
        <f t="shared" si="3"/>
        <v>2.1814389166680354E-2</v>
      </c>
      <c r="AG23" s="15"/>
      <c r="AH23" s="15">
        <f t="shared" si="18"/>
        <v>20</v>
      </c>
      <c r="AI23" s="16">
        <f t="shared" si="4"/>
        <v>80562.850908944965</v>
      </c>
      <c r="AJ23" s="44">
        <f t="shared" si="5"/>
        <v>9869.0289710902489</v>
      </c>
      <c r="AK23" s="45">
        <f t="shared" si="6"/>
        <v>70693.821937854707</v>
      </c>
      <c r="AL23" s="16">
        <f t="shared" si="19"/>
        <v>9415973.8960762117</v>
      </c>
      <c r="AM23" s="17">
        <f t="shared" si="7"/>
        <v>0.12250098972098915</v>
      </c>
      <c r="AN23" s="17">
        <f t="shared" si="8"/>
        <v>0.87749901027901078</v>
      </c>
    </row>
    <row r="24" spans="3:40" ht="49" thickTop="1" thickBot="1" x14ac:dyDescent="0.6">
      <c r="C24" s="14" t="s">
        <v>23</v>
      </c>
      <c r="D24" s="34">
        <v>15000</v>
      </c>
      <c r="H24" s="15">
        <f t="shared" si="1"/>
        <v>21</v>
      </c>
      <c r="I24" s="16">
        <f t="shared" si="9"/>
        <v>1273582.8984693224</v>
      </c>
      <c r="J24" s="16">
        <f t="shared" si="10"/>
        <v>39799.465577166324</v>
      </c>
      <c r="K24" s="16">
        <f t="shared" si="11"/>
        <v>1233783.4328921561</v>
      </c>
      <c r="L24" s="16">
        <f t="shared" si="12"/>
        <v>370135.02986764681</v>
      </c>
      <c r="M24" s="16">
        <f>SUM(AK244:AK255)</f>
        <v>323170.49398122914</v>
      </c>
      <c r="N24" s="16">
        <f t="shared" si="13"/>
        <v>540477.90904328017</v>
      </c>
      <c r="O24" s="16">
        <f t="shared" si="0"/>
        <v>162143.37271298404</v>
      </c>
      <c r="P24" s="16">
        <f t="shared" si="14"/>
        <v>1071640.0601791721</v>
      </c>
      <c r="Q24" s="16">
        <f t="shared" si="2"/>
        <v>26532.977051444217</v>
      </c>
      <c r="R24" s="16">
        <f t="shared" si="15"/>
        <v>41372047.591545731</v>
      </c>
      <c r="S24" s="17">
        <f t="shared" si="16"/>
        <v>2.5261188265221196E-2</v>
      </c>
      <c r="T24" s="29">
        <f t="shared" si="17"/>
        <v>50392180.857409701</v>
      </c>
      <c r="U24" s="43">
        <f t="shared" si="3"/>
        <v>2.0739469206244018E-2</v>
      </c>
      <c r="AG24" s="15"/>
      <c r="AH24" s="15">
        <f t="shared" si="18"/>
        <v>21</v>
      </c>
      <c r="AI24" s="16">
        <f t="shared" si="4"/>
        <v>80562.850908944965</v>
      </c>
      <c r="AJ24" s="44">
        <f t="shared" si="5"/>
        <v>9943.0466883734262</v>
      </c>
      <c r="AK24" s="45">
        <f t="shared" si="6"/>
        <v>70619.804220571546</v>
      </c>
      <c r="AL24" s="16">
        <f t="shared" si="19"/>
        <v>9406030.8493878376</v>
      </c>
      <c r="AM24" s="17">
        <f t="shared" si="7"/>
        <v>0.12341974714389657</v>
      </c>
      <c r="AN24" s="17">
        <f t="shared" si="8"/>
        <v>0.87658025285610353</v>
      </c>
    </row>
    <row r="25" spans="3:40" ht="49" thickTop="1" thickBot="1" x14ac:dyDescent="0.6">
      <c r="C25" s="14" t="s">
        <v>59</v>
      </c>
      <c r="D25" s="34">
        <v>10000</v>
      </c>
      <c r="H25" s="15">
        <f t="shared" si="1"/>
        <v>22</v>
      </c>
      <c r="I25" s="16">
        <f t="shared" si="9"/>
        <v>1337262.0433927886</v>
      </c>
      <c r="J25" s="16">
        <f t="shared" si="10"/>
        <v>41789.438856024644</v>
      </c>
      <c r="K25" s="16">
        <f t="shared" si="11"/>
        <v>1295472.6045367639</v>
      </c>
      <c r="L25" s="16">
        <f t="shared" si="12"/>
        <v>388641.78136102913</v>
      </c>
      <c r="M25" s="16">
        <f>SUM(AK256:AK267)</f>
        <v>262797.9021048306</v>
      </c>
      <c r="N25" s="16">
        <f t="shared" si="13"/>
        <v>644032.92107090412</v>
      </c>
      <c r="O25" s="16">
        <f t="shared" si="0"/>
        <v>193209.87632127124</v>
      </c>
      <c r="P25" s="16">
        <f t="shared" si="14"/>
        <v>1102262.7282154926</v>
      </c>
      <c r="Q25" s="16">
        <f t="shared" si="2"/>
        <v>27859.62590401643</v>
      </c>
      <c r="R25" s="16">
        <f t="shared" si="15"/>
        <v>43854370.447038479</v>
      </c>
      <c r="S25" s="17">
        <f t="shared" si="16"/>
        <v>2.4499339321470786E-2</v>
      </c>
      <c r="T25" s="29">
        <f t="shared" si="17"/>
        <v>54413605.74495329</v>
      </c>
      <c r="U25" s="43">
        <f t="shared" si="3"/>
        <v>1.9745118662920516E-2</v>
      </c>
      <c r="AG25" s="15"/>
      <c r="AH25" s="15">
        <f t="shared" si="18"/>
        <v>22</v>
      </c>
      <c r="AI25" s="16">
        <f t="shared" si="4"/>
        <v>80562.850908944965</v>
      </c>
      <c r="AJ25" s="44">
        <f t="shared" si="5"/>
        <v>10017.619538536224</v>
      </c>
      <c r="AK25" s="45">
        <f t="shared" si="6"/>
        <v>70545.231370408743</v>
      </c>
      <c r="AL25" s="16">
        <f t="shared" si="19"/>
        <v>9396013.2298493013</v>
      </c>
      <c r="AM25" s="17">
        <f t="shared" si="7"/>
        <v>0.12434539524747577</v>
      </c>
      <c r="AN25" s="17">
        <f t="shared" si="8"/>
        <v>0.87565460475252421</v>
      </c>
    </row>
    <row r="26" spans="3:40" ht="49" thickTop="1" thickBot="1" x14ac:dyDescent="0.6">
      <c r="H26" s="15">
        <f t="shared" si="1"/>
        <v>23</v>
      </c>
      <c r="I26" s="16">
        <f t="shared" si="9"/>
        <v>1404125.145562428</v>
      </c>
      <c r="J26" s="16">
        <f t="shared" si="10"/>
        <v>43878.910798825877</v>
      </c>
      <c r="K26" s="16">
        <f t="shared" si="11"/>
        <v>1360246.2347636023</v>
      </c>
      <c r="L26" s="16">
        <f t="shared" si="12"/>
        <v>408073.87042908068</v>
      </c>
      <c r="M26" s="16">
        <f>SUM(AK268:AK279)</f>
        <v>196761.94468015063</v>
      </c>
      <c r="N26" s="16">
        <f t="shared" si="13"/>
        <v>755410.41965437098</v>
      </c>
      <c r="O26" s="16">
        <f t="shared" si="0"/>
        <v>226623.12589631128</v>
      </c>
      <c r="P26" s="16">
        <f t="shared" si="14"/>
        <v>1133623.1088672909</v>
      </c>
      <c r="Q26" s="16">
        <f t="shared" si="2"/>
        <v>29252.607199217251</v>
      </c>
      <c r="R26" s="16">
        <f t="shared" si="15"/>
        <v>46485632.673860788</v>
      </c>
      <c r="S26" s="17">
        <f t="shared" si="16"/>
        <v>2.3757243650231512E-2</v>
      </c>
      <c r="T26" s="29">
        <f t="shared" si="17"/>
        <v>58676316.125749499</v>
      </c>
      <c r="U26" s="43">
        <f t="shared" si="3"/>
        <v>1.8821401454400987E-2</v>
      </c>
      <c r="AG26" s="15"/>
      <c r="AH26" s="15">
        <f t="shared" si="18"/>
        <v>23</v>
      </c>
      <c r="AI26" s="16">
        <f t="shared" si="4"/>
        <v>80562.850908944965</v>
      </c>
      <c r="AJ26" s="44">
        <f t="shared" si="5"/>
        <v>10092.751685075251</v>
      </c>
      <c r="AK26" s="45">
        <f t="shared" si="6"/>
        <v>70470.099223869722</v>
      </c>
      <c r="AL26" s="16">
        <f t="shared" si="19"/>
        <v>9385920.4781642258</v>
      </c>
      <c r="AM26" s="17">
        <f t="shared" si="7"/>
        <v>0.12527798571183191</v>
      </c>
      <c r="AN26" s="17">
        <f t="shared" si="8"/>
        <v>0.8747220142881682</v>
      </c>
    </row>
    <row r="27" spans="3:40" ht="49" thickTop="1" thickBot="1" x14ac:dyDescent="0.6">
      <c r="C27" s="63" t="s">
        <v>49</v>
      </c>
      <c r="D27" s="63"/>
      <c r="E27" s="23"/>
      <c r="H27" s="15">
        <f t="shared" si="1"/>
        <v>24</v>
      </c>
      <c r="I27" s="16">
        <f t="shared" si="9"/>
        <v>1474331.4028405496</v>
      </c>
      <c r="J27" s="16">
        <f t="shared" si="10"/>
        <v>46072.856338767175</v>
      </c>
      <c r="K27" s="16">
        <f t="shared" si="11"/>
        <v>1428258.5465017825</v>
      </c>
      <c r="L27" s="16">
        <f t="shared" si="12"/>
        <v>428477.56395053474</v>
      </c>
      <c r="M27" s="16">
        <f>SUM(AK280:AK291)</f>
        <v>124531.35895472836</v>
      </c>
      <c r="N27" s="16">
        <f t="shared" si="13"/>
        <v>875249.62359651946</v>
      </c>
      <c r="O27" s="16">
        <f t="shared" si="0"/>
        <v>262574.88707895583</v>
      </c>
      <c r="P27" s="16">
        <f t="shared" si="14"/>
        <v>1165683.6594228267</v>
      </c>
      <c r="Q27" s="16">
        <f t="shared" si="2"/>
        <v>30715.237559178116</v>
      </c>
      <c r="R27" s="16">
        <f t="shared" si="15"/>
        <v>49274770.634292439</v>
      </c>
      <c r="S27" s="17">
        <f t="shared" si="16"/>
        <v>2.3033459258230925E-2</v>
      </c>
      <c r="T27" s="29">
        <f t="shared" si="17"/>
        <v>63194789.129393481</v>
      </c>
      <c r="U27" s="43">
        <f t="shared" si="3"/>
        <v>1.7959841903099988E-2</v>
      </c>
      <c r="AG27" s="15"/>
      <c r="AH27" s="15">
        <f t="shared" si="18"/>
        <v>24</v>
      </c>
      <c r="AI27" s="16">
        <f t="shared" si="4"/>
        <v>80562.850908944965</v>
      </c>
      <c r="AJ27" s="44">
        <f t="shared" si="5"/>
        <v>10168.447322713313</v>
      </c>
      <c r="AK27" s="45">
        <f t="shared" si="6"/>
        <v>70394.403586231652</v>
      </c>
      <c r="AL27" s="16">
        <f t="shared" si="19"/>
        <v>9375752.0308415126</v>
      </c>
      <c r="AM27" s="17">
        <f t="shared" si="7"/>
        <v>0.12621757060467062</v>
      </c>
      <c r="AN27" s="17">
        <f t="shared" si="8"/>
        <v>0.87378242939532935</v>
      </c>
    </row>
    <row r="28" spans="3:40" ht="49" thickTop="1" thickBot="1" x14ac:dyDescent="0.6">
      <c r="C28" s="14" t="s">
        <v>50</v>
      </c>
      <c r="D28" s="18">
        <f>D5+D11+D13+D15</f>
        <v>3300000</v>
      </c>
      <c r="H28" s="15">
        <f t="shared" si="1"/>
        <v>25</v>
      </c>
      <c r="I28" s="16">
        <f t="shared" si="9"/>
        <v>1548047.972982577</v>
      </c>
      <c r="J28" s="16">
        <f t="shared" si="10"/>
        <v>48376.499155705533</v>
      </c>
      <c r="K28" s="16">
        <f t="shared" si="11"/>
        <v>1499671.4738268715</v>
      </c>
      <c r="L28" s="16">
        <f t="shared" si="12"/>
        <v>449901.44214806141</v>
      </c>
      <c r="M28" s="16">
        <f>SUM(AK292:AK303)</f>
        <v>45525.046065446244</v>
      </c>
      <c r="N28" s="16">
        <f t="shared" si="13"/>
        <v>1004244.9856133638</v>
      </c>
      <c r="O28" s="16">
        <f t="shared" si="0"/>
        <v>301273.4956840091</v>
      </c>
      <c r="P28" s="16">
        <f t="shared" si="14"/>
        <v>1198397.9781428624</v>
      </c>
      <c r="Q28" s="16">
        <f t="shared" si="2"/>
        <v>32250.999437137023</v>
      </c>
      <c r="R28" s="16">
        <f t="shared" si="15"/>
        <v>52231256.872349985</v>
      </c>
      <c r="S28" s="17">
        <f t="shared" si="16"/>
        <v>2.2326611468602368E-2</v>
      </c>
      <c r="T28" s="29">
        <f t="shared" si="17"/>
        <v>67984370.513256103</v>
      </c>
      <c r="U28" s="43">
        <f t="shared" si="3"/>
        <v>1.7153162850545793E-2</v>
      </c>
      <c r="AG28" s="15">
        <f>IF(AH28= "NA", "NA",3)</f>
        <v>3</v>
      </c>
      <c r="AH28" s="15">
        <f t="shared" si="18"/>
        <v>25</v>
      </c>
      <c r="AI28" s="16">
        <f t="shared" si="4"/>
        <v>80562.850908944965</v>
      </c>
      <c r="AJ28" s="44">
        <f t="shared" si="5"/>
        <v>10244.710677633662</v>
      </c>
      <c r="AK28" s="45">
        <f t="shared" si="6"/>
        <v>70318.140231311307</v>
      </c>
      <c r="AL28" s="16">
        <f t="shared" si="19"/>
        <v>9365507.3201638795</v>
      </c>
      <c r="AM28" s="17">
        <f t="shared" si="7"/>
        <v>0.12716420238420564</v>
      </c>
      <c r="AN28" s="17">
        <f t="shared" si="8"/>
        <v>0.87283579761579444</v>
      </c>
    </row>
    <row r="29" spans="3:40" ht="49" thickTop="1" thickBot="1" x14ac:dyDescent="0.6">
      <c r="H29" s="15" t="str">
        <f t="shared" si="1"/>
        <v>NA</v>
      </c>
      <c r="I29" s="16">
        <f t="shared" si="9"/>
        <v>0</v>
      </c>
      <c r="J29" s="16">
        <f t="shared" si="10"/>
        <v>0</v>
      </c>
      <c r="K29" s="16">
        <f t="shared" si="11"/>
        <v>0</v>
      </c>
      <c r="L29" s="16">
        <f t="shared" si="12"/>
        <v>0</v>
      </c>
      <c r="M29" s="16">
        <f>SUM(AK304:AK315)</f>
        <v>0</v>
      </c>
      <c r="N29" s="16">
        <f t="shared" si="13"/>
        <v>0</v>
      </c>
      <c r="O29" s="16">
        <f t="shared" si="0"/>
        <v>0</v>
      </c>
      <c r="P29" s="16">
        <f t="shared" si="14"/>
        <v>0</v>
      </c>
      <c r="Q29" s="16">
        <f t="shared" si="2"/>
        <v>0</v>
      </c>
      <c r="R29" s="16">
        <f t="shared" si="15"/>
        <v>0</v>
      </c>
      <c r="S29" s="17">
        <f t="shared" si="16"/>
        <v>0</v>
      </c>
      <c r="T29" s="29">
        <f t="shared" si="17"/>
        <v>0</v>
      </c>
      <c r="U29" s="43">
        <f t="shared" si="3"/>
        <v>0</v>
      </c>
      <c r="AG29" s="15"/>
      <c r="AH29" s="15">
        <f t="shared" si="18"/>
        <v>26</v>
      </c>
      <c r="AI29" s="16">
        <f t="shared" si="4"/>
        <v>80562.850908944965</v>
      </c>
      <c r="AJ29" s="44">
        <f t="shared" si="5"/>
        <v>10321.546007715915</v>
      </c>
      <c r="AK29" s="45">
        <f t="shared" si="6"/>
        <v>70241.304901229058</v>
      </c>
      <c r="AL29" s="16">
        <f t="shared" si="19"/>
        <v>9355185.7741561644</v>
      </c>
      <c r="AM29" s="17">
        <f t="shared" si="7"/>
        <v>0.12811793390208717</v>
      </c>
      <c r="AN29" s="17">
        <f t="shared" si="8"/>
        <v>0.87188206609791297</v>
      </c>
    </row>
    <row r="30" spans="3:40" ht="49" thickTop="1" thickBot="1" x14ac:dyDescent="0.6">
      <c r="H30" s="15" t="str">
        <f t="shared" si="1"/>
        <v>NA</v>
      </c>
      <c r="I30" s="16">
        <f t="shared" si="9"/>
        <v>0</v>
      </c>
      <c r="J30" s="16">
        <f t="shared" si="10"/>
        <v>0</v>
      </c>
      <c r="K30" s="16">
        <f t="shared" si="11"/>
        <v>0</v>
      </c>
      <c r="L30" s="16">
        <f t="shared" si="12"/>
        <v>0</v>
      </c>
      <c r="M30" s="16">
        <f>SUM(AK316:AK327)</f>
        <v>0</v>
      </c>
      <c r="N30" s="16">
        <f t="shared" si="13"/>
        <v>0</v>
      </c>
      <c r="O30" s="16">
        <f t="shared" si="0"/>
        <v>0</v>
      </c>
      <c r="P30" s="16">
        <f t="shared" si="14"/>
        <v>0</v>
      </c>
      <c r="Q30" s="16">
        <f t="shared" si="2"/>
        <v>0</v>
      </c>
      <c r="R30" s="16">
        <f t="shared" si="15"/>
        <v>0</v>
      </c>
      <c r="S30" s="17">
        <f t="shared" si="16"/>
        <v>0</v>
      </c>
      <c r="T30" s="29">
        <f t="shared" si="17"/>
        <v>0</v>
      </c>
      <c r="U30" s="43">
        <f t="shared" si="3"/>
        <v>0</v>
      </c>
      <c r="AG30" s="15"/>
      <c r="AH30" s="15">
        <f t="shared" si="18"/>
        <v>27</v>
      </c>
      <c r="AI30" s="16">
        <f t="shared" si="4"/>
        <v>80562.850908944965</v>
      </c>
      <c r="AJ30" s="44">
        <f t="shared" si="5"/>
        <v>10398.957602773784</v>
      </c>
      <c r="AK30" s="45">
        <f t="shared" si="6"/>
        <v>70163.893306171187</v>
      </c>
      <c r="AL30" s="16">
        <f t="shared" si="19"/>
        <v>9344786.8165533915</v>
      </c>
      <c r="AM30" s="17">
        <f t="shared" si="7"/>
        <v>0.12907881840635282</v>
      </c>
      <c r="AN30" s="17">
        <f t="shared" si="8"/>
        <v>0.87092118159364729</v>
      </c>
    </row>
    <row r="31" spans="3:40" ht="49" thickTop="1" thickBot="1" x14ac:dyDescent="0.6">
      <c r="C31" s="26" t="s">
        <v>24</v>
      </c>
      <c r="D31" s="27"/>
      <c r="H31" s="15" t="str">
        <f t="shared" si="1"/>
        <v>NA</v>
      </c>
      <c r="I31" s="16">
        <f t="shared" si="9"/>
        <v>0</v>
      </c>
      <c r="J31" s="16">
        <f t="shared" si="10"/>
        <v>0</v>
      </c>
      <c r="K31" s="16">
        <f t="shared" si="11"/>
        <v>0</v>
      </c>
      <c r="L31" s="16">
        <f t="shared" si="12"/>
        <v>0</v>
      </c>
      <c r="M31" s="16">
        <f>SUM(AK328:AK339)</f>
        <v>0</v>
      </c>
      <c r="N31" s="16">
        <f t="shared" si="13"/>
        <v>0</v>
      </c>
      <c r="O31" s="16">
        <f t="shared" si="0"/>
        <v>0</v>
      </c>
      <c r="P31" s="16">
        <f t="shared" si="14"/>
        <v>0</v>
      </c>
      <c r="Q31" s="16">
        <f t="shared" si="2"/>
        <v>0</v>
      </c>
      <c r="R31" s="16">
        <f t="shared" si="15"/>
        <v>0</v>
      </c>
      <c r="S31" s="17">
        <f t="shared" si="16"/>
        <v>0</v>
      </c>
      <c r="T31" s="29">
        <f t="shared" si="17"/>
        <v>0</v>
      </c>
      <c r="U31" s="43">
        <f t="shared" si="3"/>
        <v>0</v>
      </c>
      <c r="AG31" s="15"/>
      <c r="AH31" s="15">
        <f t="shared" si="18"/>
        <v>28</v>
      </c>
      <c r="AI31" s="16">
        <f t="shared" si="4"/>
        <v>80562.850908944965</v>
      </c>
      <c r="AJ31" s="44">
        <f t="shared" si="5"/>
        <v>10476.949784794586</v>
      </c>
      <c r="AK31" s="45">
        <f t="shared" si="6"/>
        <v>70085.901124150376</v>
      </c>
      <c r="AL31" s="16">
        <f t="shared" si="19"/>
        <v>9334309.8667685967</v>
      </c>
      <c r="AM31" s="17">
        <f t="shared" si="7"/>
        <v>0.13004690954440046</v>
      </c>
      <c r="AN31" s="17">
        <f t="shared" si="8"/>
        <v>0.86995309045559954</v>
      </c>
    </row>
    <row r="32" spans="3:40" ht="49" thickTop="1" thickBot="1" x14ac:dyDescent="0.6">
      <c r="C32" s="14" t="s">
        <v>25</v>
      </c>
      <c r="D32" s="18">
        <f>D4</f>
        <v>12000000</v>
      </c>
      <c r="H32" s="15" t="str">
        <f t="shared" si="1"/>
        <v>NA</v>
      </c>
      <c r="I32" s="16">
        <f t="shared" si="9"/>
        <v>0</v>
      </c>
      <c r="J32" s="16">
        <f t="shared" si="10"/>
        <v>0</v>
      </c>
      <c r="K32" s="16">
        <f t="shared" si="11"/>
        <v>0</v>
      </c>
      <c r="L32" s="16">
        <f t="shared" si="12"/>
        <v>0</v>
      </c>
      <c r="M32" s="16">
        <f>SUM(AK340:AK351)</f>
        <v>0</v>
      </c>
      <c r="N32" s="16">
        <f t="shared" si="13"/>
        <v>0</v>
      </c>
      <c r="O32" s="16">
        <f t="shared" si="0"/>
        <v>0</v>
      </c>
      <c r="P32" s="16">
        <f t="shared" si="14"/>
        <v>0</v>
      </c>
      <c r="Q32" s="16">
        <f t="shared" si="2"/>
        <v>0</v>
      </c>
      <c r="R32" s="16">
        <f t="shared" si="15"/>
        <v>0</v>
      </c>
      <c r="S32" s="17">
        <f t="shared" si="16"/>
        <v>0</v>
      </c>
      <c r="T32" s="29">
        <f t="shared" si="17"/>
        <v>0</v>
      </c>
      <c r="U32" s="43">
        <f t="shared" si="3"/>
        <v>0</v>
      </c>
      <c r="AG32" s="15"/>
      <c r="AH32" s="15">
        <f t="shared" si="18"/>
        <v>29</v>
      </c>
      <c r="AI32" s="16">
        <f t="shared" si="4"/>
        <v>80562.850908944965</v>
      </c>
      <c r="AJ32" s="44">
        <f t="shared" si="5"/>
        <v>10555.526908180549</v>
      </c>
      <c r="AK32" s="45">
        <f t="shared" si="6"/>
        <v>70007.32400076442</v>
      </c>
      <c r="AL32" s="16">
        <f t="shared" si="19"/>
        <v>9323754.3398604169</v>
      </c>
      <c r="AM32" s="17">
        <f t="shared" si="7"/>
        <v>0.13102226136598349</v>
      </c>
      <c r="AN32" s="17">
        <f t="shared" si="8"/>
        <v>0.86897773863401651</v>
      </c>
    </row>
    <row r="33" spans="3:40" ht="49" thickTop="1" thickBot="1" x14ac:dyDescent="0.6">
      <c r="C33" s="14" t="str">
        <f>C17</f>
        <v>PROPERTY APPRECIATION RATE</v>
      </c>
      <c r="D33" s="28">
        <f>D17</f>
        <v>0.06</v>
      </c>
      <c r="H33" s="15" t="str">
        <f t="shared" si="1"/>
        <v>NA</v>
      </c>
      <c r="I33" s="16">
        <f t="shared" si="9"/>
        <v>0</v>
      </c>
      <c r="J33" s="16">
        <f t="shared" si="10"/>
        <v>0</v>
      </c>
      <c r="K33" s="16">
        <f t="shared" si="11"/>
        <v>0</v>
      </c>
      <c r="L33" s="16">
        <f t="shared" si="12"/>
        <v>0</v>
      </c>
      <c r="M33" s="16">
        <f>SUM(AK352:AK363)</f>
        <v>0</v>
      </c>
      <c r="N33" s="16">
        <f t="shared" si="13"/>
        <v>0</v>
      </c>
      <c r="O33" s="16">
        <f t="shared" si="0"/>
        <v>0</v>
      </c>
      <c r="P33" s="16">
        <f t="shared" si="14"/>
        <v>0</v>
      </c>
      <c r="Q33" s="16">
        <f t="shared" si="2"/>
        <v>0</v>
      </c>
      <c r="R33" s="16">
        <f t="shared" si="15"/>
        <v>0</v>
      </c>
      <c r="S33" s="17">
        <f t="shared" si="16"/>
        <v>0</v>
      </c>
      <c r="T33" s="29">
        <f t="shared" si="17"/>
        <v>0</v>
      </c>
      <c r="U33" s="43">
        <f t="shared" si="3"/>
        <v>0</v>
      </c>
      <c r="AG33" s="15"/>
      <c r="AH33" s="15">
        <f t="shared" si="18"/>
        <v>30</v>
      </c>
      <c r="AI33" s="16">
        <f t="shared" si="4"/>
        <v>80562.850908944965</v>
      </c>
      <c r="AJ33" s="44">
        <f t="shared" si="5"/>
        <v>10634.693359991899</v>
      </c>
      <c r="AK33" s="45">
        <f t="shared" si="6"/>
        <v>69928.157548953066</v>
      </c>
      <c r="AL33" s="16">
        <f t="shared" si="19"/>
        <v>9313119.6465004254</v>
      </c>
      <c r="AM33" s="17">
        <f t="shared" si="7"/>
        <v>0.13200492832622834</v>
      </c>
      <c r="AN33" s="17">
        <f t="shared" si="8"/>
        <v>0.86799507167377166</v>
      </c>
    </row>
    <row r="34" spans="3:40" ht="49" thickTop="1" thickBot="1" x14ac:dyDescent="0.6">
      <c r="C34" s="14" t="s">
        <v>60</v>
      </c>
      <c r="D34" s="14">
        <f>D16</f>
        <v>25</v>
      </c>
      <c r="H34" s="15" t="str">
        <f t="shared" si="1"/>
        <v>NA</v>
      </c>
      <c r="I34" s="16">
        <f t="shared" si="9"/>
        <v>0</v>
      </c>
      <c r="J34" s="16">
        <f t="shared" si="10"/>
        <v>0</v>
      </c>
      <c r="K34" s="16">
        <f t="shared" si="11"/>
        <v>0</v>
      </c>
      <c r="L34" s="16">
        <f t="shared" si="12"/>
        <v>0</v>
      </c>
      <c r="M34" s="16">
        <v>0</v>
      </c>
      <c r="N34" s="16">
        <f t="shared" si="13"/>
        <v>0</v>
      </c>
      <c r="O34" s="16">
        <f t="shared" si="0"/>
        <v>0</v>
      </c>
      <c r="P34" s="16">
        <f t="shared" si="14"/>
        <v>0</v>
      </c>
      <c r="Q34" s="16">
        <f t="shared" si="2"/>
        <v>0</v>
      </c>
      <c r="R34" s="16">
        <f t="shared" si="15"/>
        <v>0</v>
      </c>
      <c r="S34" s="17">
        <f t="shared" si="16"/>
        <v>0</v>
      </c>
      <c r="T34" s="29">
        <f t="shared" si="17"/>
        <v>0</v>
      </c>
      <c r="U34" s="43">
        <f t="shared" si="3"/>
        <v>0</v>
      </c>
      <c r="AG34" s="15"/>
      <c r="AH34" s="15">
        <f t="shared" si="18"/>
        <v>31</v>
      </c>
      <c r="AI34" s="16">
        <f t="shared" si="4"/>
        <v>80562.850908944965</v>
      </c>
      <c r="AJ34" s="44">
        <f t="shared" si="5"/>
        <v>10714.453560191838</v>
      </c>
      <c r="AK34" s="45">
        <f t="shared" si="6"/>
        <v>69848.397348753133</v>
      </c>
      <c r="AL34" s="16">
        <f t="shared" si="19"/>
        <v>9302405.1929402333</v>
      </c>
      <c r="AM34" s="17">
        <f t="shared" si="7"/>
        <v>0.13299496528867505</v>
      </c>
      <c r="AN34" s="17">
        <f t="shared" si="8"/>
        <v>0.86700503471132506</v>
      </c>
    </row>
    <row r="35" spans="3:40" ht="49" thickTop="1" thickBot="1" x14ac:dyDescent="0.6">
      <c r="C35" s="14" t="s">
        <v>61</v>
      </c>
      <c r="D35" s="29">
        <f>FV(D33,D34,0,-D32)</f>
        <v>51502448.63692186</v>
      </c>
      <c r="H35" s="15" t="str">
        <f t="shared" si="1"/>
        <v>NA</v>
      </c>
      <c r="I35" s="16">
        <f t="shared" si="9"/>
        <v>0</v>
      </c>
      <c r="J35" s="16">
        <f t="shared" si="10"/>
        <v>0</v>
      </c>
      <c r="K35" s="16">
        <f t="shared" si="11"/>
        <v>0</v>
      </c>
      <c r="L35" s="16">
        <f t="shared" si="12"/>
        <v>0</v>
      </c>
      <c r="M35" s="16">
        <v>0</v>
      </c>
      <c r="N35" s="16">
        <f t="shared" si="13"/>
        <v>0</v>
      </c>
      <c r="O35" s="16">
        <f t="shared" si="0"/>
        <v>0</v>
      </c>
      <c r="P35" s="16">
        <f t="shared" si="14"/>
        <v>0</v>
      </c>
      <c r="Q35" s="16">
        <f t="shared" si="2"/>
        <v>0</v>
      </c>
      <c r="R35" s="16">
        <f t="shared" si="15"/>
        <v>0</v>
      </c>
      <c r="S35" s="17">
        <f t="shared" si="16"/>
        <v>0</v>
      </c>
      <c r="T35" s="29">
        <f t="shared" si="17"/>
        <v>0</v>
      </c>
      <c r="U35" s="43">
        <f t="shared" si="3"/>
        <v>0</v>
      </c>
      <c r="AG35" s="15"/>
      <c r="AH35" s="15">
        <f t="shared" si="18"/>
        <v>32</v>
      </c>
      <c r="AI35" s="16">
        <f t="shared" si="4"/>
        <v>80562.850908944965</v>
      </c>
      <c r="AJ35" s="44">
        <f t="shared" si="5"/>
        <v>10794.811961893276</v>
      </c>
      <c r="AK35" s="45">
        <f t="shared" si="6"/>
        <v>69768.038947051697</v>
      </c>
      <c r="AL35" s="16">
        <f t="shared" si="19"/>
        <v>9291610.3809783403</v>
      </c>
      <c r="AM35" s="17">
        <f t="shared" si="7"/>
        <v>0.13399242752834009</v>
      </c>
      <c r="AN35" s="17">
        <f t="shared" si="8"/>
        <v>0.86600757247166005</v>
      </c>
    </row>
    <row r="36" spans="3:40" ht="49" thickTop="1" thickBot="1" x14ac:dyDescent="0.6">
      <c r="H36" s="15" t="str">
        <f t="shared" si="1"/>
        <v>NA</v>
      </c>
      <c r="I36" s="16">
        <f t="shared" si="9"/>
        <v>0</v>
      </c>
      <c r="J36" s="16">
        <f t="shared" si="10"/>
        <v>0</v>
      </c>
      <c r="K36" s="16">
        <f t="shared" si="11"/>
        <v>0</v>
      </c>
      <c r="L36" s="16">
        <f t="shared" si="12"/>
        <v>0</v>
      </c>
      <c r="M36" s="16">
        <v>0</v>
      </c>
      <c r="N36" s="16">
        <f t="shared" si="13"/>
        <v>0</v>
      </c>
      <c r="O36" s="16">
        <f t="shared" ref="O36:O67" si="20">IF(N36&gt;0,N36*$O$2,0)</f>
        <v>0</v>
      </c>
      <c r="P36" s="16">
        <f t="shared" si="14"/>
        <v>0</v>
      </c>
      <c r="Q36" s="16">
        <f t="shared" si="2"/>
        <v>0</v>
      </c>
      <c r="R36" s="16">
        <f t="shared" si="15"/>
        <v>0</v>
      </c>
      <c r="S36" s="17">
        <f t="shared" si="16"/>
        <v>0</v>
      </c>
      <c r="T36" s="29">
        <f t="shared" si="17"/>
        <v>0</v>
      </c>
      <c r="U36" s="43">
        <f t="shared" si="3"/>
        <v>0</v>
      </c>
      <c r="AG36" s="15"/>
      <c r="AH36" s="15">
        <f t="shared" si="18"/>
        <v>33</v>
      </c>
      <c r="AI36" s="16">
        <f t="shared" si="4"/>
        <v>80562.850908944965</v>
      </c>
      <c r="AJ36" s="44">
        <f t="shared" si="5"/>
        <v>10875.773051607479</v>
      </c>
      <c r="AK36" s="45">
        <f t="shared" si="6"/>
        <v>69687.077857337499</v>
      </c>
      <c r="AL36" s="16">
        <f t="shared" si="19"/>
        <v>9280734.6079267319</v>
      </c>
      <c r="AM36" s="17">
        <f t="shared" si="7"/>
        <v>0.1349973707348027</v>
      </c>
      <c r="AN36" s="17">
        <f t="shared" si="8"/>
        <v>0.86500262926519744</v>
      </c>
    </row>
    <row r="37" spans="3:40" ht="49" thickTop="1" thickBot="1" x14ac:dyDescent="0.6">
      <c r="H37" s="15" t="str">
        <f t="shared" ref="H37:H68" si="21">IF(H36&lt;$D$16,H36+1, "NA")</f>
        <v>NA</v>
      </c>
      <c r="I37" s="16">
        <f t="shared" si="9"/>
        <v>0</v>
      </c>
      <c r="J37" s="16">
        <f t="shared" si="10"/>
        <v>0</v>
      </c>
      <c r="K37" s="16">
        <f t="shared" si="11"/>
        <v>0</v>
      </c>
      <c r="L37" s="16">
        <f t="shared" si="12"/>
        <v>0</v>
      </c>
      <c r="M37" s="16">
        <v>0</v>
      </c>
      <c r="N37" s="16">
        <f t="shared" si="13"/>
        <v>0</v>
      </c>
      <c r="O37" s="16">
        <f t="shared" si="20"/>
        <v>0</v>
      </c>
      <c r="P37" s="16">
        <f t="shared" si="14"/>
        <v>0</v>
      </c>
      <c r="Q37" s="16">
        <f t="shared" ref="Q37:Q68" si="22">IF(H37= "NA",0,Q36*(1+$Q$2))</f>
        <v>0</v>
      </c>
      <c r="R37" s="16">
        <f t="shared" si="15"/>
        <v>0</v>
      </c>
      <c r="S37" s="17">
        <f t="shared" si="16"/>
        <v>0</v>
      </c>
      <c r="T37" s="29">
        <f t="shared" si="17"/>
        <v>0</v>
      </c>
      <c r="U37" s="43">
        <f t="shared" si="3"/>
        <v>0</v>
      </c>
      <c r="AG37" s="15"/>
      <c r="AH37" s="15">
        <f t="shared" si="18"/>
        <v>34</v>
      </c>
      <c r="AI37" s="16">
        <f t="shared" si="4"/>
        <v>80562.850908944965</v>
      </c>
      <c r="AJ37" s="44">
        <f t="shared" si="5"/>
        <v>10957.341349494534</v>
      </c>
      <c r="AK37" s="45">
        <f t="shared" si="6"/>
        <v>69605.509559450438</v>
      </c>
      <c r="AL37" s="16">
        <f t="shared" si="19"/>
        <v>9269777.2665772382</v>
      </c>
      <c r="AM37" s="17">
        <f t="shared" si="7"/>
        <v>0.13600985101531371</v>
      </c>
      <c r="AN37" s="17">
        <f t="shared" si="8"/>
        <v>0.8639901489846864</v>
      </c>
    </row>
    <row r="38" spans="3:40" ht="49" thickTop="1" thickBot="1" x14ac:dyDescent="0.6">
      <c r="C38" s="63" t="s">
        <v>29</v>
      </c>
      <c r="D38" s="63"/>
      <c r="H38" s="15" t="str">
        <f t="shared" si="21"/>
        <v>NA</v>
      </c>
      <c r="I38" s="16">
        <f t="shared" si="9"/>
        <v>0</v>
      </c>
      <c r="J38" s="16">
        <f t="shared" si="10"/>
        <v>0</v>
      </c>
      <c r="K38" s="16">
        <f t="shared" si="11"/>
        <v>0</v>
      </c>
      <c r="L38" s="16">
        <f t="shared" si="12"/>
        <v>0</v>
      </c>
      <c r="M38" s="16">
        <v>0</v>
      </c>
      <c r="N38" s="16">
        <f t="shared" si="13"/>
        <v>0</v>
      </c>
      <c r="O38" s="16">
        <f t="shared" si="20"/>
        <v>0</v>
      </c>
      <c r="P38" s="16">
        <f t="shared" si="14"/>
        <v>0</v>
      </c>
      <c r="Q38" s="16">
        <f t="shared" si="22"/>
        <v>0</v>
      </c>
      <c r="R38" s="16">
        <f t="shared" si="15"/>
        <v>0</v>
      </c>
      <c r="S38" s="17">
        <f t="shared" si="16"/>
        <v>0</v>
      </c>
      <c r="T38" s="29">
        <f t="shared" si="17"/>
        <v>0</v>
      </c>
      <c r="U38" s="43">
        <f t="shared" si="3"/>
        <v>0</v>
      </c>
      <c r="AG38" s="15"/>
      <c r="AH38" s="15">
        <f t="shared" si="18"/>
        <v>35</v>
      </c>
      <c r="AI38" s="16">
        <f t="shared" si="4"/>
        <v>80562.850908944965</v>
      </c>
      <c r="AJ38" s="44">
        <f t="shared" si="5"/>
        <v>11039.521409615742</v>
      </c>
      <c r="AK38" s="45">
        <f t="shared" si="6"/>
        <v>69523.329499329222</v>
      </c>
      <c r="AL38" s="16">
        <f t="shared" si="19"/>
        <v>9258737.7451676223</v>
      </c>
      <c r="AM38" s="17">
        <f t="shared" si="7"/>
        <v>0.13702992489792853</v>
      </c>
      <c r="AN38" s="17">
        <f t="shared" si="8"/>
        <v>0.86297007510207147</v>
      </c>
    </row>
    <row r="39" spans="3:40" ht="49" thickTop="1" thickBot="1" x14ac:dyDescent="0.6">
      <c r="C39" s="14" t="s">
        <v>52</v>
      </c>
      <c r="D39" s="28">
        <f>SUM(S4:S92)/D16</f>
        <v>3.0137239943604371E-2</v>
      </c>
      <c r="H39" s="15" t="str">
        <f t="shared" si="21"/>
        <v>NA</v>
      </c>
      <c r="I39" s="16">
        <f t="shared" si="9"/>
        <v>0</v>
      </c>
      <c r="J39" s="16">
        <f t="shared" si="10"/>
        <v>0</v>
      </c>
      <c r="K39" s="16">
        <f t="shared" si="11"/>
        <v>0</v>
      </c>
      <c r="L39" s="16">
        <f t="shared" si="12"/>
        <v>0</v>
      </c>
      <c r="M39" s="16">
        <v>0</v>
      </c>
      <c r="N39" s="16">
        <f t="shared" si="13"/>
        <v>0</v>
      </c>
      <c r="O39" s="16">
        <f t="shared" si="20"/>
        <v>0</v>
      </c>
      <c r="P39" s="16">
        <f t="shared" si="14"/>
        <v>0</v>
      </c>
      <c r="Q39" s="16">
        <f t="shared" si="22"/>
        <v>0</v>
      </c>
      <c r="R39" s="16">
        <f t="shared" si="15"/>
        <v>0</v>
      </c>
      <c r="S39" s="17">
        <f t="shared" si="16"/>
        <v>0</v>
      </c>
      <c r="T39" s="29">
        <f t="shared" si="17"/>
        <v>0</v>
      </c>
      <c r="U39" s="43">
        <f t="shared" si="3"/>
        <v>0</v>
      </c>
      <c r="AG39" s="15"/>
      <c r="AH39" s="15">
        <f t="shared" si="18"/>
        <v>36</v>
      </c>
      <c r="AI39" s="16">
        <f t="shared" si="4"/>
        <v>80562.850908944965</v>
      </c>
      <c r="AJ39" s="44">
        <f t="shared" si="5"/>
        <v>11122.31782018786</v>
      </c>
      <c r="AK39" s="45">
        <f t="shared" si="6"/>
        <v>69440.533088757104</v>
      </c>
      <c r="AL39" s="16">
        <f t="shared" si="19"/>
        <v>9247615.4273474347</v>
      </c>
      <c r="AM39" s="17">
        <f t="shared" si="7"/>
        <v>0.138057649334663</v>
      </c>
      <c r="AN39" s="17">
        <f t="shared" si="8"/>
        <v>0.86194235066533698</v>
      </c>
    </row>
    <row r="40" spans="3:40" ht="49" thickTop="1" thickBot="1" x14ac:dyDescent="0.6">
      <c r="C40" s="14" t="s">
        <v>53</v>
      </c>
      <c r="D40" s="43">
        <f>SUM(U4:U92)/D16</f>
        <v>3.9363518798266016E-2</v>
      </c>
      <c r="H40" s="15" t="str">
        <f t="shared" si="21"/>
        <v>NA</v>
      </c>
      <c r="I40" s="16">
        <f t="shared" si="9"/>
        <v>0</v>
      </c>
      <c r="J40" s="16">
        <f t="shared" si="10"/>
        <v>0</v>
      </c>
      <c r="K40" s="16">
        <f t="shared" si="11"/>
        <v>0</v>
      </c>
      <c r="L40" s="16">
        <f t="shared" si="12"/>
        <v>0</v>
      </c>
      <c r="M40" s="16">
        <v>0</v>
      </c>
      <c r="N40" s="16">
        <f t="shared" si="13"/>
        <v>0</v>
      </c>
      <c r="O40" s="16">
        <f t="shared" si="20"/>
        <v>0</v>
      </c>
      <c r="P40" s="16">
        <f t="shared" si="14"/>
        <v>0</v>
      </c>
      <c r="Q40" s="16">
        <f t="shared" si="22"/>
        <v>0</v>
      </c>
      <c r="R40" s="16">
        <f t="shared" si="15"/>
        <v>0</v>
      </c>
      <c r="S40" s="17">
        <f t="shared" si="16"/>
        <v>0</v>
      </c>
      <c r="T40" s="29">
        <f t="shared" si="17"/>
        <v>0</v>
      </c>
      <c r="U40" s="43">
        <f t="shared" si="3"/>
        <v>0</v>
      </c>
      <c r="AG40" s="15">
        <f>IF(AH40= "NA", "NA",4)</f>
        <v>4</v>
      </c>
      <c r="AH40" s="15">
        <f t="shared" si="18"/>
        <v>37</v>
      </c>
      <c r="AI40" s="16">
        <f t="shared" si="4"/>
        <v>80562.850908944965</v>
      </c>
      <c r="AJ40" s="44">
        <f t="shared" si="5"/>
        <v>11205.735203839269</v>
      </c>
      <c r="AK40" s="45">
        <f t="shared" si="6"/>
        <v>69357.115705105709</v>
      </c>
      <c r="AL40" s="16">
        <f t="shared" si="19"/>
        <v>9236409.6921435948</v>
      </c>
      <c r="AM40" s="17">
        <f t="shared" si="7"/>
        <v>0.13909308170467297</v>
      </c>
      <c r="AN40" s="17">
        <f t="shared" si="8"/>
        <v>0.86090691829532717</v>
      </c>
    </row>
    <row r="41" spans="3:40" ht="49" thickTop="1" thickBot="1" x14ac:dyDescent="0.6">
      <c r="H41" s="15" t="str">
        <f t="shared" si="21"/>
        <v>NA</v>
      </c>
      <c r="I41" s="16">
        <f t="shared" si="9"/>
        <v>0</v>
      </c>
      <c r="J41" s="16">
        <f t="shared" si="10"/>
        <v>0</v>
      </c>
      <c r="K41" s="16">
        <f t="shared" si="11"/>
        <v>0</v>
      </c>
      <c r="L41" s="16">
        <f t="shared" si="12"/>
        <v>0</v>
      </c>
      <c r="M41" s="16">
        <v>0</v>
      </c>
      <c r="N41" s="16">
        <f t="shared" si="13"/>
        <v>0</v>
      </c>
      <c r="O41" s="16">
        <f t="shared" si="20"/>
        <v>0</v>
      </c>
      <c r="P41" s="16">
        <f t="shared" si="14"/>
        <v>0</v>
      </c>
      <c r="Q41" s="16">
        <f t="shared" si="22"/>
        <v>0</v>
      </c>
      <c r="R41" s="16">
        <f t="shared" si="15"/>
        <v>0</v>
      </c>
      <c r="S41" s="17">
        <f t="shared" si="16"/>
        <v>0</v>
      </c>
      <c r="T41" s="29">
        <f t="shared" si="17"/>
        <v>0</v>
      </c>
      <c r="U41" s="43">
        <f t="shared" si="3"/>
        <v>0</v>
      </c>
      <c r="AG41" s="15"/>
      <c r="AH41" s="15">
        <f t="shared" si="18"/>
        <v>38</v>
      </c>
      <c r="AI41" s="16">
        <f t="shared" si="4"/>
        <v>80562.850908944965</v>
      </c>
      <c r="AJ41" s="44">
        <f t="shared" si="5"/>
        <v>11289.778217868066</v>
      </c>
      <c r="AK41" s="45">
        <f t="shared" si="6"/>
        <v>69273.072691076901</v>
      </c>
      <c r="AL41" s="16">
        <f t="shared" si="19"/>
        <v>9225119.913925726</v>
      </c>
      <c r="AM41" s="17">
        <f t="shared" si="7"/>
        <v>0.14013627981745805</v>
      </c>
      <c r="AN41" s="17">
        <f t="shared" si="8"/>
        <v>0.85986372018254198</v>
      </c>
    </row>
    <row r="42" spans="3:40" ht="49" thickTop="1" thickBot="1" x14ac:dyDescent="0.6">
      <c r="H42" s="15" t="str">
        <f t="shared" si="21"/>
        <v>NA</v>
      </c>
      <c r="I42" s="16">
        <f t="shared" si="9"/>
        <v>0</v>
      </c>
      <c r="J42" s="16">
        <f t="shared" si="10"/>
        <v>0</v>
      </c>
      <c r="K42" s="16">
        <f t="shared" si="11"/>
        <v>0</v>
      </c>
      <c r="L42" s="16">
        <f t="shared" si="12"/>
        <v>0</v>
      </c>
      <c r="M42" s="16">
        <v>0</v>
      </c>
      <c r="N42" s="16">
        <f t="shared" si="13"/>
        <v>0</v>
      </c>
      <c r="O42" s="16">
        <f t="shared" si="20"/>
        <v>0</v>
      </c>
      <c r="P42" s="16">
        <f t="shared" si="14"/>
        <v>0</v>
      </c>
      <c r="Q42" s="16">
        <f t="shared" si="22"/>
        <v>0</v>
      </c>
      <c r="R42" s="16">
        <f t="shared" si="15"/>
        <v>0</v>
      </c>
      <c r="S42" s="17">
        <f t="shared" si="16"/>
        <v>0</v>
      </c>
      <c r="T42" s="29">
        <f t="shared" si="17"/>
        <v>0</v>
      </c>
      <c r="U42" s="43">
        <f t="shared" si="3"/>
        <v>0</v>
      </c>
      <c r="AG42" s="15"/>
      <c r="AH42" s="15">
        <f t="shared" si="18"/>
        <v>39</v>
      </c>
      <c r="AI42" s="16">
        <f t="shared" si="4"/>
        <v>80562.850908944965</v>
      </c>
      <c r="AJ42" s="44">
        <f t="shared" si="5"/>
        <v>11374.451554502073</v>
      </c>
      <c r="AK42" s="45">
        <f t="shared" si="6"/>
        <v>69188.399354442881</v>
      </c>
      <c r="AL42" s="16">
        <f t="shared" si="19"/>
        <v>9213745.4623712245</v>
      </c>
      <c r="AM42" s="17">
        <f t="shared" si="7"/>
        <v>0.14118730191608894</v>
      </c>
      <c r="AN42" s="17">
        <f t="shared" si="8"/>
        <v>0.85881269808391092</v>
      </c>
    </row>
    <row r="43" spans="3:40" ht="49" thickTop="1" thickBot="1" x14ac:dyDescent="0.6">
      <c r="H43" s="15" t="str">
        <f t="shared" si="21"/>
        <v>NA</v>
      </c>
      <c r="I43" s="16">
        <f t="shared" si="9"/>
        <v>0</v>
      </c>
      <c r="J43" s="16">
        <f t="shared" si="10"/>
        <v>0</v>
      </c>
      <c r="K43" s="16">
        <f t="shared" si="11"/>
        <v>0</v>
      </c>
      <c r="L43" s="16">
        <f t="shared" si="12"/>
        <v>0</v>
      </c>
      <c r="M43" s="16">
        <v>0</v>
      </c>
      <c r="N43" s="16">
        <f t="shared" si="13"/>
        <v>0</v>
      </c>
      <c r="O43" s="16">
        <f t="shared" si="20"/>
        <v>0</v>
      </c>
      <c r="P43" s="16">
        <f t="shared" si="14"/>
        <v>0</v>
      </c>
      <c r="Q43" s="16">
        <f t="shared" si="22"/>
        <v>0</v>
      </c>
      <c r="R43" s="16">
        <f t="shared" si="15"/>
        <v>0</v>
      </c>
      <c r="S43" s="17">
        <f t="shared" si="16"/>
        <v>0</v>
      </c>
      <c r="T43" s="29">
        <f t="shared" si="17"/>
        <v>0</v>
      </c>
      <c r="U43" s="43">
        <f t="shared" si="3"/>
        <v>0</v>
      </c>
      <c r="AG43" s="15"/>
      <c r="AH43" s="15">
        <f t="shared" si="18"/>
        <v>40</v>
      </c>
      <c r="AI43" s="16">
        <f t="shared" si="4"/>
        <v>80562.850908944965</v>
      </c>
      <c r="AJ43" s="44">
        <f t="shared" si="5"/>
        <v>11459.759941160839</v>
      </c>
      <c r="AK43" s="45">
        <f t="shared" si="6"/>
        <v>69103.090967784126</v>
      </c>
      <c r="AL43" s="16">
        <f t="shared" si="19"/>
        <v>9202285.7024300639</v>
      </c>
      <c r="AM43" s="17">
        <f t="shared" si="7"/>
        <v>0.14224620668045962</v>
      </c>
      <c r="AN43" s="17">
        <f t="shared" si="8"/>
        <v>0.85775379331954038</v>
      </c>
    </row>
    <row r="44" spans="3:40" ht="49" thickTop="1" thickBot="1" x14ac:dyDescent="0.6">
      <c r="C44" s="63" t="s">
        <v>77</v>
      </c>
      <c r="D44" s="63"/>
      <c r="E44" s="63"/>
      <c r="H44" s="15" t="str">
        <f t="shared" si="21"/>
        <v>NA</v>
      </c>
      <c r="I44" s="16">
        <f t="shared" si="9"/>
        <v>0</v>
      </c>
      <c r="J44" s="16">
        <f t="shared" si="10"/>
        <v>0</v>
      </c>
      <c r="K44" s="16">
        <f t="shared" si="11"/>
        <v>0</v>
      </c>
      <c r="L44" s="16">
        <f t="shared" si="12"/>
        <v>0</v>
      </c>
      <c r="M44" s="16">
        <v>0</v>
      </c>
      <c r="N44" s="16">
        <f t="shared" si="13"/>
        <v>0</v>
      </c>
      <c r="O44" s="16">
        <f t="shared" si="20"/>
        <v>0</v>
      </c>
      <c r="P44" s="16">
        <f t="shared" si="14"/>
        <v>0</v>
      </c>
      <c r="Q44" s="16">
        <f t="shared" si="22"/>
        <v>0</v>
      </c>
      <c r="R44" s="16">
        <f t="shared" si="15"/>
        <v>0</v>
      </c>
      <c r="S44" s="17">
        <f t="shared" si="16"/>
        <v>0</v>
      </c>
      <c r="T44" s="29">
        <f t="shared" si="17"/>
        <v>0</v>
      </c>
      <c r="U44" s="43">
        <f t="shared" si="3"/>
        <v>0</v>
      </c>
      <c r="AG44" s="15"/>
      <c r="AH44" s="15">
        <f t="shared" si="18"/>
        <v>41</v>
      </c>
      <c r="AI44" s="16">
        <f t="shared" si="4"/>
        <v>80562.850908944965</v>
      </c>
      <c r="AJ44" s="44">
        <f t="shared" si="5"/>
        <v>11545.708140719547</v>
      </c>
      <c r="AK44" s="45">
        <f t="shared" si="6"/>
        <v>69017.142768225414</v>
      </c>
      <c r="AL44" s="16">
        <f t="shared" si="19"/>
        <v>9190739.9942893442</v>
      </c>
      <c r="AM44" s="17">
        <f t="shared" si="7"/>
        <v>0.14331305323056309</v>
      </c>
      <c r="AN44" s="17">
        <f t="shared" si="8"/>
        <v>0.85668694676943691</v>
      </c>
    </row>
    <row r="45" spans="3:40" ht="49" thickTop="1" thickBot="1" x14ac:dyDescent="0.6">
      <c r="C45" s="1" t="s">
        <v>69</v>
      </c>
      <c r="D45" s="59" t="s">
        <v>70</v>
      </c>
      <c r="E45" s="60"/>
      <c r="H45" s="15" t="str">
        <f t="shared" si="21"/>
        <v>NA</v>
      </c>
      <c r="I45" s="16">
        <f t="shared" si="9"/>
        <v>0</v>
      </c>
      <c r="J45" s="16">
        <f t="shared" si="10"/>
        <v>0</v>
      </c>
      <c r="K45" s="16">
        <f t="shared" si="11"/>
        <v>0</v>
      </c>
      <c r="L45" s="16">
        <f t="shared" si="12"/>
        <v>0</v>
      </c>
      <c r="M45" s="16">
        <v>0</v>
      </c>
      <c r="N45" s="16">
        <f t="shared" si="13"/>
        <v>0</v>
      </c>
      <c r="O45" s="16">
        <f t="shared" si="20"/>
        <v>0</v>
      </c>
      <c r="P45" s="16">
        <f t="shared" si="14"/>
        <v>0</v>
      </c>
      <c r="Q45" s="16">
        <f t="shared" si="22"/>
        <v>0</v>
      </c>
      <c r="R45" s="16">
        <f t="shared" si="15"/>
        <v>0</v>
      </c>
      <c r="S45" s="17">
        <f t="shared" si="16"/>
        <v>0</v>
      </c>
      <c r="T45" s="29">
        <f t="shared" si="17"/>
        <v>0</v>
      </c>
      <c r="U45" s="43">
        <f t="shared" si="3"/>
        <v>0</v>
      </c>
      <c r="AG45" s="15"/>
      <c r="AH45" s="15">
        <f t="shared" si="18"/>
        <v>42</v>
      </c>
      <c r="AI45" s="16">
        <f t="shared" si="4"/>
        <v>80562.850908944965</v>
      </c>
      <c r="AJ45" s="44">
        <f t="shared" si="5"/>
        <v>11632.300951774943</v>
      </c>
      <c r="AK45" s="45">
        <f t="shared" si="6"/>
        <v>68930.54995717002</v>
      </c>
      <c r="AL45" s="16">
        <f t="shared" si="19"/>
        <v>9179107.693337569</v>
      </c>
      <c r="AM45" s="17">
        <f t="shared" si="7"/>
        <v>0.1443879011297923</v>
      </c>
      <c r="AN45" s="17">
        <f t="shared" si="8"/>
        <v>0.85561209887020773</v>
      </c>
    </row>
    <row r="46" spans="3:40" ht="49" thickTop="1" thickBot="1" x14ac:dyDescent="0.6">
      <c r="C46" s="2" t="s">
        <v>71</v>
      </c>
      <c r="D46" s="59" t="s">
        <v>72</v>
      </c>
      <c r="E46" s="60"/>
      <c r="H46" s="15" t="str">
        <f t="shared" si="21"/>
        <v>NA</v>
      </c>
      <c r="I46" s="16">
        <f t="shared" si="9"/>
        <v>0</v>
      </c>
      <c r="J46" s="16">
        <f t="shared" si="10"/>
        <v>0</v>
      </c>
      <c r="K46" s="16">
        <f t="shared" si="11"/>
        <v>0</v>
      </c>
      <c r="L46" s="16">
        <f t="shared" si="12"/>
        <v>0</v>
      </c>
      <c r="M46" s="16">
        <v>0</v>
      </c>
      <c r="N46" s="16">
        <f t="shared" si="13"/>
        <v>0</v>
      </c>
      <c r="O46" s="16">
        <f t="shared" si="20"/>
        <v>0</v>
      </c>
      <c r="P46" s="16">
        <f t="shared" si="14"/>
        <v>0</v>
      </c>
      <c r="Q46" s="16">
        <f t="shared" si="22"/>
        <v>0</v>
      </c>
      <c r="R46" s="16">
        <f t="shared" si="15"/>
        <v>0</v>
      </c>
      <c r="S46" s="17">
        <f t="shared" si="16"/>
        <v>0</v>
      </c>
      <c r="T46" s="29">
        <f t="shared" si="17"/>
        <v>0</v>
      </c>
      <c r="U46" s="43">
        <f t="shared" si="3"/>
        <v>0</v>
      </c>
      <c r="AG46" s="15"/>
      <c r="AH46" s="15">
        <f t="shared" si="18"/>
        <v>43</v>
      </c>
      <c r="AI46" s="16">
        <f t="shared" si="4"/>
        <v>80562.850908944965</v>
      </c>
      <c r="AJ46" s="44">
        <f t="shared" si="5"/>
        <v>11719.543208913257</v>
      </c>
      <c r="AK46" s="45">
        <f t="shared" si="6"/>
        <v>68843.307700031713</v>
      </c>
      <c r="AL46" s="16">
        <f t="shared" si="19"/>
        <v>9167388.1501286551</v>
      </c>
      <c r="AM46" s="17">
        <f t="shared" si="7"/>
        <v>0.14547081038826576</v>
      </c>
      <c r="AN46" s="17">
        <f t="shared" si="8"/>
        <v>0.8545291896117343</v>
      </c>
    </row>
    <row r="47" spans="3:40" ht="49" thickTop="1" thickBot="1" x14ac:dyDescent="0.6">
      <c r="C47" s="1" t="s">
        <v>73</v>
      </c>
      <c r="D47" s="61" t="s">
        <v>74</v>
      </c>
      <c r="E47" s="62"/>
      <c r="H47" s="15" t="str">
        <f t="shared" si="21"/>
        <v>NA</v>
      </c>
      <c r="I47" s="16">
        <f t="shared" si="9"/>
        <v>0</v>
      </c>
      <c r="J47" s="16">
        <f t="shared" si="10"/>
        <v>0</v>
      </c>
      <c r="K47" s="16">
        <f t="shared" si="11"/>
        <v>0</v>
      </c>
      <c r="L47" s="16">
        <f t="shared" si="12"/>
        <v>0</v>
      </c>
      <c r="M47" s="16">
        <v>0</v>
      </c>
      <c r="N47" s="16">
        <f t="shared" si="13"/>
        <v>0</v>
      </c>
      <c r="O47" s="16">
        <f t="shared" si="20"/>
        <v>0</v>
      </c>
      <c r="P47" s="16">
        <f t="shared" si="14"/>
        <v>0</v>
      </c>
      <c r="Q47" s="16">
        <f t="shared" si="22"/>
        <v>0</v>
      </c>
      <c r="R47" s="16">
        <f t="shared" si="15"/>
        <v>0</v>
      </c>
      <c r="S47" s="17">
        <f t="shared" si="16"/>
        <v>0</v>
      </c>
      <c r="T47" s="29">
        <f t="shared" si="17"/>
        <v>0</v>
      </c>
      <c r="U47" s="43">
        <f t="shared" si="3"/>
        <v>0</v>
      </c>
      <c r="AG47" s="15"/>
      <c r="AH47" s="15">
        <f t="shared" si="18"/>
        <v>44</v>
      </c>
      <c r="AI47" s="16">
        <f t="shared" si="4"/>
        <v>80562.850908944965</v>
      </c>
      <c r="AJ47" s="44">
        <f t="shared" si="5"/>
        <v>11807.439782980106</v>
      </c>
      <c r="AK47" s="45">
        <f t="shared" si="6"/>
        <v>68755.411125964849</v>
      </c>
      <c r="AL47" s="16">
        <f t="shared" si="19"/>
        <v>9155580.7103456743</v>
      </c>
      <c r="AM47" s="17">
        <f t="shared" si="7"/>
        <v>0.14656184146617773</v>
      </c>
      <c r="AN47" s="17">
        <f t="shared" si="8"/>
        <v>0.8534381585338221</v>
      </c>
    </row>
    <row r="48" spans="3:40" ht="49" thickTop="1" thickBot="1" x14ac:dyDescent="0.6">
      <c r="C48" s="1" t="s">
        <v>75</v>
      </c>
      <c r="D48" s="59" t="s">
        <v>76</v>
      </c>
      <c r="E48" s="60"/>
      <c r="H48" s="15" t="str">
        <f t="shared" si="21"/>
        <v>NA</v>
      </c>
      <c r="I48" s="16">
        <f t="shared" si="9"/>
        <v>0</v>
      </c>
      <c r="J48" s="16">
        <f t="shared" si="10"/>
        <v>0</v>
      </c>
      <c r="K48" s="16">
        <f t="shared" si="11"/>
        <v>0</v>
      </c>
      <c r="L48" s="16">
        <f t="shared" si="12"/>
        <v>0</v>
      </c>
      <c r="M48" s="16">
        <v>0</v>
      </c>
      <c r="N48" s="16">
        <f t="shared" si="13"/>
        <v>0</v>
      </c>
      <c r="O48" s="16">
        <f t="shared" si="20"/>
        <v>0</v>
      </c>
      <c r="P48" s="16">
        <f t="shared" si="14"/>
        <v>0</v>
      </c>
      <c r="Q48" s="16">
        <f t="shared" si="22"/>
        <v>0</v>
      </c>
      <c r="R48" s="16">
        <f t="shared" si="15"/>
        <v>0</v>
      </c>
      <c r="S48" s="17">
        <f t="shared" si="16"/>
        <v>0</v>
      </c>
      <c r="T48" s="29">
        <f t="shared" si="17"/>
        <v>0</v>
      </c>
      <c r="U48" s="43">
        <f t="shared" si="3"/>
        <v>0</v>
      </c>
      <c r="AG48" s="15"/>
      <c r="AH48" s="15">
        <f t="shared" si="18"/>
        <v>45</v>
      </c>
      <c r="AI48" s="16">
        <f t="shared" si="4"/>
        <v>80562.850908944965</v>
      </c>
      <c r="AJ48" s="44">
        <f t="shared" si="5"/>
        <v>11895.995581352456</v>
      </c>
      <c r="AK48" s="45">
        <f t="shared" si="6"/>
        <v>68666.855327592508</v>
      </c>
      <c r="AL48" s="16">
        <f t="shared" si="19"/>
        <v>9143684.7147643212</v>
      </c>
      <c r="AM48" s="17">
        <f t="shared" si="7"/>
        <v>0.14766105527717407</v>
      </c>
      <c r="AN48" s="17">
        <f t="shared" si="8"/>
        <v>0.8523389447228259</v>
      </c>
    </row>
    <row r="49" spans="3:40" ht="49" thickTop="1" thickBot="1" x14ac:dyDescent="0.6">
      <c r="C49" s="73" t="s">
        <v>78</v>
      </c>
      <c r="D49" s="74" t="s">
        <v>80</v>
      </c>
      <c r="E49" s="74"/>
      <c r="H49" s="15" t="str">
        <f t="shared" si="21"/>
        <v>NA</v>
      </c>
      <c r="I49" s="16">
        <f t="shared" si="9"/>
        <v>0</v>
      </c>
      <c r="J49" s="16">
        <f t="shared" si="10"/>
        <v>0</v>
      </c>
      <c r="K49" s="16">
        <f t="shared" si="11"/>
        <v>0</v>
      </c>
      <c r="L49" s="16">
        <f t="shared" si="12"/>
        <v>0</v>
      </c>
      <c r="M49" s="16">
        <v>0</v>
      </c>
      <c r="N49" s="16">
        <f t="shared" si="13"/>
        <v>0</v>
      </c>
      <c r="O49" s="16">
        <f t="shared" si="20"/>
        <v>0</v>
      </c>
      <c r="P49" s="16">
        <f t="shared" si="14"/>
        <v>0</v>
      </c>
      <c r="Q49" s="16">
        <f t="shared" si="22"/>
        <v>0</v>
      </c>
      <c r="R49" s="16">
        <f t="shared" si="15"/>
        <v>0</v>
      </c>
      <c r="S49" s="17">
        <f t="shared" si="16"/>
        <v>0</v>
      </c>
      <c r="T49" s="29">
        <f t="shared" si="17"/>
        <v>0</v>
      </c>
      <c r="U49" s="43">
        <f t="shared" si="3"/>
        <v>0</v>
      </c>
      <c r="AG49" s="15"/>
      <c r="AH49" s="15">
        <f t="shared" si="18"/>
        <v>46</v>
      </c>
      <c r="AI49" s="16">
        <f t="shared" si="4"/>
        <v>80562.850908944965</v>
      </c>
      <c r="AJ49" s="44">
        <f t="shared" si="5"/>
        <v>11985.2155482126</v>
      </c>
      <c r="AK49" s="45">
        <f t="shared" si="6"/>
        <v>68577.635360732369</v>
      </c>
      <c r="AL49" s="16">
        <f t="shared" si="19"/>
        <v>9131699.4992161095</v>
      </c>
      <c r="AM49" s="17">
        <f t="shared" si="7"/>
        <v>0.14876851319175288</v>
      </c>
      <c r="AN49" s="17">
        <f t="shared" si="8"/>
        <v>0.85123148680824712</v>
      </c>
    </row>
    <row r="50" spans="3:40" ht="49" thickTop="1" thickBot="1" x14ac:dyDescent="0.6">
      <c r="C50" s="73" t="s">
        <v>79</v>
      </c>
      <c r="D50" s="74" t="s">
        <v>81</v>
      </c>
      <c r="E50" s="74"/>
      <c r="H50" s="15" t="str">
        <f t="shared" si="21"/>
        <v>NA</v>
      </c>
      <c r="I50" s="16">
        <f t="shared" si="9"/>
        <v>0</v>
      </c>
      <c r="J50" s="16">
        <f t="shared" si="10"/>
        <v>0</v>
      </c>
      <c r="K50" s="16">
        <f t="shared" si="11"/>
        <v>0</v>
      </c>
      <c r="L50" s="16">
        <f t="shared" si="12"/>
        <v>0</v>
      </c>
      <c r="M50" s="16">
        <v>0</v>
      </c>
      <c r="N50" s="16">
        <f t="shared" si="13"/>
        <v>0</v>
      </c>
      <c r="O50" s="16">
        <f t="shared" si="20"/>
        <v>0</v>
      </c>
      <c r="P50" s="16">
        <f t="shared" si="14"/>
        <v>0</v>
      </c>
      <c r="Q50" s="16">
        <f t="shared" si="22"/>
        <v>0</v>
      </c>
      <c r="R50" s="16">
        <f t="shared" si="15"/>
        <v>0</v>
      </c>
      <c r="S50" s="17">
        <f t="shared" si="16"/>
        <v>0</v>
      </c>
      <c r="T50" s="29">
        <f t="shared" si="17"/>
        <v>0</v>
      </c>
      <c r="U50" s="43">
        <f t="shared" si="3"/>
        <v>0</v>
      </c>
      <c r="AG50" s="15"/>
      <c r="AH50" s="15">
        <f t="shared" si="18"/>
        <v>47</v>
      </c>
      <c r="AI50" s="16">
        <f t="shared" si="4"/>
        <v>80562.850908944965</v>
      </c>
      <c r="AJ50" s="44">
        <f t="shared" si="5"/>
        <v>12075.104664824194</v>
      </c>
      <c r="AK50" s="45">
        <f t="shared" si="6"/>
        <v>68487.746244120775</v>
      </c>
      <c r="AL50" s="16">
        <f t="shared" si="19"/>
        <v>9119624.3945512846</v>
      </c>
      <c r="AM50" s="17">
        <f t="shared" si="7"/>
        <v>0.14988427704069102</v>
      </c>
      <c r="AN50" s="17">
        <f t="shared" si="8"/>
        <v>0.85011572295930904</v>
      </c>
    </row>
    <row r="51" spans="3:40" ht="49" thickTop="1" thickBot="1" x14ac:dyDescent="0.6">
      <c r="H51" s="15" t="str">
        <f t="shared" si="21"/>
        <v>NA</v>
      </c>
      <c r="I51" s="16">
        <f t="shared" si="9"/>
        <v>0</v>
      </c>
      <c r="J51" s="16">
        <f t="shared" si="10"/>
        <v>0</v>
      </c>
      <c r="K51" s="16">
        <f t="shared" si="11"/>
        <v>0</v>
      </c>
      <c r="L51" s="16">
        <f t="shared" si="12"/>
        <v>0</v>
      </c>
      <c r="M51" s="16">
        <v>0</v>
      </c>
      <c r="N51" s="16">
        <f t="shared" si="13"/>
        <v>0</v>
      </c>
      <c r="O51" s="16">
        <f t="shared" si="20"/>
        <v>0</v>
      </c>
      <c r="P51" s="16">
        <f t="shared" si="14"/>
        <v>0</v>
      </c>
      <c r="Q51" s="16">
        <f t="shared" si="22"/>
        <v>0</v>
      </c>
      <c r="R51" s="16">
        <f t="shared" si="15"/>
        <v>0</v>
      </c>
      <c r="S51" s="17">
        <f t="shared" si="16"/>
        <v>0</v>
      </c>
      <c r="T51" s="29">
        <f t="shared" si="17"/>
        <v>0</v>
      </c>
      <c r="U51" s="43">
        <f t="shared" si="3"/>
        <v>0</v>
      </c>
      <c r="AG51" s="15"/>
      <c r="AH51" s="15">
        <f t="shared" si="18"/>
        <v>48</v>
      </c>
      <c r="AI51" s="16">
        <f t="shared" si="4"/>
        <v>80562.850908944965</v>
      </c>
      <c r="AJ51" s="44">
        <f t="shared" si="5"/>
        <v>12165.667949810375</v>
      </c>
      <c r="AK51" s="45">
        <f t="shared" si="6"/>
        <v>68397.182959134589</v>
      </c>
      <c r="AL51" s="16">
        <f t="shared" si="19"/>
        <v>9107458.726601474</v>
      </c>
      <c r="AM51" s="17">
        <f t="shared" si="7"/>
        <v>0.1510084091184962</v>
      </c>
      <c r="AN51" s="17">
        <f t="shared" si="8"/>
        <v>0.84899159088150378</v>
      </c>
    </row>
    <row r="52" spans="3:40" ht="49" thickTop="1" thickBot="1" x14ac:dyDescent="0.6">
      <c r="H52" s="15" t="str">
        <f t="shared" si="21"/>
        <v>NA</v>
      </c>
      <c r="I52" s="16">
        <f t="shared" si="9"/>
        <v>0</v>
      </c>
      <c r="J52" s="16">
        <f t="shared" si="10"/>
        <v>0</v>
      </c>
      <c r="K52" s="16">
        <f t="shared" si="11"/>
        <v>0</v>
      </c>
      <c r="L52" s="16">
        <f t="shared" si="12"/>
        <v>0</v>
      </c>
      <c r="M52" s="16">
        <v>0</v>
      </c>
      <c r="N52" s="16">
        <f t="shared" si="13"/>
        <v>0</v>
      </c>
      <c r="O52" s="16">
        <f t="shared" si="20"/>
        <v>0</v>
      </c>
      <c r="P52" s="16">
        <f t="shared" si="14"/>
        <v>0</v>
      </c>
      <c r="Q52" s="16">
        <f t="shared" si="22"/>
        <v>0</v>
      </c>
      <c r="R52" s="16">
        <f t="shared" si="15"/>
        <v>0</v>
      </c>
      <c r="S52" s="17">
        <f t="shared" si="16"/>
        <v>0</v>
      </c>
      <c r="T52" s="29">
        <f t="shared" si="17"/>
        <v>0</v>
      </c>
      <c r="U52" s="43">
        <f t="shared" si="3"/>
        <v>0</v>
      </c>
      <c r="AG52" s="15">
        <f>IF(AH52= "NA", "NA",5)</f>
        <v>5</v>
      </c>
      <c r="AH52" s="15">
        <f t="shared" si="18"/>
        <v>49</v>
      </c>
      <c r="AI52" s="16">
        <f t="shared" si="4"/>
        <v>80562.850908944965</v>
      </c>
      <c r="AJ52" s="44">
        <f t="shared" si="5"/>
        <v>12256.910459433951</v>
      </c>
      <c r="AK52" s="45">
        <f t="shared" si="6"/>
        <v>68305.940449511007</v>
      </c>
      <c r="AL52" s="16">
        <f t="shared" si="19"/>
        <v>9095201.8161420394</v>
      </c>
      <c r="AM52" s="17">
        <f t="shared" si="7"/>
        <v>0.15214097218688491</v>
      </c>
      <c r="AN52" s="17">
        <f t="shared" si="8"/>
        <v>0.84785902781311495</v>
      </c>
    </row>
    <row r="53" spans="3:40" ht="49" thickTop="1" thickBot="1" x14ac:dyDescent="0.6">
      <c r="H53" s="15" t="str">
        <f t="shared" si="21"/>
        <v>NA</v>
      </c>
      <c r="I53" s="16">
        <f t="shared" si="9"/>
        <v>0</v>
      </c>
      <c r="J53" s="16">
        <f t="shared" si="10"/>
        <v>0</v>
      </c>
      <c r="K53" s="16">
        <f t="shared" si="11"/>
        <v>0</v>
      </c>
      <c r="L53" s="16">
        <f t="shared" si="12"/>
        <v>0</v>
      </c>
      <c r="M53" s="16">
        <v>0</v>
      </c>
      <c r="N53" s="16">
        <f t="shared" si="13"/>
        <v>0</v>
      </c>
      <c r="O53" s="16">
        <f t="shared" si="20"/>
        <v>0</v>
      </c>
      <c r="P53" s="16">
        <f t="shared" si="14"/>
        <v>0</v>
      </c>
      <c r="Q53" s="16">
        <f t="shared" si="22"/>
        <v>0</v>
      </c>
      <c r="R53" s="16">
        <f t="shared" si="15"/>
        <v>0</v>
      </c>
      <c r="S53" s="17">
        <f t="shared" si="16"/>
        <v>0</v>
      </c>
      <c r="T53" s="29">
        <f t="shared" si="17"/>
        <v>0</v>
      </c>
      <c r="U53" s="43">
        <f t="shared" si="3"/>
        <v>0</v>
      </c>
      <c r="AG53" s="15"/>
      <c r="AH53" s="15">
        <f t="shared" si="18"/>
        <v>50</v>
      </c>
      <c r="AI53" s="16">
        <f t="shared" si="4"/>
        <v>80562.850908944965</v>
      </c>
      <c r="AJ53" s="44">
        <f t="shared" si="5"/>
        <v>12348.837287879707</v>
      </c>
      <c r="AK53" s="45">
        <f t="shared" si="6"/>
        <v>68214.013621065256</v>
      </c>
      <c r="AL53" s="16">
        <f t="shared" si="19"/>
        <v>9082852.9788541589</v>
      </c>
      <c r="AM53" s="17">
        <f t="shared" si="7"/>
        <v>0.15328202947828656</v>
      </c>
      <c r="AN53" s="17">
        <f t="shared" si="8"/>
        <v>0.84671797052171338</v>
      </c>
    </row>
    <row r="54" spans="3:40" ht="49" thickTop="1" thickBot="1" x14ac:dyDescent="0.6">
      <c r="H54" s="15" t="str">
        <f t="shared" si="21"/>
        <v>NA</v>
      </c>
      <c r="I54" s="16">
        <f t="shared" si="9"/>
        <v>0</v>
      </c>
      <c r="J54" s="16">
        <f t="shared" si="10"/>
        <v>0</v>
      </c>
      <c r="K54" s="16">
        <f t="shared" si="11"/>
        <v>0</v>
      </c>
      <c r="L54" s="16">
        <f t="shared" si="12"/>
        <v>0</v>
      </c>
      <c r="M54" s="16">
        <v>0</v>
      </c>
      <c r="N54" s="16">
        <f t="shared" si="13"/>
        <v>0</v>
      </c>
      <c r="O54" s="16">
        <f t="shared" si="20"/>
        <v>0</v>
      </c>
      <c r="P54" s="16">
        <f t="shared" si="14"/>
        <v>0</v>
      </c>
      <c r="Q54" s="16">
        <f t="shared" si="22"/>
        <v>0</v>
      </c>
      <c r="R54" s="16">
        <f t="shared" si="15"/>
        <v>0</v>
      </c>
      <c r="S54" s="17">
        <f t="shared" si="16"/>
        <v>0</v>
      </c>
      <c r="T54" s="29">
        <f t="shared" si="17"/>
        <v>0</v>
      </c>
      <c r="U54" s="43">
        <f t="shared" si="3"/>
        <v>0</v>
      </c>
      <c r="AG54" s="15"/>
      <c r="AH54" s="15">
        <f t="shared" si="18"/>
        <v>51</v>
      </c>
      <c r="AI54" s="16">
        <f t="shared" si="4"/>
        <v>80562.850908944965</v>
      </c>
      <c r="AJ54" s="44">
        <f t="shared" si="5"/>
        <v>12441.453567538807</v>
      </c>
      <c r="AK54" s="45">
        <f t="shared" si="6"/>
        <v>68121.397341406162</v>
      </c>
      <c r="AL54" s="16">
        <f t="shared" si="19"/>
        <v>9070411.5252866205</v>
      </c>
      <c r="AM54" s="17">
        <f t="shared" si="7"/>
        <v>0.15443164469937373</v>
      </c>
      <c r="AN54" s="17">
        <f t="shared" si="8"/>
        <v>0.84556835530062635</v>
      </c>
    </row>
    <row r="55" spans="3:40" ht="49" thickTop="1" thickBot="1" x14ac:dyDescent="0.6">
      <c r="H55" s="15" t="str">
        <f t="shared" si="21"/>
        <v>NA</v>
      </c>
      <c r="I55" s="16">
        <f t="shared" si="9"/>
        <v>0</v>
      </c>
      <c r="J55" s="16">
        <f t="shared" si="10"/>
        <v>0</v>
      </c>
      <c r="K55" s="16">
        <f t="shared" si="11"/>
        <v>0</v>
      </c>
      <c r="L55" s="16">
        <f t="shared" si="12"/>
        <v>0</v>
      </c>
      <c r="M55" s="16">
        <v>0</v>
      </c>
      <c r="N55" s="16">
        <f t="shared" si="13"/>
        <v>0</v>
      </c>
      <c r="O55" s="16">
        <f t="shared" si="20"/>
        <v>0</v>
      </c>
      <c r="P55" s="16">
        <f t="shared" si="14"/>
        <v>0</v>
      </c>
      <c r="Q55" s="16">
        <f t="shared" si="22"/>
        <v>0</v>
      </c>
      <c r="R55" s="16">
        <f t="shared" si="15"/>
        <v>0</v>
      </c>
      <c r="S55" s="17">
        <f t="shared" si="16"/>
        <v>0</v>
      </c>
      <c r="T55" s="29">
        <f t="shared" si="17"/>
        <v>0</v>
      </c>
      <c r="U55" s="43">
        <f t="shared" si="3"/>
        <v>0</v>
      </c>
      <c r="AG55" s="15"/>
      <c r="AH55" s="15">
        <f t="shared" si="18"/>
        <v>52</v>
      </c>
      <c r="AI55" s="16">
        <f t="shared" si="4"/>
        <v>80562.850908944965</v>
      </c>
      <c r="AJ55" s="44">
        <f t="shared" si="5"/>
        <v>12534.764469295347</v>
      </c>
      <c r="AK55" s="45">
        <f t="shared" si="6"/>
        <v>68028.086439649618</v>
      </c>
      <c r="AL55" s="16">
        <f t="shared" si="19"/>
        <v>9057876.7608173247</v>
      </c>
      <c r="AM55" s="17">
        <f t="shared" si="7"/>
        <v>0.15558988203461901</v>
      </c>
      <c r="AN55" s="17">
        <f t="shared" si="8"/>
        <v>0.84441011796538101</v>
      </c>
    </row>
    <row r="56" spans="3:40" ht="49" thickTop="1" thickBot="1" x14ac:dyDescent="0.6">
      <c r="H56" s="15" t="str">
        <f t="shared" si="21"/>
        <v>NA</v>
      </c>
      <c r="I56" s="16">
        <f t="shared" si="9"/>
        <v>0</v>
      </c>
      <c r="J56" s="16">
        <f t="shared" si="10"/>
        <v>0</v>
      </c>
      <c r="K56" s="16">
        <f t="shared" si="11"/>
        <v>0</v>
      </c>
      <c r="L56" s="16">
        <f t="shared" si="12"/>
        <v>0</v>
      </c>
      <c r="M56" s="16">
        <v>0</v>
      </c>
      <c r="N56" s="16">
        <f t="shared" si="13"/>
        <v>0</v>
      </c>
      <c r="O56" s="16">
        <f t="shared" si="20"/>
        <v>0</v>
      </c>
      <c r="P56" s="16">
        <f t="shared" si="14"/>
        <v>0</v>
      </c>
      <c r="Q56" s="16">
        <f t="shared" si="22"/>
        <v>0</v>
      </c>
      <c r="R56" s="16">
        <f t="shared" si="15"/>
        <v>0</v>
      </c>
      <c r="S56" s="17">
        <f t="shared" si="16"/>
        <v>0</v>
      </c>
      <c r="T56" s="29">
        <f t="shared" si="17"/>
        <v>0</v>
      </c>
      <c r="U56" s="43">
        <f t="shared" si="3"/>
        <v>0</v>
      </c>
      <c r="AG56" s="15"/>
      <c r="AH56" s="15">
        <f t="shared" si="18"/>
        <v>53</v>
      </c>
      <c r="AI56" s="16">
        <f t="shared" si="4"/>
        <v>80562.850908944965</v>
      </c>
      <c r="AJ56" s="44">
        <f t="shared" si="5"/>
        <v>12628.775202815063</v>
      </c>
      <c r="AK56" s="45">
        <f t="shared" si="6"/>
        <v>67934.075706129908</v>
      </c>
      <c r="AL56" s="16">
        <f t="shared" si="19"/>
        <v>9045247.9856145103</v>
      </c>
      <c r="AM56" s="17">
        <f t="shared" si="7"/>
        <v>0.15675680614987866</v>
      </c>
      <c r="AN56" s="17">
        <f t="shared" si="8"/>
        <v>0.84324319385012136</v>
      </c>
    </row>
    <row r="57" spans="3:40" ht="49" thickTop="1" thickBot="1" x14ac:dyDescent="0.6">
      <c r="H57" s="15" t="str">
        <f t="shared" si="21"/>
        <v>NA</v>
      </c>
      <c r="I57" s="16">
        <f t="shared" si="9"/>
        <v>0</v>
      </c>
      <c r="J57" s="16">
        <f t="shared" si="10"/>
        <v>0</v>
      </c>
      <c r="K57" s="16">
        <f t="shared" si="11"/>
        <v>0</v>
      </c>
      <c r="L57" s="16">
        <f t="shared" si="12"/>
        <v>0</v>
      </c>
      <c r="M57" s="16">
        <v>0</v>
      </c>
      <c r="N57" s="16">
        <f t="shared" si="13"/>
        <v>0</v>
      </c>
      <c r="O57" s="16">
        <f t="shared" si="20"/>
        <v>0</v>
      </c>
      <c r="P57" s="16">
        <f t="shared" si="14"/>
        <v>0</v>
      </c>
      <c r="Q57" s="16">
        <f t="shared" si="22"/>
        <v>0</v>
      </c>
      <c r="R57" s="16">
        <f t="shared" si="15"/>
        <v>0</v>
      </c>
      <c r="S57" s="17">
        <f t="shared" si="16"/>
        <v>0</v>
      </c>
      <c r="T57" s="29">
        <f t="shared" si="17"/>
        <v>0</v>
      </c>
      <c r="U57" s="43">
        <f t="shared" si="3"/>
        <v>0</v>
      </c>
      <c r="AG57" s="15"/>
      <c r="AH57" s="15">
        <f t="shared" si="18"/>
        <v>54</v>
      </c>
      <c r="AI57" s="16">
        <f t="shared" si="4"/>
        <v>80562.850908944965</v>
      </c>
      <c r="AJ57" s="44">
        <f t="shared" si="5"/>
        <v>12723.491016836177</v>
      </c>
      <c r="AK57" s="45">
        <f t="shared" si="6"/>
        <v>67839.359892108798</v>
      </c>
      <c r="AL57" s="16">
        <f t="shared" si="19"/>
        <v>9032524.4945976734</v>
      </c>
      <c r="AM57" s="17">
        <f t="shared" si="7"/>
        <v>0.15793248219600278</v>
      </c>
      <c r="AN57" s="17">
        <f t="shared" si="8"/>
        <v>0.84206751780399736</v>
      </c>
    </row>
    <row r="58" spans="3:40" ht="49" thickTop="1" thickBot="1" x14ac:dyDescent="0.6">
      <c r="H58" s="15" t="str">
        <f t="shared" si="21"/>
        <v>NA</v>
      </c>
      <c r="I58" s="16">
        <f t="shared" si="9"/>
        <v>0</v>
      </c>
      <c r="J58" s="16">
        <f t="shared" si="10"/>
        <v>0</v>
      </c>
      <c r="K58" s="16">
        <f t="shared" si="11"/>
        <v>0</v>
      </c>
      <c r="L58" s="16">
        <f t="shared" si="12"/>
        <v>0</v>
      </c>
      <c r="M58" s="16">
        <v>0</v>
      </c>
      <c r="N58" s="16">
        <f t="shared" si="13"/>
        <v>0</v>
      </c>
      <c r="O58" s="16">
        <f t="shared" si="20"/>
        <v>0</v>
      </c>
      <c r="P58" s="16">
        <f t="shared" si="14"/>
        <v>0</v>
      </c>
      <c r="Q58" s="16">
        <f t="shared" si="22"/>
        <v>0</v>
      </c>
      <c r="R58" s="16">
        <f t="shared" si="15"/>
        <v>0</v>
      </c>
      <c r="S58" s="17">
        <f t="shared" si="16"/>
        <v>0</v>
      </c>
      <c r="T58" s="29">
        <f t="shared" si="17"/>
        <v>0</v>
      </c>
      <c r="U58" s="43">
        <f t="shared" si="3"/>
        <v>0</v>
      </c>
      <c r="AG58" s="15"/>
      <c r="AH58" s="15">
        <f t="shared" si="18"/>
        <v>55</v>
      </c>
      <c r="AI58" s="16">
        <f t="shared" si="4"/>
        <v>80562.850908944965</v>
      </c>
      <c r="AJ58" s="44">
        <f t="shared" si="5"/>
        <v>12818.917199462445</v>
      </c>
      <c r="AK58" s="45">
        <f t="shared" si="6"/>
        <v>67743.933709482517</v>
      </c>
      <c r="AL58" s="16">
        <f t="shared" si="19"/>
        <v>9019705.5773982108</v>
      </c>
      <c r="AM58" s="17">
        <f t="shared" si="7"/>
        <v>0.15911697581247275</v>
      </c>
      <c r="AN58" s="17">
        <f t="shared" si="8"/>
        <v>0.84088302418752725</v>
      </c>
    </row>
    <row r="59" spans="3:40" ht="49" thickTop="1" thickBot="1" x14ac:dyDescent="0.6">
      <c r="H59" s="15" t="str">
        <f t="shared" si="21"/>
        <v>NA</v>
      </c>
      <c r="I59" s="16">
        <f t="shared" si="9"/>
        <v>0</v>
      </c>
      <c r="J59" s="16">
        <f t="shared" si="10"/>
        <v>0</v>
      </c>
      <c r="K59" s="16">
        <f t="shared" si="11"/>
        <v>0</v>
      </c>
      <c r="L59" s="16">
        <f t="shared" si="12"/>
        <v>0</v>
      </c>
      <c r="M59" s="16">
        <v>0</v>
      </c>
      <c r="N59" s="16">
        <f t="shared" si="13"/>
        <v>0</v>
      </c>
      <c r="O59" s="16">
        <f t="shared" si="20"/>
        <v>0</v>
      </c>
      <c r="P59" s="16">
        <f t="shared" si="14"/>
        <v>0</v>
      </c>
      <c r="Q59" s="16">
        <f t="shared" si="22"/>
        <v>0</v>
      </c>
      <c r="R59" s="16">
        <f t="shared" si="15"/>
        <v>0</v>
      </c>
      <c r="S59" s="17">
        <f t="shared" si="16"/>
        <v>0</v>
      </c>
      <c r="T59" s="29">
        <f t="shared" si="17"/>
        <v>0</v>
      </c>
      <c r="U59" s="43">
        <f t="shared" si="3"/>
        <v>0</v>
      </c>
      <c r="AG59" s="15"/>
      <c r="AH59" s="15">
        <f t="shared" si="18"/>
        <v>56</v>
      </c>
      <c r="AI59" s="16">
        <f t="shared" si="4"/>
        <v>80562.850908944965</v>
      </c>
      <c r="AJ59" s="44">
        <f t="shared" si="5"/>
        <v>12915.059078458415</v>
      </c>
      <c r="AK59" s="45">
        <f t="shared" si="6"/>
        <v>67647.791830486545</v>
      </c>
      <c r="AL59" s="16">
        <f t="shared" si="19"/>
        <v>9006790.5183197521</v>
      </c>
      <c r="AM59" s="17">
        <f t="shared" si="7"/>
        <v>0.16031035313106631</v>
      </c>
      <c r="AN59" s="17">
        <f t="shared" si="8"/>
        <v>0.83968964686893366</v>
      </c>
    </row>
    <row r="60" spans="3:40" ht="49" thickTop="1" thickBot="1" x14ac:dyDescent="0.6">
      <c r="H60" s="15" t="str">
        <f t="shared" si="21"/>
        <v>NA</v>
      </c>
      <c r="I60" s="16">
        <f t="shared" si="9"/>
        <v>0</v>
      </c>
      <c r="J60" s="16">
        <f t="shared" si="10"/>
        <v>0</v>
      </c>
      <c r="K60" s="16">
        <f t="shared" si="11"/>
        <v>0</v>
      </c>
      <c r="L60" s="16">
        <f t="shared" si="12"/>
        <v>0</v>
      </c>
      <c r="M60" s="16">
        <v>0</v>
      </c>
      <c r="N60" s="16">
        <f t="shared" si="13"/>
        <v>0</v>
      </c>
      <c r="O60" s="16">
        <f t="shared" si="20"/>
        <v>0</v>
      </c>
      <c r="P60" s="16">
        <f t="shared" si="14"/>
        <v>0</v>
      </c>
      <c r="Q60" s="16">
        <f t="shared" si="22"/>
        <v>0</v>
      </c>
      <c r="R60" s="16">
        <f t="shared" si="15"/>
        <v>0</v>
      </c>
      <c r="S60" s="17">
        <f t="shared" si="16"/>
        <v>0</v>
      </c>
      <c r="T60" s="29">
        <f t="shared" si="17"/>
        <v>0</v>
      </c>
      <c r="U60" s="43">
        <f t="shared" si="3"/>
        <v>0</v>
      </c>
      <c r="AG60" s="15"/>
      <c r="AH60" s="15">
        <f t="shared" si="18"/>
        <v>57</v>
      </c>
      <c r="AI60" s="16">
        <f t="shared" si="4"/>
        <v>80562.850908944965</v>
      </c>
      <c r="AJ60" s="44">
        <f t="shared" si="5"/>
        <v>13011.922021546852</v>
      </c>
      <c r="AK60" s="45">
        <f t="shared" si="6"/>
        <v>67550.928887398128</v>
      </c>
      <c r="AL60" s="16">
        <f t="shared" si="19"/>
        <v>8993778.5962982047</v>
      </c>
      <c r="AM60" s="17">
        <f t="shared" si="7"/>
        <v>0.16151268077954931</v>
      </c>
      <c r="AN60" s="17">
        <f t="shared" si="8"/>
        <v>0.83848731922045083</v>
      </c>
    </row>
    <row r="61" spans="3:40" ht="49" thickTop="1" thickBot="1" x14ac:dyDescent="0.6">
      <c r="H61" s="15" t="str">
        <f t="shared" si="21"/>
        <v>NA</v>
      </c>
      <c r="I61" s="16">
        <f t="shared" si="9"/>
        <v>0</v>
      </c>
      <c r="J61" s="16">
        <f t="shared" si="10"/>
        <v>0</v>
      </c>
      <c r="K61" s="16">
        <f t="shared" si="11"/>
        <v>0</v>
      </c>
      <c r="L61" s="16">
        <f t="shared" si="12"/>
        <v>0</v>
      </c>
      <c r="M61" s="16">
        <v>0</v>
      </c>
      <c r="N61" s="16">
        <f t="shared" si="13"/>
        <v>0</v>
      </c>
      <c r="O61" s="16">
        <f t="shared" si="20"/>
        <v>0</v>
      </c>
      <c r="P61" s="16">
        <f t="shared" si="14"/>
        <v>0</v>
      </c>
      <c r="Q61" s="16">
        <f t="shared" si="22"/>
        <v>0</v>
      </c>
      <c r="R61" s="16">
        <f t="shared" si="15"/>
        <v>0</v>
      </c>
      <c r="S61" s="17">
        <f t="shared" si="16"/>
        <v>0</v>
      </c>
      <c r="T61" s="29">
        <f t="shared" si="17"/>
        <v>0</v>
      </c>
      <c r="U61" s="43">
        <f t="shared" si="3"/>
        <v>0</v>
      </c>
      <c r="AG61" s="15"/>
      <c r="AH61" s="15">
        <f t="shared" si="18"/>
        <v>58</v>
      </c>
      <c r="AI61" s="16">
        <f t="shared" si="4"/>
        <v>80562.850908944965</v>
      </c>
      <c r="AJ61" s="44">
        <f t="shared" si="5"/>
        <v>13109.511436708453</v>
      </c>
      <c r="AK61" s="45">
        <f t="shared" si="6"/>
        <v>67453.339472236519</v>
      </c>
      <c r="AL61" s="16">
        <f t="shared" si="19"/>
        <v>8980669.0848614965</v>
      </c>
      <c r="AM61" s="17">
        <f t="shared" si="7"/>
        <v>0.16272402588539592</v>
      </c>
      <c r="AN61" s="17">
        <f t="shared" si="8"/>
        <v>0.83727597411460419</v>
      </c>
    </row>
    <row r="62" spans="3:40" ht="49" thickTop="1" thickBot="1" x14ac:dyDescent="0.6">
      <c r="H62" s="15" t="str">
        <f t="shared" si="21"/>
        <v>NA</v>
      </c>
      <c r="I62" s="16">
        <f t="shared" si="9"/>
        <v>0</v>
      </c>
      <c r="J62" s="16">
        <f t="shared" si="10"/>
        <v>0</v>
      </c>
      <c r="K62" s="16">
        <f t="shared" si="11"/>
        <v>0</v>
      </c>
      <c r="L62" s="16">
        <f t="shared" si="12"/>
        <v>0</v>
      </c>
      <c r="M62" s="16">
        <v>0</v>
      </c>
      <c r="N62" s="16">
        <f t="shared" si="13"/>
        <v>0</v>
      </c>
      <c r="O62" s="16">
        <f t="shared" si="20"/>
        <v>0</v>
      </c>
      <c r="P62" s="16">
        <f t="shared" si="14"/>
        <v>0</v>
      </c>
      <c r="Q62" s="16">
        <f t="shared" si="22"/>
        <v>0</v>
      </c>
      <c r="R62" s="16">
        <f t="shared" si="15"/>
        <v>0</v>
      </c>
      <c r="S62" s="17">
        <f t="shared" si="16"/>
        <v>0</v>
      </c>
      <c r="T62" s="29">
        <f t="shared" si="17"/>
        <v>0</v>
      </c>
      <c r="U62" s="43">
        <f t="shared" si="3"/>
        <v>0</v>
      </c>
      <c r="AG62" s="15"/>
      <c r="AH62" s="15">
        <f t="shared" si="18"/>
        <v>59</v>
      </c>
      <c r="AI62" s="16">
        <f t="shared" si="4"/>
        <v>80562.850908944965</v>
      </c>
      <c r="AJ62" s="44">
        <f t="shared" si="5"/>
        <v>13207.832772483769</v>
      </c>
      <c r="AK62" s="45">
        <f t="shared" si="6"/>
        <v>67355.018136461193</v>
      </c>
      <c r="AL62" s="16">
        <f t="shared" si="19"/>
        <v>8967461.2520890124</v>
      </c>
      <c r="AM62" s="17">
        <f t="shared" si="7"/>
        <v>0.16394445607953642</v>
      </c>
      <c r="AN62" s="17">
        <f t="shared" si="8"/>
        <v>0.83605554392046355</v>
      </c>
    </row>
    <row r="63" spans="3:40" ht="49" thickTop="1" thickBot="1" x14ac:dyDescent="0.6">
      <c r="H63" s="15" t="str">
        <f t="shared" si="21"/>
        <v>NA</v>
      </c>
      <c r="I63" s="16">
        <f t="shared" si="9"/>
        <v>0</v>
      </c>
      <c r="J63" s="16">
        <f t="shared" si="10"/>
        <v>0</v>
      </c>
      <c r="K63" s="16">
        <f t="shared" si="11"/>
        <v>0</v>
      </c>
      <c r="L63" s="16">
        <f t="shared" si="12"/>
        <v>0</v>
      </c>
      <c r="M63" s="16">
        <v>0</v>
      </c>
      <c r="N63" s="16">
        <f t="shared" si="13"/>
        <v>0</v>
      </c>
      <c r="O63" s="16">
        <f t="shared" si="20"/>
        <v>0</v>
      </c>
      <c r="P63" s="16">
        <f t="shared" si="14"/>
        <v>0</v>
      </c>
      <c r="Q63" s="16">
        <f t="shared" si="22"/>
        <v>0</v>
      </c>
      <c r="R63" s="16">
        <f t="shared" si="15"/>
        <v>0</v>
      </c>
      <c r="S63" s="17">
        <f t="shared" si="16"/>
        <v>0</v>
      </c>
      <c r="T63" s="29">
        <f t="shared" si="17"/>
        <v>0</v>
      </c>
      <c r="U63" s="43">
        <f t="shared" si="3"/>
        <v>0</v>
      </c>
      <c r="AG63" s="15"/>
      <c r="AH63" s="15">
        <f t="shared" si="18"/>
        <v>60</v>
      </c>
      <c r="AI63" s="16">
        <f t="shared" si="4"/>
        <v>80562.850908944965</v>
      </c>
      <c r="AJ63" s="44">
        <f t="shared" si="5"/>
        <v>13306.891518277394</v>
      </c>
      <c r="AK63" s="45">
        <f t="shared" si="6"/>
        <v>67255.959390667573</v>
      </c>
      <c r="AL63" s="16">
        <f t="shared" si="19"/>
        <v>8954154.3605707344</v>
      </c>
      <c r="AM63" s="17">
        <f t="shared" si="7"/>
        <v>0.1651740395001329</v>
      </c>
      <c r="AN63" s="17">
        <f t="shared" si="8"/>
        <v>0.83482596049986713</v>
      </c>
    </row>
    <row r="64" spans="3:40" ht="49" thickTop="1" thickBot="1" x14ac:dyDescent="0.6">
      <c r="H64" s="15" t="str">
        <f t="shared" si="21"/>
        <v>NA</v>
      </c>
      <c r="I64" s="16">
        <f t="shared" si="9"/>
        <v>0</v>
      </c>
      <c r="J64" s="16">
        <f t="shared" si="10"/>
        <v>0</v>
      </c>
      <c r="K64" s="16">
        <f t="shared" si="11"/>
        <v>0</v>
      </c>
      <c r="L64" s="16">
        <f t="shared" si="12"/>
        <v>0</v>
      </c>
      <c r="M64" s="16">
        <v>0</v>
      </c>
      <c r="N64" s="16">
        <f t="shared" si="13"/>
        <v>0</v>
      </c>
      <c r="O64" s="16">
        <f t="shared" si="20"/>
        <v>0</v>
      </c>
      <c r="P64" s="16">
        <f t="shared" si="14"/>
        <v>0</v>
      </c>
      <c r="Q64" s="16">
        <f t="shared" si="22"/>
        <v>0</v>
      </c>
      <c r="R64" s="16">
        <f t="shared" si="15"/>
        <v>0</v>
      </c>
      <c r="S64" s="17">
        <f t="shared" si="16"/>
        <v>0</v>
      </c>
      <c r="T64" s="29">
        <f t="shared" si="17"/>
        <v>0</v>
      </c>
      <c r="U64" s="43">
        <f t="shared" si="3"/>
        <v>0</v>
      </c>
      <c r="AG64" s="15">
        <f>IF(AH64= "NA", "NA",6)</f>
        <v>6</v>
      </c>
      <c r="AH64" s="15">
        <f t="shared" si="18"/>
        <v>61</v>
      </c>
      <c r="AI64" s="16">
        <f t="shared" si="4"/>
        <v>80562.850908944965</v>
      </c>
      <c r="AJ64" s="44">
        <f t="shared" si="5"/>
        <v>13406.693204664478</v>
      </c>
      <c r="AK64" s="45">
        <f t="shared" si="6"/>
        <v>67156.157704280486</v>
      </c>
      <c r="AL64" s="16">
        <f t="shared" si="19"/>
        <v>8940747.6673660707</v>
      </c>
      <c r="AM64" s="17">
        <f t="shared" si="7"/>
        <v>0.16641284479638394</v>
      </c>
      <c r="AN64" s="17">
        <f t="shared" si="8"/>
        <v>0.83358715520361604</v>
      </c>
    </row>
    <row r="65" spans="8:40" ht="49" thickTop="1" thickBot="1" x14ac:dyDescent="0.6">
      <c r="H65" s="15" t="str">
        <f t="shared" si="21"/>
        <v>NA</v>
      </c>
      <c r="I65" s="16">
        <f t="shared" si="9"/>
        <v>0</v>
      </c>
      <c r="J65" s="16">
        <f t="shared" si="10"/>
        <v>0</v>
      </c>
      <c r="K65" s="16">
        <f t="shared" si="11"/>
        <v>0</v>
      </c>
      <c r="L65" s="16">
        <f t="shared" si="12"/>
        <v>0</v>
      </c>
      <c r="M65" s="16">
        <v>0</v>
      </c>
      <c r="N65" s="16">
        <f t="shared" si="13"/>
        <v>0</v>
      </c>
      <c r="O65" s="16">
        <f t="shared" si="20"/>
        <v>0</v>
      </c>
      <c r="P65" s="16">
        <f t="shared" si="14"/>
        <v>0</v>
      </c>
      <c r="Q65" s="16">
        <f t="shared" si="22"/>
        <v>0</v>
      </c>
      <c r="R65" s="16">
        <f t="shared" si="15"/>
        <v>0</v>
      </c>
      <c r="S65" s="17">
        <f t="shared" si="16"/>
        <v>0</v>
      </c>
      <c r="T65" s="29">
        <f t="shared" si="17"/>
        <v>0</v>
      </c>
      <c r="U65" s="43">
        <f t="shared" si="3"/>
        <v>0</v>
      </c>
      <c r="AG65" s="15"/>
      <c r="AH65" s="15">
        <f t="shared" si="18"/>
        <v>62</v>
      </c>
      <c r="AI65" s="16">
        <f t="shared" si="4"/>
        <v>80562.850908944965</v>
      </c>
      <c r="AJ65" s="44">
        <f t="shared" si="5"/>
        <v>13507.243403699462</v>
      </c>
      <c r="AK65" s="45">
        <f t="shared" si="6"/>
        <v>67055.607505245498</v>
      </c>
      <c r="AL65" s="16">
        <f t="shared" si="19"/>
        <v>8927240.4239623714</v>
      </c>
      <c r="AM65" s="17">
        <f t="shared" si="7"/>
        <v>0.16766094113235683</v>
      </c>
      <c r="AN65" s="17">
        <f t="shared" si="8"/>
        <v>0.83233905886764314</v>
      </c>
    </row>
    <row r="66" spans="8:40" ht="49" thickTop="1" thickBot="1" x14ac:dyDescent="0.6">
      <c r="H66" s="15" t="str">
        <f t="shared" si="21"/>
        <v>NA</v>
      </c>
      <c r="I66" s="16">
        <f t="shared" si="9"/>
        <v>0</v>
      </c>
      <c r="J66" s="16">
        <f t="shared" si="10"/>
        <v>0</v>
      </c>
      <c r="K66" s="16">
        <f t="shared" si="11"/>
        <v>0</v>
      </c>
      <c r="L66" s="16">
        <f t="shared" si="12"/>
        <v>0</v>
      </c>
      <c r="M66" s="16">
        <v>0</v>
      </c>
      <c r="N66" s="16">
        <f t="shared" si="13"/>
        <v>0</v>
      </c>
      <c r="O66" s="16">
        <f t="shared" si="20"/>
        <v>0</v>
      </c>
      <c r="P66" s="16">
        <f t="shared" si="14"/>
        <v>0</v>
      </c>
      <c r="Q66" s="16">
        <f t="shared" si="22"/>
        <v>0</v>
      </c>
      <c r="R66" s="16">
        <f t="shared" si="15"/>
        <v>0</v>
      </c>
      <c r="S66" s="17">
        <f t="shared" si="16"/>
        <v>0</v>
      </c>
      <c r="T66" s="29">
        <f t="shared" si="17"/>
        <v>0</v>
      </c>
      <c r="U66" s="43">
        <f t="shared" si="3"/>
        <v>0</v>
      </c>
      <c r="AG66" s="15"/>
      <c r="AH66" s="15">
        <f t="shared" si="18"/>
        <v>63</v>
      </c>
      <c r="AI66" s="16">
        <f t="shared" si="4"/>
        <v>80562.850908944965</v>
      </c>
      <c r="AJ66" s="44">
        <f t="shared" si="5"/>
        <v>13608.547729227204</v>
      </c>
      <c r="AK66" s="45">
        <f t="shared" si="6"/>
        <v>66954.303179717754</v>
      </c>
      <c r="AL66" s="16">
        <f t="shared" si="19"/>
        <v>8913631.8762331437</v>
      </c>
      <c r="AM66" s="17">
        <f t="shared" si="7"/>
        <v>0.16891839819084947</v>
      </c>
      <c r="AN66" s="17">
        <f t="shared" si="8"/>
        <v>0.83108160180915047</v>
      </c>
    </row>
    <row r="67" spans="8:40" ht="49" thickTop="1" thickBot="1" x14ac:dyDescent="0.6">
      <c r="H67" s="15" t="str">
        <f t="shared" si="21"/>
        <v>NA</v>
      </c>
      <c r="I67" s="16">
        <f t="shared" si="9"/>
        <v>0</v>
      </c>
      <c r="J67" s="16">
        <f t="shared" si="10"/>
        <v>0</v>
      </c>
      <c r="K67" s="16">
        <f t="shared" si="11"/>
        <v>0</v>
      </c>
      <c r="L67" s="16">
        <f t="shared" si="12"/>
        <v>0</v>
      </c>
      <c r="M67" s="16">
        <v>0</v>
      </c>
      <c r="N67" s="16">
        <f t="shared" si="13"/>
        <v>0</v>
      </c>
      <c r="O67" s="16">
        <f t="shared" si="20"/>
        <v>0</v>
      </c>
      <c r="P67" s="16">
        <f t="shared" si="14"/>
        <v>0</v>
      </c>
      <c r="Q67" s="16">
        <f t="shared" si="22"/>
        <v>0</v>
      </c>
      <c r="R67" s="16">
        <f t="shared" si="15"/>
        <v>0</v>
      </c>
      <c r="S67" s="17">
        <f t="shared" si="16"/>
        <v>0</v>
      </c>
      <c r="T67" s="29">
        <f t="shared" si="17"/>
        <v>0</v>
      </c>
      <c r="U67" s="43">
        <f t="shared" si="3"/>
        <v>0</v>
      </c>
      <c r="AG67" s="15"/>
      <c r="AH67" s="15">
        <f t="shared" si="18"/>
        <v>64</v>
      </c>
      <c r="AI67" s="16">
        <f t="shared" si="4"/>
        <v>80562.850908944965</v>
      </c>
      <c r="AJ67" s="44">
        <f t="shared" si="5"/>
        <v>13710.611837196409</v>
      </c>
      <c r="AK67" s="45">
        <f t="shared" si="6"/>
        <v>66852.239071748569</v>
      </c>
      <c r="AL67" s="16">
        <f t="shared" si="19"/>
        <v>8899921.2643959466</v>
      </c>
      <c r="AM67" s="17">
        <f t="shared" si="7"/>
        <v>0.17018528617728085</v>
      </c>
      <c r="AN67" s="17">
        <f t="shared" si="8"/>
        <v>0.82981471382271932</v>
      </c>
    </row>
    <row r="68" spans="8:40" ht="49" thickTop="1" thickBot="1" x14ac:dyDescent="0.6">
      <c r="H68" s="15" t="str">
        <f t="shared" si="21"/>
        <v>NA</v>
      </c>
      <c r="I68" s="16">
        <f t="shared" si="9"/>
        <v>0</v>
      </c>
      <c r="J68" s="16">
        <f t="shared" si="10"/>
        <v>0</v>
      </c>
      <c r="K68" s="16">
        <f t="shared" si="11"/>
        <v>0</v>
      </c>
      <c r="L68" s="16">
        <f t="shared" si="12"/>
        <v>0</v>
      </c>
      <c r="M68" s="16">
        <v>0</v>
      </c>
      <c r="N68" s="16">
        <f t="shared" si="13"/>
        <v>0</v>
      </c>
      <c r="O68" s="16">
        <f t="shared" ref="O68:O92" si="23">IF(N68&gt;0,N68*$O$2,0)</f>
        <v>0</v>
      </c>
      <c r="P68" s="16">
        <f t="shared" si="14"/>
        <v>0</v>
      </c>
      <c r="Q68" s="16">
        <f t="shared" si="22"/>
        <v>0</v>
      </c>
      <c r="R68" s="16">
        <f t="shared" si="15"/>
        <v>0</v>
      </c>
      <c r="S68" s="17">
        <f t="shared" si="16"/>
        <v>0</v>
      </c>
      <c r="T68" s="29">
        <f t="shared" si="17"/>
        <v>0</v>
      </c>
      <c r="U68" s="43">
        <f t="shared" si="3"/>
        <v>0</v>
      </c>
      <c r="AG68" s="15"/>
      <c r="AH68" s="15">
        <f t="shared" si="18"/>
        <v>65</v>
      </c>
      <c r="AI68" s="16">
        <f t="shared" si="4"/>
        <v>80562.850908944965</v>
      </c>
      <c r="AJ68" s="44">
        <f t="shared" si="5"/>
        <v>13813.441425975381</v>
      </c>
      <c r="AK68" s="45">
        <f t="shared" si="6"/>
        <v>66749.409482969582</v>
      </c>
      <c r="AL68" s="16">
        <f t="shared" si="19"/>
        <v>8886107.8229699712</v>
      </c>
      <c r="AM68" s="17">
        <f t="shared" si="7"/>
        <v>0.17146167582361044</v>
      </c>
      <c r="AN68" s="17">
        <f t="shared" si="8"/>
        <v>0.82853832417638951</v>
      </c>
    </row>
    <row r="69" spans="8:40" ht="49" thickTop="1" thickBot="1" x14ac:dyDescent="0.6">
      <c r="H69" s="15" t="str">
        <f t="shared" ref="H69:H92" si="24">IF(H68&lt;$D$16,H68+1, "NA")</f>
        <v>NA</v>
      </c>
      <c r="I69" s="16">
        <f t="shared" si="9"/>
        <v>0</v>
      </c>
      <c r="J69" s="16">
        <f t="shared" si="10"/>
        <v>0</v>
      </c>
      <c r="K69" s="16">
        <f t="shared" si="11"/>
        <v>0</v>
      </c>
      <c r="L69" s="16">
        <f t="shared" si="12"/>
        <v>0</v>
      </c>
      <c r="M69" s="16">
        <v>0</v>
      </c>
      <c r="N69" s="16">
        <f t="shared" si="13"/>
        <v>0</v>
      </c>
      <c r="O69" s="16">
        <f t="shared" si="23"/>
        <v>0</v>
      </c>
      <c r="P69" s="16">
        <f t="shared" si="14"/>
        <v>0</v>
      </c>
      <c r="Q69" s="16">
        <f t="shared" ref="Q69:Q92" si="25">IF(H69= "NA",0,Q68*(1+$Q$2))</f>
        <v>0</v>
      </c>
      <c r="R69" s="16">
        <f t="shared" si="15"/>
        <v>0</v>
      </c>
      <c r="S69" s="17">
        <f t="shared" si="16"/>
        <v>0</v>
      </c>
      <c r="T69" s="29">
        <f t="shared" si="17"/>
        <v>0</v>
      </c>
      <c r="U69" s="43">
        <f t="shared" ref="U69:U92" si="26">IF(H69= "NA",0,(P69-Q69)/T69)</f>
        <v>0</v>
      </c>
      <c r="AG69" s="15"/>
      <c r="AH69" s="15">
        <f t="shared" si="18"/>
        <v>66</v>
      </c>
      <c r="AI69" s="16">
        <f t="shared" ref="AI69:AI132" si="27">IF(AH69= "NA",0,$D$9)</f>
        <v>80562.850908944965</v>
      </c>
      <c r="AJ69" s="44">
        <f t="shared" ref="AJ69:AJ132" si="28">IF(AH69= "NA",0,PPMT($D$7/12,AH69,$D$8*12,-$D$6,0))</f>
        <v>13917.042236670197</v>
      </c>
      <c r="AK69" s="45">
        <f t="shared" ref="AK69:AK132" si="29">IF(AH69= "NA", 0,IPMT($D$7/12,AH69,$D$8*12,-$D$6,0))</f>
        <v>66645.808672274768</v>
      </c>
      <c r="AL69" s="16">
        <f t="shared" si="19"/>
        <v>8872190.7807333004</v>
      </c>
      <c r="AM69" s="17">
        <f t="shared" ref="AM69:AM132" si="30">AJ69/AI69</f>
        <v>0.17274763839228752</v>
      </c>
      <c r="AN69" s="17">
        <f t="shared" ref="AN69:AN132" si="31">AK69/AI69</f>
        <v>0.82725236160771243</v>
      </c>
    </row>
    <row r="70" spans="8:40" ht="49" thickTop="1" thickBot="1" x14ac:dyDescent="0.6">
      <c r="H70" s="15" t="str">
        <f t="shared" si="24"/>
        <v>NA</v>
      </c>
      <c r="I70" s="16">
        <f t="shared" ref="I70:I92" si="32">IF(H70= "NA",0,I69*(1+$I$2))</f>
        <v>0</v>
      </c>
      <c r="J70" s="16">
        <f t="shared" ref="J70:J92" si="33">IF(H70= "NA",0,J69*(1+$K$2))</f>
        <v>0</v>
      </c>
      <c r="K70" s="16">
        <f t="shared" ref="K70:K92" si="34">IF(H70= "NA",0,I70-J70)</f>
        <v>0</v>
      </c>
      <c r="L70" s="16">
        <f t="shared" ref="L70:L92" si="35">IF(H70= "NA",0,K70*$M$2)</f>
        <v>0</v>
      </c>
      <c r="M70" s="16">
        <v>0</v>
      </c>
      <c r="N70" s="16">
        <f t="shared" ref="N70:N92" si="36">IF(H70= "NA",0,K70-L70-M70)</f>
        <v>0</v>
      </c>
      <c r="O70" s="16">
        <f t="shared" si="23"/>
        <v>0</v>
      </c>
      <c r="P70" s="16">
        <f t="shared" ref="P70:P92" si="37">IF(H70= "NA",0,K70-O70)</f>
        <v>0</v>
      </c>
      <c r="Q70" s="16">
        <f t="shared" si="25"/>
        <v>0</v>
      </c>
      <c r="R70" s="16">
        <f t="shared" ref="R70:R92" si="38">IF(H70= "NA",0,R69*(1+$S$2))</f>
        <v>0</v>
      </c>
      <c r="S70" s="17">
        <f t="shared" ref="S70:S92" si="39">IF(H70= "NA",0,(P70-Q70)/R70)</f>
        <v>0</v>
      </c>
      <c r="T70" s="29">
        <f t="shared" ref="T70:T92" si="40">IF(H70= "NA",0,IF(H69&lt;$D$8,FV(NOMINAL($S$2,12)/12,12,-$U$2,-T69,1),T69*(1+$S$2)))</f>
        <v>0</v>
      </c>
      <c r="U70" s="43">
        <f t="shared" si="26"/>
        <v>0</v>
      </c>
      <c r="AG70" s="15"/>
      <c r="AH70" s="15">
        <f t="shared" ref="AH70:AH133" si="41">IF(AH69&lt;$D$8*12,AH69+1, "NA")</f>
        <v>67</v>
      </c>
      <c r="AI70" s="16">
        <f t="shared" si="27"/>
        <v>80562.850908944965</v>
      </c>
      <c r="AJ70" s="44">
        <f t="shared" si="28"/>
        <v>14021.420053445225</v>
      </c>
      <c r="AK70" s="45">
        <f t="shared" si="29"/>
        <v>66541.430855499755</v>
      </c>
      <c r="AL70" s="16">
        <f t="shared" ref="AL70:AL133" si="42">IF(AH70= "NA", 0,AL69-AJ70)</f>
        <v>8858169.3606798556</v>
      </c>
      <c r="AM70" s="17">
        <f t="shared" si="30"/>
        <v>0.17404324568022969</v>
      </c>
      <c r="AN70" s="17">
        <f t="shared" si="31"/>
        <v>0.82595675431977045</v>
      </c>
    </row>
    <row r="71" spans="8:40" ht="49" thickTop="1" thickBot="1" x14ac:dyDescent="0.6">
      <c r="H71" s="15" t="str">
        <f t="shared" si="24"/>
        <v>NA</v>
      </c>
      <c r="I71" s="16">
        <f t="shared" si="32"/>
        <v>0</v>
      </c>
      <c r="J71" s="16">
        <f t="shared" si="33"/>
        <v>0</v>
      </c>
      <c r="K71" s="16">
        <f t="shared" si="34"/>
        <v>0</v>
      </c>
      <c r="L71" s="16">
        <f t="shared" si="35"/>
        <v>0</v>
      </c>
      <c r="M71" s="16">
        <v>0</v>
      </c>
      <c r="N71" s="16">
        <f t="shared" si="36"/>
        <v>0</v>
      </c>
      <c r="O71" s="16">
        <f t="shared" si="23"/>
        <v>0</v>
      </c>
      <c r="P71" s="16">
        <f t="shared" si="37"/>
        <v>0</v>
      </c>
      <c r="Q71" s="16">
        <f t="shared" si="25"/>
        <v>0</v>
      </c>
      <c r="R71" s="16">
        <f t="shared" si="38"/>
        <v>0</v>
      </c>
      <c r="S71" s="17">
        <f t="shared" si="39"/>
        <v>0</v>
      </c>
      <c r="T71" s="29">
        <f t="shared" si="40"/>
        <v>0</v>
      </c>
      <c r="U71" s="43">
        <f t="shared" si="26"/>
        <v>0</v>
      </c>
      <c r="AG71" s="15"/>
      <c r="AH71" s="15">
        <f t="shared" si="41"/>
        <v>68</v>
      </c>
      <c r="AI71" s="16">
        <f t="shared" si="27"/>
        <v>80562.850908944965</v>
      </c>
      <c r="AJ71" s="44">
        <f t="shared" si="28"/>
        <v>14126.580703846063</v>
      </c>
      <c r="AK71" s="45">
        <f t="shared" si="29"/>
        <v>66436.270205098903</v>
      </c>
      <c r="AL71" s="16">
        <f t="shared" si="42"/>
        <v>8844042.7799760103</v>
      </c>
      <c r="AM71" s="17">
        <f t="shared" si="30"/>
        <v>0.17534857002283141</v>
      </c>
      <c r="AN71" s="17">
        <f t="shared" si="31"/>
        <v>0.82465142997716856</v>
      </c>
    </row>
    <row r="72" spans="8:40" ht="49" thickTop="1" thickBot="1" x14ac:dyDescent="0.6">
      <c r="H72" s="15" t="str">
        <f t="shared" si="24"/>
        <v>NA</v>
      </c>
      <c r="I72" s="16">
        <f t="shared" si="32"/>
        <v>0</v>
      </c>
      <c r="J72" s="16">
        <f t="shared" si="33"/>
        <v>0</v>
      </c>
      <c r="K72" s="16">
        <f t="shared" si="34"/>
        <v>0</v>
      </c>
      <c r="L72" s="16">
        <f t="shared" si="35"/>
        <v>0</v>
      </c>
      <c r="M72" s="16">
        <v>0</v>
      </c>
      <c r="N72" s="16">
        <f t="shared" si="36"/>
        <v>0</v>
      </c>
      <c r="O72" s="16">
        <f t="shared" si="23"/>
        <v>0</v>
      </c>
      <c r="P72" s="16">
        <f t="shared" si="37"/>
        <v>0</v>
      </c>
      <c r="Q72" s="16">
        <f t="shared" si="25"/>
        <v>0</v>
      </c>
      <c r="R72" s="16">
        <f t="shared" si="38"/>
        <v>0</v>
      </c>
      <c r="S72" s="17">
        <f t="shared" si="39"/>
        <v>0</v>
      </c>
      <c r="T72" s="29">
        <f t="shared" si="40"/>
        <v>0</v>
      </c>
      <c r="U72" s="43">
        <f t="shared" si="26"/>
        <v>0</v>
      </c>
      <c r="AG72" s="15"/>
      <c r="AH72" s="15">
        <f t="shared" si="41"/>
        <v>69</v>
      </c>
      <c r="AI72" s="16">
        <f t="shared" si="27"/>
        <v>80562.850908944965</v>
      </c>
      <c r="AJ72" s="44">
        <f t="shared" si="28"/>
        <v>14232.530059124907</v>
      </c>
      <c r="AK72" s="45">
        <f t="shared" si="29"/>
        <v>66330.320849820055</v>
      </c>
      <c r="AL72" s="16">
        <f t="shared" si="42"/>
        <v>8829810.249916885</v>
      </c>
      <c r="AM72" s="17">
        <f t="shared" si="30"/>
        <v>0.17666368429800261</v>
      </c>
      <c r="AN72" s="17">
        <f t="shared" si="31"/>
        <v>0.82333631570199728</v>
      </c>
    </row>
    <row r="73" spans="8:40" ht="49" thickTop="1" thickBot="1" x14ac:dyDescent="0.6">
      <c r="H73" s="15" t="str">
        <f t="shared" si="24"/>
        <v>NA</v>
      </c>
      <c r="I73" s="16">
        <f t="shared" si="32"/>
        <v>0</v>
      </c>
      <c r="J73" s="16">
        <f t="shared" si="33"/>
        <v>0</v>
      </c>
      <c r="K73" s="16">
        <f t="shared" si="34"/>
        <v>0</v>
      </c>
      <c r="L73" s="16">
        <f t="shared" si="35"/>
        <v>0</v>
      </c>
      <c r="M73" s="16">
        <v>0</v>
      </c>
      <c r="N73" s="16">
        <f t="shared" si="36"/>
        <v>0</v>
      </c>
      <c r="O73" s="16">
        <f t="shared" si="23"/>
        <v>0</v>
      </c>
      <c r="P73" s="16">
        <f t="shared" si="37"/>
        <v>0</v>
      </c>
      <c r="Q73" s="16">
        <f t="shared" si="25"/>
        <v>0</v>
      </c>
      <c r="R73" s="16">
        <f t="shared" si="38"/>
        <v>0</v>
      </c>
      <c r="S73" s="17">
        <f t="shared" si="39"/>
        <v>0</v>
      </c>
      <c r="T73" s="29">
        <f t="shared" si="40"/>
        <v>0</v>
      </c>
      <c r="U73" s="43">
        <f t="shared" si="26"/>
        <v>0</v>
      </c>
      <c r="AG73" s="15"/>
      <c r="AH73" s="15">
        <f t="shared" si="41"/>
        <v>70</v>
      </c>
      <c r="AI73" s="16">
        <f t="shared" si="27"/>
        <v>80562.850908944965</v>
      </c>
      <c r="AJ73" s="44">
        <f t="shared" si="28"/>
        <v>14339.274034568347</v>
      </c>
      <c r="AK73" s="45">
        <f t="shared" si="29"/>
        <v>66223.576874376624</v>
      </c>
      <c r="AL73" s="16">
        <f t="shared" si="42"/>
        <v>8815470.975882316</v>
      </c>
      <c r="AM73" s="17">
        <f t="shared" si="30"/>
        <v>0.17798866193023768</v>
      </c>
      <c r="AN73" s="17">
        <f t="shared" si="31"/>
        <v>0.82201133806976234</v>
      </c>
    </row>
    <row r="74" spans="8:40" ht="49" thickTop="1" thickBot="1" x14ac:dyDescent="0.6">
      <c r="H74" s="15" t="str">
        <f t="shared" si="24"/>
        <v>NA</v>
      </c>
      <c r="I74" s="16">
        <f t="shared" si="32"/>
        <v>0</v>
      </c>
      <c r="J74" s="16">
        <f t="shared" si="33"/>
        <v>0</v>
      </c>
      <c r="K74" s="16">
        <f t="shared" si="34"/>
        <v>0</v>
      </c>
      <c r="L74" s="16">
        <f t="shared" si="35"/>
        <v>0</v>
      </c>
      <c r="M74" s="16">
        <v>0</v>
      </c>
      <c r="N74" s="16">
        <f t="shared" si="36"/>
        <v>0</v>
      </c>
      <c r="O74" s="16">
        <f t="shared" si="23"/>
        <v>0</v>
      </c>
      <c r="P74" s="16">
        <f t="shared" si="37"/>
        <v>0</v>
      </c>
      <c r="Q74" s="16">
        <f t="shared" si="25"/>
        <v>0</v>
      </c>
      <c r="R74" s="16">
        <f t="shared" si="38"/>
        <v>0</v>
      </c>
      <c r="S74" s="17">
        <f t="shared" si="39"/>
        <v>0</v>
      </c>
      <c r="T74" s="29">
        <f t="shared" si="40"/>
        <v>0</v>
      </c>
      <c r="U74" s="43">
        <f t="shared" si="26"/>
        <v>0</v>
      </c>
      <c r="AG74" s="15"/>
      <c r="AH74" s="15">
        <f t="shared" si="41"/>
        <v>71</v>
      </c>
      <c r="AI74" s="16">
        <f t="shared" si="27"/>
        <v>80562.850908944965</v>
      </c>
      <c r="AJ74" s="44">
        <f t="shared" si="28"/>
        <v>14446.81858982761</v>
      </c>
      <c r="AK74" s="45">
        <f t="shared" si="29"/>
        <v>66116.032319117352</v>
      </c>
      <c r="AL74" s="16">
        <f t="shared" si="42"/>
        <v>8801024.157292489</v>
      </c>
      <c r="AM74" s="17">
        <f t="shared" si="30"/>
        <v>0.17932357689471445</v>
      </c>
      <c r="AN74" s="17">
        <f t="shared" si="31"/>
        <v>0.82067642310528544</v>
      </c>
    </row>
    <row r="75" spans="8:40" ht="49" thickTop="1" thickBot="1" x14ac:dyDescent="0.6">
      <c r="H75" s="15" t="str">
        <f t="shared" si="24"/>
        <v>NA</v>
      </c>
      <c r="I75" s="16">
        <f t="shared" si="32"/>
        <v>0</v>
      </c>
      <c r="J75" s="16">
        <f t="shared" si="33"/>
        <v>0</v>
      </c>
      <c r="K75" s="16">
        <f t="shared" si="34"/>
        <v>0</v>
      </c>
      <c r="L75" s="16">
        <f t="shared" si="35"/>
        <v>0</v>
      </c>
      <c r="M75" s="16">
        <v>0</v>
      </c>
      <c r="N75" s="16">
        <f t="shared" si="36"/>
        <v>0</v>
      </c>
      <c r="O75" s="16">
        <f t="shared" si="23"/>
        <v>0</v>
      </c>
      <c r="P75" s="16">
        <f t="shared" si="37"/>
        <v>0</v>
      </c>
      <c r="Q75" s="16">
        <f t="shared" si="25"/>
        <v>0</v>
      </c>
      <c r="R75" s="16">
        <f t="shared" si="38"/>
        <v>0</v>
      </c>
      <c r="S75" s="17">
        <f t="shared" si="39"/>
        <v>0</v>
      </c>
      <c r="T75" s="29">
        <f t="shared" si="40"/>
        <v>0</v>
      </c>
      <c r="U75" s="43">
        <f t="shared" si="26"/>
        <v>0</v>
      </c>
      <c r="AG75" s="15"/>
      <c r="AH75" s="15">
        <f t="shared" si="41"/>
        <v>72</v>
      </c>
      <c r="AI75" s="16">
        <f t="shared" si="27"/>
        <v>80562.850908944965</v>
      </c>
      <c r="AJ75" s="44">
        <f t="shared" si="28"/>
        <v>14555.169729251316</v>
      </c>
      <c r="AK75" s="45">
        <f t="shared" si="29"/>
        <v>66007.681179693653</v>
      </c>
      <c r="AL75" s="16">
        <f t="shared" si="42"/>
        <v>8786468.9875632375</v>
      </c>
      <c r="AM75" s="17">
        <f t="shared" si="30"/>
        <v>0.18066850372142482</v>
      </c>
      <c r="AN75" s="17">
        <f t="shared" si="31"/>
        <v>0.81933149627857527</v>
      </c>
    </row>
    <row r="76" spans="8:40" ht="49" thickTop="1" thickBot="1" x14ac:dyDescent="0.6">
      <c r="H76" s="15" t="str">
        <f t="shared" si="24"/>
        <v>NA</v>
      </c>
      <c r="I76" s="16">
        <f t="shared" si="32"/>
        <v>0</v>
      </c>
      <c r="J76" s="16">
        <f t="shared" si="33"/>
        <v>0</v>
      </c>
      <c r="K76" s="16">
        <f t="shared" si="34"/>
        <v>0</v>
      </c>
      <c r="L76" s="16">
        <f t="shared" si="35"/>
        <v>0</v>
      </c>
      <c r="M76" s="16">
        <v>0</v>
      </c>
      <c r="N76" s="16">
        <f t="shared" si="36"/>
        <v>0</v>
      </c>
      <c r="O76" s="16">
        <f t="shared" si="23"/>
        <v>0</v>
      </c>
      <c r="P76" s="16">
        <f t="shared" si="37"/>
        <v>0</v>
      </c>
      <c r="Q76" s="16">
        <f t="shared" si="25"/>
        <v>0</v>
      </c>
      <c r="R76" s="16">
        <f t="shared" si="38"/>
        <v>0</v>
      </c>
      <c r="S76" s="17">
        <f t="shared" si="39"/>
        <v>0</v>
      </c>
      <c r="T76" s="29">
        <f t="shared" si="40"/>
        <v>0</v>
      </c>
      <c r="U76" s="43">
        <f t="shared" si="26"/>
        <v>0</v>
      </c>
      <c r="AG76" s="15">
        <f>IF(AH76= "NA", "NA",7)</f>
        <v>7</v>
      </c>
      <c r="AH76" s="15">
        <f t="shared" si="41"/>
        <v>73</v>
      </c>
      <c r="AI76" s="16">
        <f t="shared" si="27"/>
        <v>80562.850908944965</v>
      </c>
      <c r="AJ76" s="44">
        <f t="shared" si="28"/>
        <v>14664.333502220699</v>
      </c>
      <c r="AK76" s="45">
        <f t="shared" si="29"/>
        <v>65898.517406724262</v>
      </c>
      <c r="AL76" s="16">
        <f t="shared" si="42"/>
        <v>8771804.6540610176</v>
      </c>
      <c r="AM76" s="17">
        <f t="shared" si="30"/>
        <v>0.18202351749933549</v>
      </c>
      <c r="AN76" s="17">
        <f t="shared" si="31"/>
        <v>0.81797648250066446</v>
      </c>
    </row>
    <row r="77" spans="8:40" ht="49" thickTop="1" thickBot="1" x14ac:dyDescent="0.6">
      <c r="H77" s="15" t="str">
        <f t="shared" si="24"/>
        <v>NA</v>
      </c>
      <c r="I77" s="16">
        <f t="shared" si="32"/>
        <v>0</v>
      </c>
      <c r="J77" s="16">
        <f t="shared" si="33"/>
        <v>0</v>
      </c>
      <c r="K77" s="16">
        <f t="shared" si="34"/>
        <v>0</v>
      </c>
      <c r="L77" s="16">
        <f t="shared" si="35"/>
        <v>0</v>
      </c>
      <c r="M77" s="16">
        <v>0</v>
      </c>
      <c r="N77" s="16">
        <f t="shared" si="36"/>
        <v>0</v>
      </c>
      <c r="O77" s="16">
        <f t="shared" si="23"/>
        <v>0</v>
      </c>
      <c r="P77" s="16">
        <f t="shared" si="37"/>
        <v>0</v>
      </c>
      <c r="Q77" s="16">
        <f t="shared" si="25"/>
        <v>0</v>
      </c>
      <c r="R77" s="16">
        <f t="shared" si="38"/>
        <v>0</v>
      </c>
      <c r="S77" s="17">
        <f t="shared" si="39"/>
        <v>0</v>
      </c>
      <c r="T77" s="29">
        <f t="shared" si="40"/>
        <v>0</v>
      </c>
      <c r="U77" s="43">
        <f t="shared" si="26"/>
        <v>0</v>
      </c>
      <c r="AG77" s="15"/>
      <c r="AH77" s="15">
        <f t="shared" si="41"/>
        <v>74</v>
      </c>
      <c r="AI77" s="16">
        <f t="shared" si="27"/>
        <v>80562.850908944965</v>
      </c>
      <c r="AJ77" s="44">
        <f t="shared" si="28"/>
        <v>14774.316003487356</v>
      </c>
      <c r="AK77" s="45">
        <f t="shared" si="29"/>
        <v>65788.534905457622</v>
      </c>
      <c r="AL77" s="16">
        <f t="shared" si="42"/>
        <v>8757030.338057531</v>
      </c>
      <c r="AM77" s="17">
        <f t="shared" si="30"/>
        <v>0.18338869388058052</v>
      </c>
      <c r="AN77" s="17">
        <f t="shared" si="31"/>
        <v>0.81661130611941968</v>
      </c>
    </row>
    <row r="78" spans="8:40" ht="49" thickTop="1" thickBot="1" x14ac:dyDescent="0.6">
      <c r="H78" s="15" t="str">
        <f t="shared" si="24"/>
        <v>NA</v>
      </c>
      <c r="I78" s="16">
        <f t="shared" si="32"/>
        <v>0</v>
      </c>
      <c r="J78" s="16">
        <f t="shared" si="33"/>
        <v>0</v>
      </c>
      <c r="K78" s="16">
        <f t="shared" si="34"/>
        <v>0</v>
      </c>
      <c r="L78" s="16">
        <f t="shared" si="35"/>
        <v>0</v>
      </c>
      <c r="M78" s="16">
        <v>0</v>
      </c>
      <c r="N78" s="16">
        <f t="shared" si="36"/>
        <v>0</v>
      </c>
      <c r="O78" s="16">
        <f t="shared" si="23"/>
        <v>0</v>
      </c>
      <c r="P78" s="16">
        <f t="shared" si="37"/>
        <v>0</v>
      </c>
      <c r="Q78" s="16">
        <f t="shared" si="25"/>
        <v>0</v>
      </c>
      <c r="R78" s="16">
        <f t="shared" si="38"/>
        <v>0</v>
      </c>
      <c r="S78" s="17">
        <f t="shared" si="39"/>
        <v>0</v>
      </c>
      <c r="T78" s="29">
        <f t="shared" si="40"/>
        <v>0</v>
      </c>
      <c r="U78" s="43">
        <f t="shared" si="26"/>
        <v>0</v>
      </c>
      <c r="AG78" s="15"/>
      <c r="AH78" s="15">
        <f t="shared" si="41"/>
        <v>75</v>
      </c>
      <c r="AI78" s="16">
        <f t="shared" si="27"/>
        <v>80562.850908944965</v>
      </c>
      <c r="AJ78" s="44">
        <f t="shared" si="28"/>
        <v>14885.123373513512</v>
      </c>
      <c r="AK78" s="45">
        <f t="shared" si="29"/>
        <v>65677.727535431448</v>
      </c>
      <c r="AL78" s="16">
        <f t="shared" si="42"/>
        <v>8742145.214684017</v>
      </c>
      <c r="AM78" s="17">
        <f t="shared" si="30"/>
        <v>0.18476410908468488</v>
      </c>
      <c r="AN78" s="17">
        <f t="shared" si="31"/>
        <v>0.81523589091531501</v>
      </c>
    </row>
    <row r="79" spans="8:40" ht="49" thickTop="1" thickBot="1" x14ac:dyDescent="0.6">
      <c r="H79" s="15" t="str">
        <f t="shared" si="24"/>
        <v>NA</v>
      </c>
      <c r="I79" s="16">
        <f t="shared" si="32"/>
        <v>0</v>
      </c>
      <c r="J79" s="16">
        <f t="shared" si="33"/>
        <v>0</v>
      </c>
      <c r="K79" s="16">
        <f t="shared" si="34"/>
        <v>0</v>
      </c>
      <c r="L79" s="16">
        <f t="shared" si="35"/>
        <v>0</v>
      </c>
      <c r="M79" s="16">
        <v>0</v>
      </c>
      <c r="N79" s="16">
        <f t="shared" si="36"/>
        <v>0</v>
      </c>
      <c r="O79" s="16">
        <f t="shared" si="23"/>
        <v>0</v>
      </c>
      <c r="P79" s="16">
        <f t="shared" si="37"/>
        <v>0</v>
      </c>
      <c r="Q79" s="16">
        <f t="shared" si="25"/>
        <v>0</v>
      </c>
      <c r="R79" s="16">
        <f t="shared" si="38"/>
        <v>0</v>
      </c>
      <c r="S79" s="17">
        <f t="shared" si="39"/>
        <v>0</v>
      </c>
      <c r="T79" s="29">
        <f t="shared" si="40"/>
        <v>0</v>
      </c>
      <c r="U79" s="43">
        <f t="shared" si="26"/>
        <v>0</v>
      </c>
      <c r="AG79" s="15"/>
      <c r="AH79" s="15">
        <f t="shared" si="41"/>
        <v>76</v>
      </c>
      <c r="AI79" s="16">
        <f t="shared" si="27"/>
        <v>80562.850908944965</v>
      </c>
      <c r="AJ79" s="44">
        <f t="shared" si="28"/>
        <v>14996.761798814863</v>
      </c>
      <c r="AK79" s="45">
        <f t="shared" si="29"/>
        <v>65566.089110130109</v>
      </c>
      <c r="AL79" s="16">
        <f t="shared" si="42"/>
        <v>8727148.4528852031</v>
      </c>
      <c r="AM79" s="17">
        <f t="shared" si="30"/>
        <v>0.18614983990282002</v>
      </c>
      <c r="AN79" s="17">
        <f t="shared" si="31"/>
        <v>0.81385016009718003</v>
      </c>
    </row>
    <row r="80" spans="8:40" ht="49" thickTop="1" thickBot="1" x14ac:dyDescent="0.6">
      <c r="H80" s="15" t="str">
        <f t="shared" si="24"/>
        <v>NA</v>
      </c>
      <c r="I80" s="16">
        <f t="shared" si="32"/>
        <v>0</v>
      </c>
      <c r="J80" s="16">
        <f t="shared" si="33"/>
        <v>0</v>
      </c>
      <c r="K80" s="16">
        <f t="shared" si="34"/>
        <v>0</v>
      </c>
      <c r="L80" s="16">
        <f t="shared" si="35"/>
        <v>0</v>
      </c>
      <c r="M80" s="16">
        <v>0</v>
      </c>
      <c r="N80" s="16">
        <f t="shared" si="36"/>
        <v>0</v>
      </c>
      <c r="O80" s="16">
        <f t="shared" si="23"/>
        <v>0</v>
      </c>
      <c r="P80" s="16">
        <f t="shared" si="37"/>
        <v>0</v>
      </c>
      <c r="Q80" s="16">
        <f t="shared" si="25"/>
        <v>0</v>
      </c>
      <c r="R80" s="16">
        <f t="shared" si="38"/>
        <v>0</v>
      </c>
      <c r="S80" s="17">
        <f t="shared" si="39"/>
        <v>0</v>
      </c>
      <c r="T80" s="29">
        <f t="shared" si="40"/>
        <v>0</v>
      </c>
      <c r="U80" s="43">
        <f t="shared" si="26"/>
        <v>0</v>
      </c>
      <c r="AG80" s="15"/>
      <c r="AH80" s="15">
        <f t="shared" si="41"/>
        <v>77</v>
      </c>
      <c r="AI80" s="16">
        <f t="shared" si="27"/>
        <v>80562.850908944965</v>
      </c>
      <c r="AJ80" s="44">
        <f t="shared" si="28"/>
        <v>15109.237512305972</v>
      </c>
      <c r="AK80" s="45">
        <f t="shared" si="29"/>
        <v>65453.61339663899</v>
      </c>
      <c r="AL80" s="16">
        <f t="shared" si="42"/>
        <v>8712039.2153728977</v>
      </c>
      <c r="AM80" s="17">
        <f t="shared" si="30"/>
        <v>0.18754596370209112</v>
      </c>
      <c r="AN80" s="17">
        <f t="shared" si="31"/>
        <v>0.8124540362979088</v>
      </c>
    </row>
    <row r="81" spans="8:40" ht="49" thickTop="1" thickBot="1" x14ac:dyDescent="0.6">
      <c r="H81" s="15" t="str">
        <f t="shared" si="24"/>
        <v>NA</v>
      </c>
      <c r="I81" s="16">
        <f t="shared" si="32"/>
        <v>0</v>
      </c>
      <c r="J81" s="16">
        <f t="shared" si="33"/>
        <v>0</v>
      </c>
      <c r="K81" s="16">
        <f t="shared" si="34"/>
        <v>0</v>
      </c>
      <c r="L81" s="16">
        <f t="shared" si="35"/>
        <v>0</v>
      </c>
      <c r="M81" s="16">
        <v>0</v>
      </c>
      <c r="N81" s="16">
        <f t="shared" si="36"/>
        <v>0</v>
      </c>
      <c r="O81" s="16">
        <f t="shared" si="23"/>
        <v>0</v>
      </c>
      <c r="P81" s="16">
        <f t="shared" si="37"/>
        <v>0</v>
      </c>
      <c r="Q81" s="16">
        <f t="shared" si="25"/>
        <v>0</v>
      </c>
      <c r="R81" s="16">
        <f t="shared" si="38"/>
        <v>0</v>
      </c>
      <c r="S81" s="17">
        <f t="shared" si="39"/>
        <v>0</v>
      </c>
      <c r="T81" s="29">
        <f t="shared" si="40"/>
        <v>0</v>
      </c>
      <c r="U81" s="43">
        <f t="shared" si="26"/>
        <v>0</v>
      </c>
      <c r="AG81" s="15"/>
      <c r="AH81" s="15">
        <f t="shared" si="41"/>
        <v>78</v>
      </c>
      <c r="AI81" s="16">
        <f t="shared" si="27"/>
        <v>80562.850908944965</v>
      </c>
      <c r="AJ81" s="44">
        <f t="shared" si="28"/>
        <v>15222.556793648266</v>
      </c>
      <c r="AK81" s="45">
        <f t="shared" si="29"/>
        <v>65340.294115296703</v>
      </c>
      <c r="AL81" s="16">
        <f t="shared" si="42"/>
        <v>8696816.6585792489</v>
      </c>
      <c r="AM81" s="17">
        <f t="shared" si="30"/>
        <v>0.18895255842985681</v>
      </c>
      <c r="AN81" s="17">
        <f t="shared" si="31"/>
        <v>0.81104744157014319</v>
      </c>
    </row>
    <row r="82" spans="8:40" ht="49" thickTop="1" thickBot="1" x14ac:dyDescent="0.6">
      <c r="H82" s="15" t="str">
        <f t="shared" si="24"/>
        <v>NA</v>
      </c>
      <c r="I82" s="16">
        <f t="shared" si="32"/>
        <v>0</v>
      </c>
      <c r="J82" s="16">
        <f t="shared" si="33"/>
        <v>0</v>
      </c>
      <c r="K82" s="16">
        <f t="shared" si="34"/>
        <v>0</v>
      </c>
      <c r="L82" s="16">
        <f t="shared" si="35"/>
        <v>0</v>
      </c>
      <c r="M82" s="16">
        <v>0</v>
      </c>
      <c r="N82" s="16">
        <f t="shared" si="36"/>
        <v>0</v>
      </c>
      <c r="O82" s="16">
        <f t="shared" si="23"/>
        <v>0</v>
      </c>
      <c r="P82" s="16">
        <f t="shared" si="37"/>
        <v>0</v>
      </c>
      <c r="Q82" s="16">
        <f t="shared" si="25"/>
        <v>0</v>
      </c>
      <c r="R82" s="16">
        <f t="shared" si="38"/>
        <v>0</v>
      </c>
      <c r="S82" s="17">
        <f t="shared" si="39"/>
        <v>0</v>
      </c>
      <c r="T82" s="29">
        <f t="shared" si="40"/>
        <v>0</v>
      </c>
      <c r="U82" s="43">
        <f t="shared" si="26"/>
        <v>0</v>
      </c>
      <c r="AG82" s="15"/>
      <c r="AH82" s="15">
        <f t="shared" si="41"/>
        <v>79</v>
      </c>
      <c r="AI82" s="16">
        <f t="shared" si="27"/>
        <v>80562.850908944965</v>
      </c>
      <c r="AJ82" s="44">
        <f t="shared" si="28"/>
        <v>15336.725969600629</v>
      </c>
      <c r="AK82" s="45">
        <f t="shared" si="29"/>
        <v>65226.124939344336</v>
      </c>
      <c r="AL82" s="16">
        <f t="shared" si="42"/>
        <v>8681479.9326096475</v>
      </c>
      <c r="AM82" s="17">
        <f t="shared" si="30"/>
        <v>0.19036970261808075</v>
      </c>
      <c r="AN82" s="17">
        <f t="shared" si="31"/>
        <v>0.80963029738191927</v>
      </c>
    </row>
    <row r="83" spans="8:40" ht="49" thickTop="1" thickBot="1" x14ac:dyDescent="0.6">
      <c r="H83" s="15" t="str">
        <f t="shared" si="24"/>
        <v>NA</v>
      </c>
      <c r="I83" s="16">
        <f t="shared" si="32"/>
        <v>0</v>
      </c>
      <c r="J83" s="16">
        <f t="shared" si="33"/>
        <v>0</v>
      </c>
      <c r="K83" s="16">
        <f t="shared" si="34"/>
        <v>0</v>
      </c>
      <c r="L83" s="16">
        <f t="shared" si="35"/>
        <v>0</v>
      </c>
      <c r="M83" s="16">
        <v>0</v>
      </c>
      <c r="N83" s="16">
        <f t="shared" si="36"/>
        <v>0</v>
      </c>
      <c r="O83" s="16">
        <f t="shared" si="23"/>
        <v>0</v>
      </c>
      <c r="P83" s="16">
        <f t="shared" si="37"/>
        <v>0</v>
      </c>
      <c r="Q83" s="16">
        <f t="shared" si="25"/>
        <v>0</v>
      </c>
      <c r="R83" s="16">
        <f t="shared" si="38"/>
        <v>0</v>
      </c>
      <c r="S83" s="17">
        <f t="shared" si="39"/>
        <v>0</v>
      </c>
      <c r="T83" s="29">
        <f t="shared" si="40"/>
        <v>0</v>
      </c>
      <c r="U83" s="43">
        <f t="shared" si="26"/>
        <v>0</v>
      </c>
      <c r="AG83" s="15"/>
      <c r="AH83" s="15">
        <f t="shared" si="41"/>
        <v>80</v>
      </c>
      <c r="AI83" s="16">
        <f t="shared" si="27"/>
        <v>80562.850908944965</v>
      </c>
      <c r="AJ83" s="44">
        <f t="shared" si="28"/>
        <v>15451.751414372637</v>
      </c>
      <c r="AK83" s="45">
        <f t="shared" si="29"/>
        <v>65111.099494572329</v>
      </c>
      <c r="AL83" s="16">
        <f t="shared" si="42"/>
        <v>8666028.181195274</v>
      </c>
      <c r="AM83" s="17">
        <f t="shared" si="30"/>
        <v>0.19179747538771638</v>
      </c>
      <c r="AN83" s="17">
        <f t="shared" si="31"/>
        <v>0.80820252461228359</v>
      </c>
    </row>
    <row r="84" spans="8:40" ht="49" thickTop="1" thickBot="1" x14ac:dyDescent="0.6">
      <c r="H84" s="15" t="str">
        <f t="shared" si="24"/>
        <v>NA</v>
      </c>
      <c r="I84" s="16">
        <f t="shared" si="32"/>
        <v>0</v>
      </c>
      <c r="J84" s="16">
        <f t="shared" si="33"/>
        <v>0</v>
      </c>
      <c r="K84" s="16">
        <f t="shared" si="34"/>
        <v>0</v>
      </c>
      <c r="L84" s="16">
        <f t="shared" si="35"/>
        <v>0</v>
      </c>
      <c r="M84" s="16">
        <v>0</v>
      </c>
      <c r="N84" s="16">
        <f t="shared" si="36"/>
        <v>0</v>
      </c>
      <c r="O84" s="16">
        <f t="shared" si="23"/>
        <v>0</v>
      </c>
      <c r="P84" s="16">
        <f t="shared" si="37"/>
        <v>0</v>
      </c>
      <c r="Q84" s="16">
        <f t="shared" si="25"/>
        <v>0</v>
      </c>
      <c r="R84" s="16">
        <f t="shared" si="38"/>
        <v>0</v>
      </c>
      <c r="S84" s="17">
        <f t="shared" si="39"/>
        <v>0</v>
      </c>
      <c r="T84" s="29">
        <f t="shared" si="40"/>
        <v>0</v>
      </c>
      <c r="U84" s="43">
        <f t="shared" si="26"/>
        <v>0</v>
      </c>
      <c r="AG84" s="15"/>
      <c r="AH84" s="15">
        <f t="shared" si="41"/>
        <v>81</v>
      </c>
      <c r="AI84" s="16">
        <f t="shared" si="27"/>
        <v>80562.850908944965</v>
      </c>
      <c r="AJ84" s="44">
        <f t="shared" si="28"/>
        <v>15567.639549980428</v>
      </c>
      <c r="AK84" s="45">
        <f t="shared" si="29"/>
        <v>64995.211358964538</v>
      </c>
      <c r="AL84" s="16">
        <f t="shared" si="42"/>
        <v>8650460.5416452941</v>
      </c>
      <c r="AM84" s="17">
        <f t="shared" si="30"/>
        <v>0.19323595645312422</v>
      </c>
      <c r="AN84" s="17">
        <f t="shared" si="31"/>
        <v>0.80676404354687581</v>
      </c>
    </row>
    <row r="85" spans="8:40" ht="49" thickTop="1" thickBot="1" x14ac:dyDescent="0.6">
      <c r="H85" s="15" t="str">
        <f t="shared" si="24"/>
        <v>NA</v>
      </c>
      <c r="I85" s="16">
        <f t="shared" si="32"/>
        <v>0</v>
      </c>
      <c r="J85" s="16">
        <f t="shared" si="33"/>
        <v>0</v>
      </c>
      <c r="K85" s="16">
        <f t="shared" si="34"/>
        <v>0</v>
      </c>
      <c r="L85" s="16">
        <f t="shared" si="35"/>
        <v>0</v>
      </c>
      <c r="M85" s="16">
        <v>0</v>
      </c>
      <c r="N85" s="16">
        <f t="shared" si="36"/>
        <v>0</v>
      </c>
      <c r="O85" s="16">
        <f t="shared" si="23"/>
        <v>0</v>
      </c>
      <c r="P85" s="16">
        <f t="shared" si="37"/>
        <v>0</v>
      </c>
      <c r="Q85" s="16">
        <f t="shared" si="25"/>
        <v>0</v>
      </c>
      <c r="R85" s="16">
        <f t="shared" si="38"/>
        <v>0</v>
      </c>
      <c r="S85" s="17">
        <f t="shared" si="39"/>
        <v>0</v>
      </c>
      <c r="T85" s="29">
        <f t="shared" si="40"/>
        <v>0</v>
      </c>
      <c r="U85" s="43">
        <f t="shared" si="26"/>
        <v>0</v>
      </c>
      <c r="AG85" s="15"/>
      <c r="AH85" s="15">
        <f t="shared" si="41"/>
        <v>82</v>
      </c>
      <c r="AI85" s="16">
        <f t="shared" si="27"/>
        <v>80562.850908944965</v>
      </c>
      <c r="AJ85" s="44">
        <f t="shared" si="28"/>
        <v>15684.396846605283</v>
      </c>
      <c r="AK85" s="45">
        <f t="shared" si="29"/>
        <v>64878.45406233969</v>
      </c>
      <c r="AL85" s="16">
        <f t="shared" si="42"/>
        <v>8634776.1447986886</v>
      </c>
      <c r="AM85" s="17">
        <f t="shared" si="30"/>
        <v>0.19468522612652267</v>
      </c>
      <c r="AN85" s="17">
        <f t="shared" si="31"/>
        <v>0.80531477387347739</v>
      </c>
    </row>
    <row r="86" spans="8:40" ht="49" thickTop="1" thickBot="1" x14ac:dyDescent="0.6">
      <c r="H86" s="15" t="str">
        <f t="shared" si="24"/>
        <v>NA</v>
      </c>
      <c r="I86" s="16">
        <f t="shared" si="32"/>
        <v>0</v>
      </c>
      <c r="J86" s="16">
        <f t="shared" si="33"/>
        <v>0</v>
      </c>
      <c r="K86" s="16">
        <f t="shared" si="34"/>
        <v>0</v>
      </c>
      <c r="L86" s="16">
        <f t="shared" si="35"/>
        <v>0</v>
      </c>
      <c r="M86" s="16">
        <v>0</v>
      </c>
      <c r="N86" s="16">
        <f t="shared" si="36"/>
        <v>0</v>
      </c>
      <c r="O86" s="16">
        <f t="shared" si="23"/>
        <v>0</v>
      </c>
      <c r="P86" s="16">
        <f t="shared" si="37"/>
        <v>0</v>
      </c>
      <c r="Q86" s="16">
        <f t="shared" si="25"/>
        <v>0</v>
      </c>
      <c r="R86" s="16">
        <f t="shared" si="38"/>
        <v>0</v>
      </c>
      <c r="S86" s="17">
        <f t="shared" si="39"/>
        <v>0</v>
      </c>
      <c r="T86" s="29">
        <f t="shared" si="40"/>
        <v>0</v>
      </c>
      <c r="U86" s="43">
        <f t="shared" si="26"/>
        <v>0</v>
      </c>
      <c r="AG86" s="15"/>
      <c r="AH86" s="15">
        <f t="shared" si="41"/>
        <v>83</v>
      </c>
      <c r="AI86" s="16">
        <f t="shared" si="27"/>
        <v>80562.850908944965</v>
      </c>
      <c r="AJ86" s="44">
        <f t="shared" si="28"/>
        <v>15802.029822954826</v>
      </c>
      <c r="AK86" s="45">
        <f t="shared" si="29"/>
        <v>64760.821085990145</v>
      </c>
      <c r="AL86" s="16">
        <f t="shared" si="42"/>
        <v>8618974.1149757337</v>
      </c>
      <c r="AM86" s="17">
        <f t="shared" si="30"/>
        <v>0.19614536532247162</v>
      </c>
      <c r="AN86" s="17">
        <f t="shared" si="31"/>
        <v>0.80385463467752838</v>
      </c>
    </row>
    <row r="87" spans="8:40" ht="49" thickTop="1" thickBot="1" x14ac:dyDescent="0.6">
      <c r="H87" s="15" t="str">
        <f t="shared" si="24"/>
        <v>NA</v>
      </c>
      <c r="I87" s="16">
        <f t="shared" si="32"/>
        <v>0</v>
      </c>
      <c r="J87" s="16">
        <f t="shared" si="33"/>
        <v>0</v>
      </c>
      <c r="K87" s="16">
        <f t="shared" si="34"/>
        <v>0</v>
      </c>
      <c r="L87" s="16">
        <f t="shared" si="35"/>
        <v>0</v>
      </c>
      <c r="M87" s="16">
        <v>0</v>
      </c>
      <c r="N87" s="16">
        <f t="shared" si="36"/>
        <v>0</v>
      </c>
      <c r="O87" s="16">
        <f t="shared" si="23"/>
        <v>0</v>
      </c>
      <c r="P87" s="16">
        <f t="shared" si="37"/>
        <v>0</v>
      </c>
      <c r="Q87" s="16">
        <f t="shared" si="25"/>
        <v>0</v>
      </c>
      <c r="R87" s="16">
        <f t="shared" si="38"/>
        <v>0</v>
      </c>
      <c r="S87" s="17">
        <f t="shared" si="39"/>
        <v>0</v>
      </c>
      <c r="T87" s="29">
        <f t="shared" si="40"/>
        <v>0</v>
      </c>
      <c r="U87" s="43">
        <f t="shared" si="26"/>
        <v>0</v>
      </c>
      <c r="AG87" s="15"/>
      <c r="AH87" s="15">
        <f t="shared" si="41"/>
        <v>84</v>
      </c>
      <c r="AI87" s="16">
        <f t="shared" si="27"/>
        <v>80562.850908944965</v>
      </c>
      <c r="AJ87" s="44">
        <f t="shared" si="28"/>
        <v>15920.545046626985</v>
      </c>
      <c r="AK87" s="45">
        <f t="shared" si="29"/>
        <v>64642.30586231799</v>
      </c>
      <c r="AL87" s="16">
        <f t="shared" si="42"/>
        <v>8603053.5699291062</v>
      </c>
      <c r="AM87" s="17">
        <f t="shared" si="30"/>
        <v>0.19761645556239013</v>
      </c>
      <c r="AN87" s="17">
        <f t="shared" si="31"/>
        <v>0.80238354443760995</v>
      </c>
    </row>
    <row r="88" spans="8:40" ht="49" thickTop="1" thickBot="1" x14ac:dyDescent="0.6">
      <c r="H88" s="15" t="str">
        <f t="shared" si="24"/>
        <v>NA</v>
      </c>
      <c r="I88" s="16">
        <f t="shared" si="32"/>
        <v>0</v>
      </c>
      <c r="J88" s="16">
        <f t="shared" si="33"/>
        <v>0</v>
      </c>
      <c r="K88" s="16">
        <f t="shared" si="34"/>
        <v>0</v>
      </c>
      <c r="L88" s="16">
        <f t="shared" si="35"/>
        <v>0</v>
      </c>
      <c r="M88" s="16">
        <v>0</v>
      </c>
      <c r="N88" s="16">
        <f t="shared" si="36"/>
        <v>0</v>
      </c>
      <c r="O88" s="16">
        <f t="shared" si="23"/>
        <v>0</v>
      </c>
      <c r="P88" s="16">
        <f t="shared" si="37"/>
        <v>0</v>
      </c>
      <c r="Q88" s="16">
        <f t="shared" si="25"/>
        <v>0</v>
      </c>
      <c r="R88" s="16">
        <f t="shared" si="38"/>
        <v>0</v>
      </c>
      <c r="S88" s="17">
        <f t="shared" si="39"/>
        <v>0</v>
      </c>
      <c r="T88" s="29">
        <f t="shared" si="40"/>
        <v>0</v>
      </c>
      <c r="U88" s="43">
        <f t="shared" si="26"/>
        <v>0</v>
      </c>
      <c r="AG88" s="15">
        <f>IF(AH88= "NA", "NA",8)</f>
        <v>8</v>
      </c>
      <c r="AH88" s="15">
        <f t="shared" si="41"/>
        <v>85</v>
      </c>
      <c r="AI88" s="16">
        <f t="shared" si="27"/>
        <v>80562.850908944965</v>
      </c>
      <c r="AJ88" s="44">
        <f t="shared" si="28"/>
        <v>16039.949134476687</v>
      </c>
      <c r="AK88" s="45">
        <f t="shared" si="29"/>
        <v>64522.901774468279</v>
      </c>
      <c r="AL88" s="16">
        <f t="shared" si="42"/>
        <v>8587013.6207946297</v>
      </c>
      <c r="AM88" s="17">
        <f t="shared" si="30"/>
        <v>0.19909857897910807</v>
      </c>
      <c r="AN88" s="17">
        <f t="shared" si="31"/>
        <v>0.8009014210208919</v>
      </c>
    </row>
    <row r="89" spans="8:40" ht="49" thickTop="1" thickBot="1" x14ac:dyDescent="0.6">
      <c r="H89" s="15" t="str">
        <f t="shared" si="24"/>
        <v>NA</v>
      </c>
      <c r="I89" s="16">
        <f t="shared" si="32"/>
        <v>0</v>
      </c>
      <c r="J89" s="16">
        <f t="shared" si="33"/>
        <v>0</v>
      </c>
      <c r="K89" s="16">
        <f t="shared" si="34"/>
        <v>0</v>
      </c>
      <c r="L89" s="16">
        <f t="shared" si="35"/>
        <v>0</v>
      </c>
      <c r="M89" s="16">
        <v>0</v>
      </c>
      <c r="N89" s="16">
        <f t="shared" si="36"/>
        <v>0</v>
      </c>
      <c r="O89" s="16">
        <f t="shared" si="23"/>
        <v>0</v>
      </c>
      <c r="P89" s="16">
        <f t="shared" si="37"/>
        <v>0</v>
      </c>
      <c r="Q89" s="16">
        <f t="shared" si="25"/>
        <v>0</v>
      </c>
      <c r="R89" s="16">
        <f t="shared" si="38"/>
        <v>0</v>
      </c>
      <c r="S89" s="17">
        <f t="shared" si="39"/>
        <v>0</v>
      </c>
      <c r="T89" s="29">
        <f t="shared" si="40"/>
        <v>0</v>
      </c>
      <c r="U89" s="43">
        <f t="shared" si="26"/>
        <v>0</v>
      </c>
      <c r="AG89" s="15"/>
      <c r="AH89" s="15">
        <f t="shared" si="41"/>
        <v>86</v>
      </c>
      <c r="AI89" s="16">
        <f t="shared" si="27"/>
        <v>80562.850908944965</v>
      </c>
      <c r="AJ89" s="44">
        <f t="shared" si="28"/>
        <v>16160.248752985261</v>
      </c>
      <c r="AK89" s="45">
        <f t="shared" si="29"/>
        <v>64402.602155959707</v>
      </c>
      <c r="AL89" s="16">
        <f t="shared" si="42"/>
        <v>8570853.3720416445</v>
      </c>
      <c r="AM89" s="17">
        <f t="shared" si="30"/>
        <v>0.20059181832145134</v>
      </c>
      <c r="AN89" s="17">
        <f t="shared" si="31"/>
        <v>0.79940818167854866</v>
      </c>
    </row>
    <row r="90" spans="8:40" ht="49" thickTop="1" thickBot="1" x14ac:dyDescent="0.6">
      <c r="H90" s="15" t="str">
        <f t="shared" si="24"/>
        <v>NA</v>
      </c>
      <c r="I90" s="16">
        <f t="shared" si="32"/>
        <v>0</v>
      </c>
      <c r="J90" s="16">
        <f t="shared" si="33"/>
        <v>0</v>
      </c>
      <c r="K90" s="16">
        <f t="shared" si="34"/>
        <v>0</v>
      </c>
      <c r="L90" s="16">
        <f t="shared" si="35"/>
        <v>0</v>
      </c>
      <c r="M90" s="16">
        <v>0</v>
      </c>
      <c r="N90" s="16">
        <f t="shared" si="36"/>
        <v>0</v>
      </c>
      <c r="O90" s="16">
        <f t="shared" si="23"/>
        <v>0</v>
      </c>
      <c r="P90" s="16">
        <f t="shared" si="37"/>
        <v>0</v>
      </c>
      <c r="Q90" s="16">
        <f t="shared" si="25"/>
        <v>0</v>
      </c>
      <c r="R90" s="16">
        <f t="shared" si="38"/>
        <v>0</v>
      </c>
      <c r="S90" s="17">
        <f t="shared" si="39"/>
        <v>0</v>
      </c>
      <c r="T90" s="29">
        <f t="shared" si="40"/>
        <v>0</v>
      </c>
      <c r="U90" s="43">
        <f t="shared" si="26"/>
        <v>0</v>
      </c>
      <c r="AG90" s="15"/>
      <c r="AH90" s="15">
        <f t="shared" si="41"/>
        <v>87</v>
      </c>
      <c r="AI90" s="16">
        <f t="shared" si="27"/>
        <v>80562.850908944965</v>
      </c>
      <c r="AJ90" s="44">
        <f t="shared" si="28"/>
        <v>16281.450618632649</v>
      </c>
      <c r="AK90" s="45">
        <f t="shared" si="29"/>
        <v>64281.400290312318</v>
      </c>
      <c r="AL90" s="16">
        <f t="shared" si="42"/>
        <v>8554571.9214230124</v>
      </c>
      <c r="AM90" s="17">
        <f t="shared" si="30"/>
        <v>0.20209625695886221</v>
      </c>
      <c r="AN90" s="17">
        <f t="shared" si="31"/>
        <v>0.79790374304113776</v>
      </c>
    </row>
    <row r="91" spans="8:40" ht="49" thickTop="1" thickBot="1" x14ac:dyDescent="0.6">
      <c r="H91" s="15" t="str">
        <f t="shared" si="24"/>
        <v>NA</v>
      </c>
      <c r="I91" s="16">
        <f t="shared" si="32"/>
        <v>0</v>
      </c>
      <c r="J91" s="16">
        <f t="shared" si="33"/>
        <v>0</v>
      </c>
      <c r="K91" s="16">
        <f t="shared" si="34"/>
        <v>0</v>
      </c>
      <c r="L91" s="16">
        <f t="shared" si="35"/>
        <v>0</v>
      </c>
      <c r="M91" s="16">
        <v>0</v>
      </c>
      <c r="N91" s="16">
        <f t="shared" si="36"/>
        <v>0</v>
      </c>
      <c r="O91" s="16">
        <f t="shared" si="23"/>
        <v>0</v>
      </c>
      <c r="P91" s="16">
        <f t="shared" si="37"/>
        <v>0</v>
      </c>
      <c r="Q91" s="16">
        <f t="shared" si="25"/>
        <v>0</v>
      </c>
      <c r="R91" s="16">
        <f t="shared" si="38"/>
        <v>0</v>
      </c>
      <c r="S91" s="17">
        <f t="shared" si="39"/>
        <v>0</v>
      </c>
      <c r="T91" s="29">
        <f t="shared" si="40"/>
        <v>0</v>
      </c>
      <c r="U91" s="43">
        <f t="shared" si="26"/>
        <v>0</v>
      </c>
      <c r="AG91" s="15"/>
      <c r="AH91" s="15">
        <f t="shared" si="41"/>
        <v>88</v>
      </c>
      <c r="AI91" s="16">
        <f t="shared" si="27"/>
        <v>80562.850908944965</v>
      </c>
      <c r="AJ91" s="44">
        <f t="shared" si="28"/>
        <v>16403.561498272396</v>
      </c>
      <c r="AK91" s="45">
        <f t="shared" si="29"/>
        <v>64159.289410672565</v>
      </c>
      <c r="AL91" s="16">
        <f t="shared" si="42"/>
        <v>8538168.3599247392</v>
      </c>
      <c r="AM91" s="17">
        <f t="shared" si="30"/>
        <v>0.20361197888605373</v>
      </c>
      <c r="AN91" s="17">
        <f t="shared" si="31"/>
        <v>0.79638802111394624</v>
      </c>
    </row>
    <row r="92" spans="8:40" ht="49" thickTop="1" thickBot="1" x14ac:dyDescent="0.6">
      <c r="H92" s="15" t="str">
        <f t="shared" si="24"/>
        <v>NA</v>
      </c>
      <c r="I92" s="16">
        <f t="shared" si="32"/>
        <v>0</v>
      </c>
      <c r="J92" s="16">
        <f t="shared" si="33"/>
        <v>0</v>
      </c>
      <c r="K92" s="16">
        <f t="shared" si="34"/>
        <v>0</v>
      </c>
      <c r="L92" s="16">
        <f t="shared" si="35"/>
        <v>0</v>
      </c>
      <c r="M92" s="16">
        <v>0</v>
      </c>
      <c r="N92" s="16">
        <f t="shared" si="36"/>
        <v>0</v>
      </c>
      <c r="O92" s="16">
        <f t="shared" si="23"/>
        <v>0</v>
      </c>
      <c r="P92" s="16">
        <f t="shared" si="37"/>
        <v>0</v>
      </c>
      <c r="Q92" s="16">
        <f t="shared" si="25"/>
        <v>0</v>
      </c>
      <c r="R92" s="16">
        <f t="shared" si="38"/>
        <v>0</v>
      </c>
      <c r="S92" s="17">
        <f t="shared" si="39"/>
        <v>0</v>
      </c>
      <c r="T92" s="29">
        <f t="shared" si="40"/>
        <v>0</v>
      </c>
      <c r="U92" s="43">
        <f t="shared" si="26"/>
        <v>0</v>
      </c>
      <c r="AG92" s="15"/>
      <c r="AH92" s="15">
        <f t="shared" si="41"/>
        <v>89</v>
      </c>
      <c r="AI92" s="16">
        <f t="shared" si="27"/>
        <v>80562.850908944965</v>
      </c>
      <c r="AJ92" s="44">
        <f t="shared" si="28"/>
        <v>16526.588209509438</v>
      </c>
      <c r="AK92" s="45">
        <f t="shared" si="29"/>
        <v>64036.262699435531</v>
      </c>
      <c r="AL92" s="16">
        <f t="shared" si="42"/>
        <v>8521641.7717152294</v>
      </c>
      <c r="AM92" s="17">
        <f t="shared" si="30"/>
        <v>0.2051390687276991</v>
      </c>
      <c r="AN92" s="17">
        <f t="shared" si="31"/>
        <v>0.79486093127230095</v>
      </c>
    </row>
    <row r="93" spans="8:40" ht="49" thickTop="1" thickBot="1" x14ac:dyDescent="0.6">
      <c r="AG93" s="15"/>
      <c r="AH93" s="15">
        <f t="shared" si="41"/>
        <v>90</v>
      </c>
      <c r="AI93" s="16">
        <f t="shared" si="27"/>
        <v>80562.850908944965</v>
      </c>
      <c r="AJ93" s="44">
        <f t="shared" si="28"/>
        <v>16650.537621080759</v>
      </c>
      <c r="AK93" s="45">
        <f t="shared" si="29"/>
        <v>63912.313287864221</v>
      </c>
      <c r="AL93" s="16">
        <f t="shared" si="42"/>
        <v>8504991.2340941485</v>
      </c>
      <c r="AM93" s="17">
        <f t="shared" si="30"/>
        <v>0.20667761174315685</v>
      </c>
      <c r="AN93" s="17">
        <f t="shared" si="31"/>
        <v>0.79332238825684331</v>
      </c>
    </row>
    <row r="94" spans="8:40" ht="49" thickTop="1" thickBot="1" x14ac:dyDescent="0.6">
      <c r="AG94" s="15"/>
      <c r="AH94" s="15">
        <f t="shared" si="41"/>
        <v>91</v>
      </c>
      <c r="AI94" s="16">
        <f t="shared" si="27"/>
        <v>80562.850908944965</v>
      </c>
      <c r="AJ94" s="44">
        <f t="shared" si="28"/>
        <v>16775.416653238866</v>
      </c>
      <c r="AK94" s="45">
        <f t="shared" si="29"/>
        <v>63787.434255706095</v>
      </c>
      <c r="AL94" s="16">
        <f t="shared" si="42"/>
        <v>8488215.8174409103</v>
      </c>
      <c r="AM94" s="17">
        <f t="shared" si="30"/>
        <v>0.20822769383123055</v>
      </c>
      <c r="AN94" s="17">
        <f t="shared" si="31"/>
        <v>0.79177230616876937</v>
      </c>
    </row>
    <row r="95" spans="8:40" ht="49" thickTop="1" thickBot="1" x14ac:dyDescent="0.6">
      <c r="AG95" s="15"/>
      <c r="AH95" s="15">
        <f t="shared" si="41"/>
        <v>92</v>
      </c>
      <c r="AI95" s="16">
        <f t="shared" si="27"/>
        <v>80562.850908944965</v>
      </c>
      <c r="AJ95" s="44">
        <f t="shared" si="28"/>
        <v>16901.232278138155</v>
      </c>
      <c r="AK95" s="45">
        <f t="shared" si="29"/>
        <v>63661.618630806814</v>
      </c>
      <c r="AL95" s="16">
        <f t="shared" si="42"/>
        <v>8471314.5851627719</v>
      </c>
      <c r="AM95" s="17">
        <f t="shared" si="30"/>
        <v>0.20978940153496475</v>
      </c>
      <c r="AN95" s="17">
        <f t="shared" si="31"/>
        <v>0.79021059846503527</v>
      </c>
    </row>
    <row r="96" spans="8:40" ht="49" thickTop="1" thickBot="1" x14ac:dyDescent="0.6">
      <c r="AG96" s="15"/>
      <c r="AH96" s="15">
        <f t="shared" si="41"/>
        <v>93</v>
      </c>
      <c r="AI96" s="16">
        <f t="shared" si="27"/>
        <v>80562.850908944965</v>
      </c>
      <c r="AJ96" s="44">
        <f t="shared" si="28"/>
        <v>17027.991520224194</v>
      </c>
      <c r="AK96" s="45">
        <f t="shared" si="29"/>
        <v>63534.859388720775</v>
      </c>
      <c r="AL96" s="16">
        <f t="shared" si="42"/>
        <v>8454286.5936425477</v>
      </c>
      <c r="AM96" s="17">
        <f t="shared" si="30"/>
        <v>0.21136282204647702</v>
      </c>
      <c r="AN96" s="17">
        <f t="shared" si="31"/>
        <v>0.78863717795352306</v>
      </c>
    </row>
    <row r="97" spans="33:40" ht="49" thickTop="1" thickBot="1" x14ac:dyDescent="0.6">
      <c r="AG97" s="15"/>
      <c r="AH97" s="15">
        <f t="shared" si="41"/>
        <v>94</v>
      </c>
      <c r="AI97" s="16">
        <f t="shared" si="27"/>
        <v>80562.850908944965</v>
      </c>
      <c r="AJ97" s="44">
        <f t="shared" si="28"/>
        <v>17155.701456625873</v>
      </c>
      <c r="AK97" s="45">
        <f t="shared" si="29"/>
        <v>63407.149452319092</v>
      </c>
      <c r="AL97" s="16">
        <f t="shared" si="42"/>
        <v>8437130.8921859227</v>
      </c>
      <c r="AM97" s="17">
        <f t="shared" si="30"/>
        <v>0.21294804321182556</v>
      </c>
      <c r="AN97" s="17">
        <f t="shared" si="31"/>
        <v>0.78705195678817441</v>
      </c>
    </row>
    <row r="98" spans="33:40" ht="49" thickTop="1" thickBot="1" x14ac:dyDescent="0.6">
      <c r="AG98" s="15"/>
      <c r="AH98" s="15">
        <f t="shared" si="41"/>
        <v>95</v>
      </c>
      <c r="AI98" s="16">
        <f t="shared" si="27"/>
        <v>80562.850908944965</v>
      </c>
      <c r="AJ98" s="44">
        <f t="shared" si="28"/>
        <v>17284.369217550571</v>
      </c>
      <c r="AK98" s="45">
        <f t="shared" si="29"/>
        <v>63278.481691394387</v>
      </c>
      <c r="AL98" s="16">
        <f t="shared" si="42"/>
        <v>8419846.5229683723</v>
      </c>
      <c r="AM98" s="17">
        <f t="shared" si="30"/>
        <v>0.2145451535359143</v>
      </c>
      <c r="AN98" s="17">
        <f t="shared" si="31"/>
        <v>0.78545484646408559</v>
      </c>
    </row>
    <row r="99" spans="33:40" ht="49" thickTop="1" thickBot="1" x14ac:dyDescent="0.6">
      <c r="AG99" s="15"/>
      <c r="AH99" s="15">
        <f t="shared" si="41"/>
        <v>96</v>
      </c>
      <c r="AI99" s="16">
        <f t="shared" si="27"/>
        <v>80562.850908944965</v>
      </c>
      <c r="AJ99" s="44">
        <f t="shared" si="28"/>
        <v>17414.001986682197</v>
      </c>
      <c r="AK99" s="45">
        <f t="shared" si="29"/>
        <v>63148.848922262776</v>
      </c>
      <c r="AL99" s="16">
        <f t="shared" si="42"/>
        <v>8402432.5209816899</v>
      </c>
      <c r="AM99" s="17">
        <f t="shared" si="30"/>
        <v>0.21615424218743362</v>
      </c>
      <c r="AN99" s="17">
        <f t="shared" si="31"/>
        <v>0.78384575781256649</v>
      </c>
    </row>
    <row r="100" spans="33:40" ht="49" thickTop="1" thickBot="1" x14ac:dyDescent="0.6">
      <c r="AG100" s="15">
        <f>IF(AH100= "NA", "NA",9)</f>
        <v>9</v>
      </c>
      <c r="AH100" s="15">
        <f t="shared" si="41"/>
        <v>97</v>
      </c>
      <c r="AI100" s="16">
        <f t="shared" si="27"/>
        <v>80562.850908944965</v>
      </c>
      <c r="AJ100" s="44">
        <f t="shared" si="28"/>
        <v>17544.607001582317</v>
      </c>
      <c r="AK100" s="45">
        <f t="shared" si="29"/>
        <v>63018.243907362659</v>
      </c>
      <c r="AL100" s="16">
        <f t="shared" si="42"/>
        <v>8384887.9139801078</v>
      </c>
      <c r="AM100" s="17">
        <f t="shared" si="30"/>
        <v>0.21777539900383941</v>
      </c>
      <c r="AN100" s="17">
        <f t="shared" si="31"/>
        <v>0.78222460099616076</v>
      </c>
    </row>
    <row r="101" spans="33:40" ht="49" thickTop="1" thickBot="1" x14ac:dyDescent="0.6">
      <c r="AG101" s="15"/>
      <c r="AH101" s="15">
        <f t="shared" si="41"/>
        <v>98</v>
      </c>
      <c r="AI101" s="16">
        <f t="shared" si="27"/>
        <v>80562.850908944965</v>
      </c>
      <c r="AJ101" s="44">
        <f t="shared" si="28"/>
        <v>17676.191554094181</v>
      </c>
      <c r="AK101" s="45">
        <f t="shared" si="29"/>
        <v>62886.659354850795</v>
      </c>
      <c r="AL101" s="16">
        <f t="shared" si="42"/>
        <v>8367211.722426014</v>
      </c>
      <c r="AM101" s="17">
        <f t="shared" si="30"/>
        <v>0.21940871449636817</v>
      </c>
      <c r="AN101" s="17">
        <f t="shared" si="31"/>
        <v>0.78059128550363199</v>
      </c>
    </row>
    <row r="102" spans="33:40" ht="49" thickTop="1" thickBot="1" x14ac:dyDescent="0.6">
      <c r="AG102" s="15"/>
      <c r="AH102" s="15">
        <f t="shared" si="41"/>
        <v>99</v>
      </c>
      <c r="AI102" s="16">
        <f t="shared" si="27"/>
        <v>80562.850908944965</v>
      </c>
      <c r="AJ102" s="44">
        <f t="shared" si="28"/>
        <v>17808.762990749889</v>
      </c>
      <c r="AK102" s="45">
        <f t="shared" si="29"/>
        <v>62754.087918195073</v>
      </c>
      <c r="AL102" s="16">
        <f t="shared" si="42"/>
        <v>8349402.9594352646</v>
      </c>
      <c r="AM102" s="17">
        <f t="shared" si="30"/>
        <v>0.22105427985509093</v>
      </c>
      <c r="AN102" s="17">
        <f t="shared" si="31"/>
        <v>0.77894572014490904</v>
      </c>
    </row>
    <row r="103" spans="33:40" ht="49" thickTop="1" thickBot="1" x14ac:dyDescent="0.6">
      <c r="AG103" s="15"/>
      <c r="AH103" s="15">
        <f t="shared" si="41"/>
        <v>100</v>
      </c>
      <c r="AI103" s="16">
        <f t="shared" si="27"/>
        <v>80562.850908944965</v>
      </c>
      <c r="AJ103" s="44">
        <f t="shared" si="28"/>
        <v>17942.328713180508</v>
      </c>
      <c r="AK103" s="45">
        <f t="shared" si="29"/>
        <v>62620.522195764461</v>
      </c>
      <c r="AL103" s="16">
        <f t="shared" si="42"/>
        <v>8331460.6307220841</v>
      </c>
      <c r="AM103" s="17">
        <f t="shared" si="30"/>
        <v>0.22271218695400408</v>
      </c>
      <c r="AN103" s="17">
        <f t="shared" si="31"/>
        <v>0.77728781304599592</v>
      </c>
    </row>
    <row r="104" spans="33:40" ht="49" thickTop="1" thickBot="1" x14ac:dyDescent="0.6">
      <c r="AG104" s="15"/>
      <c r="AH104" s="15">
        <f t="shared" si="41"/>
        <v>101</v>
      </c>
      <c r="AI104" s="16">
        <f t="shared" si="27"/>
        <v>80562.850908944965</v>
      </c>
      <c r="AJ104" s="44">
        <f t="shared" si="28"/>
        <v>18076.896178529365</v>
      </c>
      <c r="AK104" s="45">
        <f t="shared" si="29"/>
        <v>62485.9547304156</v>
      </c>
      <c r="AL104" s="16">
        <f t="shared" si="42"/>
        <v>8313383.7345435545</v>
      </c>
      <c r="AM104" s="17">
        <f t="shared" si="30"/>
        <v>0.22438252835615916</v>
      </c>
      <c r="AN104" s="17">
        <f t="shared" si="31"/>
        <v>0.77561747164384087</v>
      </c>
    </row>
    <row r="105" spans="33:40" ht="49" thickTop="1" thickBot="1" x14ac:dyDescent="0.6">
      <c r="AG105" s="15"/>
      <c r="AH105" s="15">
        <f t="shared" si="41"/>
        <v>102</v>
      </c>
      <c r="AI105" s="16">
        <f t="shared" si="27"/>
        <v>80562.850908944965</v>
      </c>
      <c r="AJ105" s="44">
        <f t="shared" si="28"/>
        <v>18212.472899868335</v>
      </c>
      <c r="AK105" s="45">
        <f t="shared" si="29"/>
        <v>62350.37800907663</v>
      </c>
      <c r="AL105" s="16">
        <f t="shared" si="42"/>
        <v>8295171.2616436863</v>
      </c>
      <c r="AM105" s="17">
        <f t="shared" si="30"/>
        <v>0.22606539731883032</v>
      </c>
      <c r="AN105" s="17">
        <f t="shared" si="31"/>
        <v>0.77393460268116965</v>
      </c>
    </row>
    <row r="106" spans="33:40" ht="49" thickTop="1" thickBot="1" x14ac:dyDescent="0.6">
      <c r="AG106" s="15"/>
      <c r="AH106" s="15">
        <f t="shared" si="41"/>
        <v>103</v>
      </c>
      <c r="AI106" s="16">
        <f t="shared" si="27"/>
        <v>80562.850908944965</v>
      </c>
      <c r="AJ106" s="44">
        <f t="shared" si="28"/>
        <v>18349.066446617351</v>
      </c>
      <c r="AK106" s="45">
        <f t="shared" si="29"/>
        <v>62213.784462327618</v>
      </c>
      <c r="AL106" s="16">
        <f t="shared" si="42"/>
        <v>8276822.1951970691</v>
      </c>
      <c r="AM106" s="17">
        <f t="shared" si="30"/>
        <v>0.22776088779872161</v>
      </c>
      <c r="AN106" s="17">
        <f t="shared" si="31"/>
        <v>0.77223911220127839</v>
      </c>
    </row>
    <row r="107" spans="33:40" ht="49" thickTop="1" thickBot="1" x14ac:dyDescent="0.6">
      <c r="AG107" s="15"/>
      <c r="AH107" s="15">
        <f t="shared" si="41"/>
        <v>104</v>
      </c>
      <c r="AI107" s="16">
        <f t="shared" si="27"/>
        <v>80562.850908944965</v>
      </c>
      <c r="AJ107" s="44">
        <f t="shared" si="28"/>
        <v>18486.684444966981</v>
      </c>
      <c r="AK107" s="45">
        <f t="shared" si="29"/>
        <v>62076.166463977985</v>
      </c>
      <c r="AL107" s="16">
        <f t="shared" si="42"/>
        <v>8258335.5107521024</v>
      </c>
      <c r="AM107" s="17">
        <f t="shared" si="30"/>
        <v>0.229469094457212</v>
      </c>
      <c r="AN107" s="17">
        <f t="shared" si="31"/>
        <v>0.77053090554278802</v>
      </c>
    </row>
    <row r="108" spans="33:40" ht="49" thickTop="1" thickBot="1" x14ac:dyDescent="0.6">
      <c r="AG108" s="15"/>
      <c r="AH108" s="15">
        <f t="shared" si="41"/>
        <v>105</v>
      </c>
      <c r="AI108" s="16">
        <f t="shared" si="27"/>
        <v>80562.850908944965</v>
      </c>
      <c r="AJ108" s="44">
        <f t="shared" si="28"/>
        <v>18625.334578304228</v>
      </c>
      <c r="AK108" s="45">
        <f t="shared" si="29"/>
        <v>61937.516330640734</v>
      </c>
      <c r="AL108" s="16">
        <f t="shared" si="42"/>
        <v>8239710.1761737978</v>
      </c>
      <c r="AM108" s="17">
        <f t="shared" si="30"/>
        <v>0.23119011266564105</v>
      </c>
      <c r="AN108" s="17">
        <f t="shared" si="31"/>
        <v>0.76880988733435895</v>
      </c>
    </row>
    <row r="109" spans="33:40" ht="49" thickTop="1" thickBot="1" x14ac:dyDescent="0.6">
      <c r="AG109" s="15"/>
      <c r="AH109" s="15">
        <f t="shared" si="41"/>
        <v>106</v>
      </c>
      <c r="AI109" s="16">
        <f t="shared" si="27"/>
        <v>80562.850908944965</v>
      </c>
      <c r="AJ109" s="44">
        <f t="shared" si="28"/>
        <v>18765.024587641514</v>
      </c>
      <c r="AK109" s="45">
        <f t="shared" si="29"/>
        <v>61797.826321303452</v>
      </c>
      <c r="AL109" s="16">
        <f t="shared" si="42"/>
        <v>8220945.1515861563</v>
      </c>
      <c r="AM109" s="17">
        <f t="shared" si="30"/>
        <v>0.2329240385106334</v>
      </c>
      <c r="AN109" s="17">
        <f t="shared" si="31"/>
        <v>0.76707596148936663</v>
      </c>
    </row>
    <row r="110" spans="33:40" ht="49" thickTop="1" thickBot="1" x14ac:dyDescent="0.6">
      <c r="AG110" s="15"/>
      <c r="AH110" s="15">
        <f t="shared" si="41"/>
        <v>107</v>
      </c>
      <c r="AI110" s="16">
        <f t="shared" si="27"/>
        <v>80562.850908944965</v>
      </c>
      <c r="AJ110" s="44">
        <f t="shared" si="28"/>
        <v>18905.762272048829</v>
      </c>
      <c r="AK110" s="45">
        <f t="shared" si="29"/>
        <v>61657.088636896144</v>
      </c>
      <c r="AL110" s="16">
        <f t="shared" si="42"/>
        <v>8202039.3893141076</v>
      </c>
      <c r="AM110" s="17">
        <f t="shared" si="30"/>
        <v>0.2346709687994632</v>
      </c>
      <c r="AN110" s="17">
        <f t="shared" si="31"/>
        <v>0.76532903120053686</v>
      </c>
    </row>
    <row r="111" spans="33:40" ht="49" thickTop="1" thickBot="1" x14ac:dyDescent="0.6">
      <c r="AG111" s="15"/>
      <c r="AH111" s="15">
        <f t="shared" si="41"/>
        <v>108</v>
      </c>
      <c r="AI111" s="16">
        <f t="shared" si="27"/>
        <v>80562.850908944965</v>
      </c>
      <c r="AJ111" s="44">
        <f t="shared" si="28"/>
        <v>19047.555489089191</v>
      </c>
      <c r="AK111" s="45">
        <f t="shared" si="29"/>
        <v>61515.295419855778</v>
      </c>
      <c r="AL111" s="16">
        <f t="shared" si="42"/>
        <v>8182991.8338250183</v>
      </c>
      <c r="AM111" s="17">
        <f t="shared" si="30"/>
        <v>0.23643100106545911</v>
      </c>
      <c r="AN111" s="17">
        <f t="shared" si="31"/>
        <v>0.76356899893454089</v>
      </c>
    </row>
    <row r="112" spans="33:40" ht="49" thickTop="1" thickBot="1" x14ac:dyDescent="0.6">
      <c r="AG112" s="15">
        <f>IF(AH112= "NA", "NA",10)</f>
        <v>10</v>
      </c>
      <c r="AH112" s="15">
        <f t="shared" si="41"/>
        <v>109</v>
      </c>
      <c r="AI112" s="16">
        <f t="shared" si="27"/>
        <v>80562.850908944965</v>
      </c>
      <c r="AJ112" s="44">
        <f t="shared" si="28"/>
        <v>19190.41215525736</v>
      </c>
      <c r="AK112" s="45">
        <f t="shared" si="29"/>
        <v>61372.438753687602</v>
      </c>
      <c r="AL112" s="16">
        <f t="shared" si="42"/>
        <v>8163801.4216697607</v>
      </c>
      <c r="AM112" s="17">
        <f t="shared" si="30"/>
        <v>0.23820423357345005</v>
      </c>
      <c r="AN112" s="17">
        <f t="shared" si="31"/>
        <v>0.76179576642654989</v>
      </c>
    </row>
    <row r="113" spans="33:40" ht="49" thickTop="1" thickBot="1" x14ac:dyDescent="0.6">
      <c r="AG113" s="15"/>
      <c r="AH113" s="15">
        <f t="shared" si="41"/>
        <v>110</v>
      </c>
      <c r="AI113" s="16">
        <f t="shared" si="27"/>
        <v>80562.850908944965</v>
      </c>
      <c r="AJ113" s="44">
        <f t="shared" si="28"/>
        <v>19334.340246421787</v>
      </c>
      <c r="AK113" s="45">
        <f t="shared" si="29"/>
        <v>61228.510662523186</v>
      </c>
      <c r="AL113" s="16">
        <f t="shared" si="42"/>
        <v>8144467.0814233385</v>
      </c>
      <c r="AM113" s="17">
        <f t="shared" si="30"/>
        <v>0.2399907653252509</v>
      </c>
      <c r="AN113" s="17">
        <f t="shared" si="31"/>
        <v>0.76000923467474923</v>
      </c>
    </row>
    <row r="114" spans="33:40" ht="49" thickTop="1" thickBot="1" x14ac:dyDescent="0.6">
      <c r="AG114" s="15"/>
      <c r="AH114" s="15">
        <f t="shared" si="41"/>
        <v>111</v>
      </c>
      <c r="AI114" s="16">
        <f t="shared" si="27"/>
        <v>80562.850908944965</v>
      </c>
      <c r="AJ114" s="44">
        <f t="shared" si="28"/>
        <v>19479.347798269955</v>
      </c>
      <c r="AK114" s="45">
        <f t="shared" si="29"/>
        <v>61083.503110675018</v>
      </c>
      <c r="AL114" s="16">
        <f t="shared" si="42"/>
        <v>8124987.7336250683</v>
      </c>
      <c r="AM114" s="17">
        <f t="shared" si="30"/>
        <v>0.24179069606519032</v>
      </c>
      <c r="AN114" s="17">
        <f t="shared" si="31"/>
        <v>0.75820930393480979</v>
      </c>
    </row>
    <row r="115" spans="33:40" ht="49" thickTop="1" thickBot="1" x14ac:dyDescent="0.6">
      <c r="AG115" s="15"/>
      <c r="AH115" s="15">
        <f t="shared" si="41"/>
        <v>112</v>
      </c>
      <c r="AI115" s="16">
        <f t="shared" si="27"/>
        <v>80562.850908944965</v>
      </c>
      <c r="AJ115" s="44">
        <f t="shared" si="28"/>
        <v>19625.44290675698</v>
      </c>
      <c r="AK115" s="45">
        <f t="shared" si="29"/>
        <v>60937.408002187985</v>
      </c>
      <c r="AL115" s="16">
        <f t="shared" si="42"/>
        <v>8105362.2907183114</v>
      </c>
      <c r="AM115" s="17">
        <f t="shared" si="30"/>
        <v>0.24360412628567926</v>
      </c>
      <c r="AN115" s="17">
        <f t="shared" si="31"/>
        <v>0.75639587371432071</v>
      </c>
    </row>
    <row r="116" spans="33:40" ht="49" thickTop="1" thickBot="1" x14ac:dyDescent="0.6">
      <c r="AG116" s="15"/>
      <c r="AH116" s="15">
        <f t="shared" si="41"/>
        <v>113</v>
      </c>
      <c r="AI116" s="16">
        <f t="shared" si="27"/>
        <v>80562.850908944965</v>
      </c>
      <c r="AJ116" s="44">
        <f t="shared" si="28"/>
        <v>19772.633728557656</v>
      </c>
      <c r="AK116" s="45">
        <f t="shared" si="29"/>
        <v>60790.217180387313</v>
      </c>
      <c r="AL116" s="16">
        <f t="shared" si="42"/>
        <v>8085589.6569897542</v>
      </c>
      <c r="AM116" s="17">
        <f t="shared" si="30"/>
        <v>0.24543115723282183</v>
      </c>
      <c r="AN116" s="17">
        <f t="shared" si="31"/>
        <v>0.75456884276717817</v>
      </c>
    </row>
    <row r="117" spans="33:40" ht="49" thickTop="1" thickBot="1" x14ac:dyDescent="0.6">
      <c r="AG117" s="15"/>
      <c r="AH117" s="15">
        <f t="shared" si="41"/>
        <v>114</v>
      </c>
      <c r="AI117" s="16">
        <f t="shared" si="27"/>
        <v>80562.850908944965</v>
      </c>
      <c r="AJ117" s="44">
        <f t="shared" si="28"/>
        <v>19920.928481521838</v>
      </c>
      <c r="AK117" s="45">
        <f t="shared" si="29"/>
        <v>60641.922427423124</v>
      </c>
      <c r="AL117" s="16">
        <f t="shared" si="42"/>
        <v>8065668.7285082322</v>
      </c>
      <c r="AM117" s="17">
        <f t="shared" si="30"/>
        <v>0.247271890912068</v>
      </c>
      <c r="AN117" s="17">
        <f t="shared" si="31"/>
        <v>0.75272810908793197</v>
      </c>
    </row>
    <row r="118" spans="33:40" ht="49" thickTop="1" thickBot="1" x14ac:dyDescent="0.6">
      <c r="AG118" s="15"/>
      <c r="AH118" s="15">
        <f t="shared" si="41"/>
        <v>115</v>
      </c>
      <c r="AI118" s="16">
        <f t="shared" si="27"/>
        <v>80562.850908944965</v>
      </c>
      <c r="AJ118" s="44">
        <f t="shared" si="28"/>
        <v>20070.335445133249</v>
      </c>
      <c r="AK118" s="45">
        <f t="shared" si="29"/>
        <v>60492.515463811716</v>
      </c>
      <c r="AL118" s="16">
        <f t="shared" si="42"/>
        <v>8045598.3930630991</v>
      </c>
      <c r="AM118" s="17">
        <f t="shared" si="30"/>
        <v>0.24912643009390847</v>
      </c>
      <c r="AN118" s="17">
        <f t="shared" si="31"/>
        <v>0.75087356990609155</v>
      </c>
    </row>
    <row r="119" spans="33:40" ht="49" thickTop="1" thickBot="1" x14ac:dyDescent="0.6">
      <c r="AG119" s="15"/>
      <c r="AH119" s="15">
        <f t="shared" si="41"/>
        <v>116</v>
      </c>
      <c r="AI119" s="16">
        <f t="shared" si="27"/>
        <v>80562.850908944965</v>
      </c>
      <c r="AJ119" s="44">
        <f t="shared" si="28"/>
        <v>20220.86296097175</v>
      </c>
      <c r="AK119" s="45">
        <f t="shared" si="29"/>
        <v>60341.987947973219</v>
      </c>
      <c r="AL119" s="16">
        <f t="shared" si="42"/>
        <v>8025377.5301021272</v>
      </c>
      <c r="AM119" s="17">
        <f t="shared" si="30"/>
        <v>0.25099487831961281</v>
      </c>
      <c r="AN119" s="17">
        <f t="shared" si="31"/>
        <v>0.74900512168038724</v>
      </c>
    </row>
    <row r="120" spans="33:40" ht="49" thickTop="1" thickBot="1" x14ac:dyDescent="0.6">
      <c r="AG120" s="15"/>
      <c r="AH120" s="15">
        <f t="shared" si="41"/>
        <v>117</v>
      </c>
      <c r="AI120" s="16">
        <f t="shared" si="27"/>
        <v>80562.850908944965</v>
      </c>
      <c r="AJ120" s="44">
        <f t="shared" si="28"/>
        <v>20372.519433179044</v>
      </c>
      <c r="AK120" s="45">
        <f t="shared" si="29"/>
        <v>60190.331475765932</v>
      </c>
      <c r="AL120" s="16">
        <f t="shared" si="42"/>
        <v>8005005.0106689483</v>
      </c>
      <c r="AM120" s="17">
        <f t="shared" si="30"/>
        <v>0.25287733990701</v>
      </c>
      <c r="AN120" s="17">
        <f t="shared" si="31"/>
        <v>0.74712266009299011</v>
      </c>
    </row>
    <row r="121" spans="33:40" ht="49" thickTop="1" thickBot="1" x14ac:dyDescent="0.6">
      <c r="AG121" s="15"/>
      <c r="AH121" s="15">
        <f t="shared" si="41"/>
        <v>118</v>
      </c>
      <c r="AI121" s="16">
        <f t="shared" si="27"/>
        <v>80562.850908944965</v>
      </c>
      <c r="AJ121" s="44">
        <f t="shared" si="28"/>
        <v>20525.313328927881</v>
      </c>
      <c r="AK121" s="45">
        <f t="shared" si="29"/>
        <v>60037.53758001708</v>
      </c>
      <c r="AL121" s="16">
        <f t="shared" si="42"/>
        <v>7984479.69734002</v>
      </c>
      <c r="AM121" s="17">
        <f t="shared" si="30"/>
        <v>0.25477391995631249</v>
      </c>
      <c r="AN121" s="17">
        <f t="shared" si="31"/>
        <v>0.74522608004368751</v>
      </c>
    </row>
    <row r="122" spans="33:40" ht="49" thickTop="1" thickBot="1" x14ac:dyDescent="0.6">
      <c r="AG122" s="15"/>
      <c r="AH122" s="15">
        <f t="shared" si="41"/>
        <v>119</v>
      </c>
      <c r="AI122" s="16">
        <f t="shared" si="27"/>
        <v>80562.850908944965</v>
      </c>
      <c r="AJ122" s="44">
        <f t="shared" si="28"/>
        <v>20679.25317889484</v>
      </c>
      <c r="AK122" s="45">
        <f t="shared" si="29"/>
        <v>59883.597730050118</v>
      </c>
      <c r="AL122" s="16">
        <f t="shared" si="42"/>
        <v>7963800.4441611255</v>
      </c>
      <c r="AM122" s="17">
        <f t="shared" si="30"/>
        <v>0.25668472435598483</v>
      </c>
      <c r="AN122" s="17">
        <f t="shared" si="31"/>
        <v>0.74331527564401512</v>
      </c>
    </row>
    <row r="123" spans="33:40" ht="49" thickTop="1" thickBot="1" x14ac:dyDescent="0.6">
      <c r="AG123" s="15"/>
      <c r="AH123" s="15">
        <f t="shared" si="41"/>
        <v>120</v>
      </c>
      <c r="AI123" s="16">
        <f t="shared" si="27"/>
        <v>80562.850908944965</v>
      </c>
      <c r="AJ123" s="44">
        <f t="shared" si="28"/>
        <v>20834.347577736557</v>
      </c>
      <c r="AK123" s="45">
        <f t="shared" si="29"/>
        <v>59728.503331208412</v>
      </c>
      <c r="AL123" s="16">
        <f t="shared" si="42"/>
        <v>7942966.0965833887</v>
      </c>
      <c r="AM123" s="17">
        <f t="shared" si="30"/>
        <v>0.25860985978865475</v>
      </c>
      <c r="AN123" s="17">
        <f t="shared" si="31"/>
        <v>0.74139014021134531</v>
      </c>
    </row>
    <row r="124" spans="33:40" ht="49" thickTop="1" thickBot="1" x14ac:dyDescent="0.6">
      <c r="AG124" s="15">
        <f>IF(AH124= "NA", "NA",11)</f>
        <v>11</v>
      </c>
      <c r="AH124" s="15">
        <f t="shared" si="41"/>
        <v>121</v>
      </c>
      <c r="AI124" s="16">
        <f t="shared" si="27"/>
        <v>80562.850908944965</v>
      </c>
      <c r="AJ124" s="44">
        <f t="shared" si="28"/>
        <v>20990.605184569573</v>
      </c>
      <c r="AK124" s="45">
        <f t="shared" si="29"/>
        <v>59572.245724375389</v>
      </c>
      <c r="AL124" s="16">
        <f t="shared" si="42"/>
        <v>7921975.4913988188</v>
      </c>
      <c r="AM124" s="17">
        <f t="shared" si="30"/>
        <v>0.26054943373706957</v>
      </c>
      <c r="AN124" s="17">
        <f t="shared" si="31"/>
        <v>0.73945056626293038</v>
      </c>
    </row>
    <row r="125" spans="33:40" ht="49" thickTop="1" thickBot="1" x14ac:dyDescent="0.6">
      <c r="AG125" s="15"/>
      <c r="AH125" s="15">
        <f t="shared" si="41"/>
        <v>122</v>
      </c>
      <c r="AI125" s="16">
        <f t="shared" si="27"/>
        <v>80562.850908944965</v>
      </c>
      <c r="AJ125" s="44">
        <f t="shared" si="28"/>
        <v>21148.034723453849</v>
      </c>
      <c r="AK125" s="45">
        <f t="shared" si="29"/>
        <v>59414.816185491116</v>
      </c>
      <c r="AL125" s="16">
        <f t="shared" si="42"/>
        <v>7900827.4566753646</v>
      </c>
      <c r="AM125" s="17">
        <f t="shared" si="30"/>
        <v>0.26250355449009766</v>
      </c>
      <c r="AN125" s="17">
        <f t="shared" si="31"/>
        <v>0.73749644550990234</v>
      </c>
    </row>
    <row r="126" spans="33:40" ht="49" thickTop="1" thickBot="1" x14ac:dyDescent="0.6">
      <c r="AG126" s="15"/>
      <c r="AH126" s="15">
        <f t="shared" si="41"/>
        <v>123</v>
      </c>
      <c r="AI126" s="16">
        <f t="shared" si="27"/>
        <v>80562.850908944965</v>
      </c>
      <c r="AJ126" s="44">
        <f t="shared" si="28"/>
        <v>21306.644983879753</v>
      </c>
      <c r="AK126" s="45">
        <f t="shared" si="29"/>
        <v>59256.205925065216</v>
      </c>
      <c r="AL126" s="16">
        <f t="shared" si="42"/>
        <v>7879520.8116914853</v>
      </c>
      <c r="AM126" s="17">
        <f t="shared" si="30"/>
        <v>0.26447233114877339</v>
      </c>
      <c r="AN126" s="17">
        <f t="shared" si="31"/>
        <v>0.73552766885122667</v>
      </c>
    </row>
    <row r="127" spans="33:40" ht="49" thickTop="1" thickBot="1" x14ac:dyDescent="0.6">
      <c r="AG127" s="15"/>
      <c r="AH127" s="15">
        <f t="shared" si="41"/>
        <v>124</v>
      </c>
      <c r="AI127" s="16">
        <f t="shared" si="27"/>
        <v>80562.850908944965</v>
      </c>
      <c r="AJ127" s="44">
        <f t="shared" si="28"/>
        <v>21466.444821258854</v>
      </c>
      <c r="AK127" s="45">
        <f t="shared" si="29"/>
        <v>59096.406087686119</v>
      </c>
      <c r="AL127" s="16">
        <f t="shared" si="42"/>
        <v>7858054.3668702263</v>
      </c>
      <c r="AM127" s="17">
        <f t="shared" si="30"/>
        <v>0.26645587363238926</v>
      </c>
      <c r="AN127" s="17">
        <f t="shared" si="31"/>
        <v>0.7335441263676109</v>
      </c>
    </row>
    <row r="128" spans="33:40" ht="49" thickTop="1" thickBot="1" x14ac:dyDescent="0.6">
      <c r="AG128" s="15"/>
      <c r="AH128" s="15">
        <f t="shared" si="41"/>
        <v>125</v>
      </c>
      <c r="AI128" s="16">
        <f t="shared" si="27"/>
        <v>80562.850908944965</v>
      </c>
      <c r="AJ128" s="44">
        <f t="shared" si="28"/>
        <v>21627.443157418293</v>
      </c>
      <c r="AK128" s="45">
        <f t="shared" si="29"/>
        <v>58935.407751526684</v>
      </c>
      <c r="AL128" s="16">
        <f t="shared" si="42"/>
        <v>7836426.9237128077</v>
      </c>
      <c r="AM128" s="17">
        <f t="shared" si="30"/>
        <v>0.26845429268463211</v>
      </c>
      <c r="AN128" s="17">
        <f t="shared" si="31"/>
        <v>0.73154570731536805</v>
      </c>
    </row>
    <row r="129" spans="33:40" ht="49" thickTop="1" thickBot="1" x14ac:dyDescent="0.6">
      <c r="AG129" s="15"/>
      <c r="AH129" s="15">
        <f t="shared" si="41"/>
        <v>126</v>
      </c>
      <c r="AI129" s="16">
        <f t="shared" si="27"/>
        <v>80562.850908944965</v>
      </c>
      <c r="AJ129" s="44">
        <f t="shared" si="28"/>
        <v>21789.648981098926</v>
      </c>
      <c r="AK129" s="45">
        <f t="shared" si="29"/>
        <v>58773.201927846043</v>
      </c>
      <c r="AL129" s="16">
        <f t="shared" si="42"/>
        <v>7814637.2747317087</v>
      </c>
      <c r="AM129" s="17">
        <f t="shared" si="30"/>
        <v>0.27046769987976682</v>
      </c>
      <c r="AN129" s="17">
        <f t="shared" si="31"/>
        <v>0.72953230012023318</v>
      </c>
    </row>
    <row r="130" spans="33:40" ht="49" thickTop="1" thickBot="1" x14ac:dyDescent="0.6">
      <c r="AG130" s="15"/>
      <c r="AH130" s="15">
        <f t="shared" si="41"/>
        <v>127</v>
      </c>
      <c r="AI130" s="16">
        <f t="shared" si="27"/>
        <v>80562.850908944965</v>
      </c>
      <c r="AJ130" s="44">
        <f t="shared" si="28"/>
        <v>21953.071348457172</v>
      </c>
      <c r="AK130" s="45">
        <f t="shared" si="29"/>
        <v>58609.779560487797</v>
      </c>
      <c r="AL130" s="16">
        <f t="shared" si="42"/>
        <v>7792684.2033832511</v>
      </c>
      <c r="AM130" s="17">
        <f t="shared" si="30"/>
        <v>0.27249620762886512</v>
      </c>
      <c r="AN130" s="17">
        <f t="shared" si="31"/>
        <v>0.72750379237113494</v>
      </c>
    </row>
    <row r="131" spans="33:40" ht="49" thickTop="1" thickBot="1" x14ac:dyDescent="0.6">
      <c r="AG131" s="15"/>
      <c r="AH131" s="15">
        <f t="shared" si="41"/>
        <v>128</v>
      </c>
      <c r="AI131" s="16">
        <f t="shared" si="27"/>
        <v>80562.850908944965</v>
      </c>
      <c r="AJ131" s="44">
        <f t="shared" si="28"/>
        <v>22117.719383570602</v>
      </c>
      <c r="AK131" s="45">
        <f t="shared" si="29"/>
        <v>58445.131525374367</v>
      </c>
      <c r="AL131" s="16">
        <f t="shared" si="42"/>
        <v>7770566.4839996807</v>
      </c>
      <c r="AM131" s="17">
        <f t="shared" si="30"/>
        <v>0.27453992918608161</v>
      </c>
      <c r="AN131" s="17">
        <f t="shared" si="31"/>
        <v>0.72546007081391839</v>
      </c>
    </row>
    <row r="132" spans="33:40" ht="49" thickTop="1" thickBot="1" x14ac:dyDescent="0.6">
      <c r="AG132" s="15"/>
      <c r="AH132" s="15">
        <f t="shared" si="41"/>
        <v>129</v>
      </c>
      <c r="AI132" s="16">
        <f t="shared" si="27"/>
        <v>80562.850908944965</v>
      </c>
      <c r="AJ132" s="44">
        <f t="shared" si="28"/>
        <v>22283.602278947379</v>
      </c>
      <c r="AK132" s="45">
        <f t="shared" si="29"/>
        <v>58279.248629997586</v>
      </c>
      <c r="AL132" s="16">
        <f t="shared" si="42"/>
        <v>7748282.8817207329</v>
      </c>
      <c r="AM132" s="17">
        <f t="shared" si="30"/>
        <v>0.27659897865497718</v>
      </c>
      <c r="AN132" s="17">
        <f t="shared" si="31"/>
        <v>0.72340102134502282</v>
      </c>
    </row>
    <row r="133" spans="33:40" ht="49" thickTop="1" thickBot="1" x14ac:dyDescent="0.6">
      <c r="AG133" s="15"/>
      <c r="AH133" s="15">
        <f t="shared" si="41"/>
        <v>130</v>
      </c>
      <c r="AI133" s="16">
        <f t="shared" ref="AI133:AI196" si="43">IF(AH133= "NA",0,$D$9)</f>
        <v>80562.850908944965</v>
      </c>
      <c r="AJ133" s="44">
        <f t="shared" ref="AJ133:AJ196" si="44">IF(AH133= "NA",0,PPMT($D$7/12,AH133,$D$8*12,-$D$6,0))</f>
        <v>22450.729296039488</v>
      </c>
      <c r="AK133" s="45">
        <f t="shared" ref="AK133:AK196" si="45">IF(AH133= "NA", 0,IPMT($D$7/12,AH133,$D$8*12,-$D$6,0))</f>
        <v>58112.121612905488</v>
      </c>
      <c r="AL133" s="16">
        <f t="shared" si="42"/>
        <v>7725832.1524246931</v>
      </c>
      <c r="AM133" s="17">
        <f t="shared" ref="AM133:AM196" si="46">AJ133/AI133</f>
        <v>0.27867347099488959</v>
      </c>
      <c r="AN133" s="17">
        <f t="shared" ref="AN133:AN196" si="47">AK133/AI133</f>
        <v>0.72132652900511052</v>
      </c>
    </row>
    <row r="134" spans="33:40" ht="49" thickTop="1" thickBot="1" x14ac:dyDescent="0.6">
      <c r="AG134" s="15"/>
      <c r="AH134" s="15">
        <f t="shared" ref="AH134:AH197" si="48">IF(AH133&lt;$D$8*12,AH133+1, "NA")</f>
        <v>131</v>
      </c>
      <c r="AI134" s="16">
        <f t="shared" si="43"/>
        <v>80562.850908944965</v>
      </c>
      <c r="AJ134" s="44">
        <f t="shared" si="44"/>
        <v>22619.109765759778</v>
      </c>
      <c r="AK134" s="45">
        <f t="shared" si="45"/>
        <v>57943.74114318518</v>
      </c>
      <c r="AL134" s="16">
        <f t="shared" ref="AL134:AL197" si="49">IF(AH134= "NA", 0,AL133-AJ134)</f>
        <v>7703213.0426589334</v>
      </c>
      <c r="AM134" s="17">
        <f t="shared" si="46"/>
        <v>0.28076352202735116</v>
      </c>
      <c r="AN134" s="17">
        <f t="shared" si="47"/>
        <v>0.71923647797264878</v>
      </c>
    </row>
    <row r="135" spans="33:40" ht="49" thickTop="1" thickBot="1" x14ac:dyDescent="0.6">
      <c r="AG135" s="15"/>
      <c r="AH135" s="15">
        <f t="shared" si="48"/>
        <v>132</v>
      </c>
      <c r="AI135" s="16">
        <f t="shared" si="43"/>
        <v>80562.850908944965</v>
      </c>
      <c r="AJ135" s="44">
        <f t="shared" si="44"/>
        <v>22788.753089002978</v>
      </c>
      <c r="AK135" s="45">
        <f t="shared" si="45"/>
        <v>57774.097819941984</v>
      </c>
      <c r="AL135" s="16">
        <f t="shared" si="49"/>
        <v>7680424.2895699302</v>
      </c>
      <c r="AM135" s="17">
        <f t="shared" si="46"/>
        <v>0.28286924844255634</v>
      </c>
      <c r="AN135" s="17">
        <f t="shared" si="47"/>
        <v>0.71713075155744366</v>
      </c>
    </row>
    <row r="136" spans="33:40" ht="49" thickTop="1" thickBot="1" x14ac:dyDescent="0.6">
      <c r="AG136" s="15">
        <f>IF(AH136= "NA", "NA",12)</f>
        <v>12</v>
      </c>
      <c r="AH136" s="15">
        <f t="shared" si="48"/>
        <v>133</v>
      </c>
      <c r="AI136" s="16">
        <f t="shared" si="43"/>
        <v>80562.850908944965</v>
      </c>
      <c r="AJ136" s="44">
        <f t="shared" si="44"/>
        <v>22959.668737170505</v>
      </c>
      <c r="AK136" s="45">
        <f t="shared" si="45"/>
        <v>57603.182171774468</v>
      </c>
      <c r="AL136" s="16">
        <f t="shared" si="49"/>
        <v>7657464.6208327599</v>
      </c>
      <c r="AM136" s="17">
        <f t="shared" si="46"/>
        <v>0.28499076780587557</v>
      </c>
      <c r="AN136" s="17">
        <f t="shared" si="47"/>
        <v>0.71500923219412449</v>
      </c>
    </row>
    <row r="137" spans="33:40" ht="49" thickTop="1" thickBot="1" x14ac:dyDescent="0.6">
      <c r="AG137" s="15"/>
      <c r="AH137" s="15">
        <f t="shared" si="48"/>
        <v>134</v>
      </c>
      <c r="AI137" s="16">
        <f t="shared" si="43"/>
        <v>80562.850908944965</v>
      </c>
      <c r="AJ137" s="44">
        <f t="shared" si="44"/>
        <v>23131.866252699281</v>
      </c>
      <c r="AK137" s="45">
        <f t="shared" si="45"/>
        <v>57430.984656245681</v>
      </c>
      <c r="AL137" s="16">
        <f t="shared" si="49"/>
        <v>7634332.754580061</v>
      </c>
      <c r="AM137" s="17">
        <f t="shared" si="46"/>
        <v>0.28712819856441957</v>
      </c>
      <c r="AN137" s="17">
        <f t="shared" si="47"/>
        <v>0.71287180143558038</v>
      </c>
    </row>
    <row r="138" spans="33:40" ht="49" thickTop="1" thickBot="1" x14ac:dyDescent="0.6">
      <c r="AG138" s="15"/>
      <c r="AH138" s="15">
        <f t="shared" si="48"/>
        <v>135</v>
      </c>
      <c r="AI138" s="16">
        <f t="shared" si="43"/>
        <v>80562.850908944965</v>
      </c>
      <c r="AJ138" s="44">
        <f t="shared" si="44"/>
        <v>23305.355249594526</v>
      </c>
      <c r="AK138" s="45">
        <f t="shared" si="45"/>
        <v>57257.495659350439</v>
      </c>
      <c r="AL138" s="16">
        <f t="shared" si="49"/>
        <v>7611027.3993304661</v>
      </c>
      <c r="AM138" s="17">
        <f t="shared" si="46"/>
        <v>0.28928166005365274</v>
      </c>
      <c r="AN138" s="17">
        <f t="shared" si="47"/>
        <v>0.71071833994634726</v>
      </c>
    </row>
    <row r="139" spans="33:40" ht="49" thickTop="1" thickBot="1" x14ac:dyDescent="0.6">
      <c r="AG139" s="15"/>
      <c r="AH139" s="15">
        <f t="shared" si="48"/>
        <v>136</v>
      </c>
      <c r="AI139" s="16">
        <f t="shared" si="43"/>
        <v>80562.850908944965</v>
      </c>
      <c r="AJ139" s="44">
        <f t="shared" si="44"/>
        <v>23480.145413966489</v>
      </c>
      <c r="AK139" s="45">
        <f t="shared" si="45"/>
        <v>57082.705494978472</v>
      </c>
      <c r="AL139" s="16">
        <f t="shared" si="49"/>
        <v>7587547.2539164992</v>
      </c>
      <c r="AM139" s="17">
        <f t="shared" si="46"/>
        <v>0.29145127250405517</v>
      </c>
      <c r="AN139" s="17">
        <f t="shared" si="47"/>
        <v>0.70854872749594477</v>
      </c>
    </row>
    <row r="140" spans="33:40" ht="49" thickTop="1" thickBot="1" x14ac:dyDescent="0.6">
      <c r="AG140" s="15"/>
      <c r="AH140" s="15">
        <f t="shared" si="48"/>
        <v>137</v>
      </c>
      <c r="AI140" s="16">
        <f t="shared" si="43"/>
        <v>80562.850908944965</v>
      </c>
      <c r="AJ140" s="44">
        <f t="shared" si="44"/>
        <v>23656.246504571234</v>
      </c>
      <c r="AK140" s="45">
        <f t="shared" si="45"/>
        <v>56906.604404373735</v>
      </c>
      <c r="AL140" s="16">
        <f t="shared" si="49"/>
        <v>7563891.0074119279</v>
      </c>
      <c r="AM140" s="17">
        <f t="shared" si="46"/>
        <v>0.29363715704783555</v>
      </c>
      <c r="AN140" s="17">
        <f t="shared" si="47"/>
        <v>0.70636284295216445</v>
      </c>
    </row>
    <row r="141" spans="33:40" ht="49" thickTop="1" thickBot="1" x14ac:dyDescent="0.6">
      <c r="AG141" s="15"/>
      <c r="AH141" s="15">
        <f t="shared" si="48"/>
        <v>138</v>
      </c>
      <c r="AI141" s="16">
        <f t="shared" si="43"/>
        <v>80562.850908944965</v>
      </c>
      <c r="AJ141" s="44">
        <f t="shared" si="44"/>
        <v>23833.668353355519</v>
      </c>
      <c r="AK141" s="45">
        <f t="shared" si="45"/>
        <v>56729.182555589447</v>
      </c>
      <c r="AL141" s="16">
        <f t="shared" si="49"/>
        <v>7540057.3390585724</v>
      </c>
      <c r="AM141" s="17">
        <f t="shared" si="46"/>
        <v>0.29583943572569432</v>
      </c>
      <c r="AN141" s="17">
        <f t="shared" si="47"/>
        <v>0.70416056427430562</v>
      </c>
    </row>
    <row r="142" spans="33:40" ht="49" thickTop="1" thickBot="1" x14ac:dyDescent="0.6">
      <c r="AG142" s="15"/>
      <c r="AH142" s="15">
        <f t="shared" si="48"/>
        <v>139</v>
      </c>
      <c r="AI142" s="16">
        <f t="shared" si="43"/>
        <v>80562.850908944965</v>
      </c>
      <c r="AJ142" s="44">
        <f t="shared" si="44"/>
        <v>24012.420866005679</v>
      </c>
      <c r="AK142" s="45">
        <f t="shared" si="45"/>
        <v>56550.430042939282</v>
      </c>
      <c r="AL142" s="16">
        <f t="shared" si="49"/>
        <v>7516044.9181925664</v>
      </c>
      <c r="AM142" s="17">
        <f t="shared" si="46"/>
        <v>0.29805823149363697</v>
      </c>
      <c r="AN142" s="17">
        <f t="shared" si="47"/>
        <v>0.70194176850636303</v>
      </c>
    </row>
    <row r="143" spans="33:40" ht="49" thickTop="1" thickBot="1" x14ac:dyDescent="0.6">
      <c r="AG143" s="15"/>
      <c r="AH143" s="15">
        <f t="shared" si="48"/>
        <v>140</v>
      </c>
      <c r="AI143" s="16">
        <f t="shared" si="43"/>
        <v>80562.850908944965</v>
      </c>
      <c r="AJ143" s="44">
        <f t="shared" si="44"/>
        <v>24192.514022500724</v>
      </c>
      <c r="AK143" s="45">
        <f t="shared" si="45"/>
        <v>56370.336886444238</v>
      </c>
      <c r="AL143" s="16">
        <f t="shared" si="49"/>
        <v>7491852.4041700652</v>
      </c>
      <c r="AM143" s="17">
        <f t="shared" si="46"/>
        <v>0.30029366822983927</v>
      </c>
      <c r="AN143" s="17">
        <f t="shared" si="47"/>
        <v>0.69970633177016073</v>
      </c>
    </row>
    <row r="144" spans="33:40" ht="49" thickTop="1" thickBot="1" x14ac:dyDescent="0.6">
      <c r="AG144" s="15"/>
      <c r="AH144" s="15">
        <f t="shared" si="48"/>
        <v>141</v>
      </c>
      <c r="AI144" s="16">
        <f t="shared" si="43"/>
        <v>80562.850908944965</v>
      </c>
      <c r="AJ144" s="44">
        <f t="shared" si="44"/>
        <v>24373.957877669483</v>
      </c>
      <c r="AK144" s="45">
        <f t="shared" si="45"/>
        <v>56188.893031275482</v>
      </c>
      <c r="AL144" s="16">
        <f t="shared" si="49"/>
        <v>7467478.4462923957</v>
      </c>
      <c r="AM144" s="17">
        <f t="shared" si="46"/>
        <v>0.30254587074156308</v>
      </c>
      <c r="AN144" s="17">
        <f t="shared" si="47"/>
        <v>0.69745412925843686</v>
      </c>
    </row>
    <row r="145" spans="33:40" ht="49" thickTop="1" thickBot="1" x14ac:dyDescent="0.6">
      <c r="AG145" s="15"/>
      <c r="AH145" s="15">
        <f t="shared" si="48"/>
        <v>142</v>
      </c>
      <c r="AI145" s="16">
        <f t="shared" si="43"/>
        <v>80562.850908944965</v>
      </c>
      <c r="AJ145" s="44">
        <f t="shared" si="44"/>
        <v>24556.762561752003</v>
      </c>
      <c r="AK145" s="45">
        <f t="shared" si="45"/>
        <v>56006.088347192963</v>
      </c>
      <c r="AL145" s="16">
        <f t="shared" si="49"/>
        <v>7442921.6837306432</v>
      </c>
      <c r="AM145" s="17">
        <f t="shared" si="46"/>
        <v>0.30481496477212483</v>
      </c>
      <c r="AN145" s="17">
        <f t="shared" si="47"/>
        <v>0.69518503522787523</v>
      </c>
    </row>
    <row r="146" spans="33:40" ht="49" thickTop="1" thickBot="1" x14ac:dyDescent="0.6">
      <c r="AG146" s="15"/>
      <c r="AH146" s="15">
        <f t="shared" si="48"/>
        <v>143</v>
      </c>
      <c r="AI146" s="16">
        <f t="shared" si="43"/>
        <v>80562.850908944965</v>
      </c>
      <c r="AJ146" s="44">
        <f t="shared" si="44"/>
        <v>24740.93828096514</v>
      </c>
      <c r="AK146" s="45">
        <f t="shared" si="45"/>
        <v>55821.912627979829</v>
      </c>
      <c r="AL146" s="16">
        <f t="shared" si="49"/>
        <v>7418180.745449678</v>
      </c>
      <c r="AM146" s="17">
        <f t="shared" si="46"/>
        <v>0.30710107700791572</v>
      </c>
      <c r="AN146" s="17">
        <f t="shared" si="47"/>
        <v>0.69289892299208433</v>
      </c>
    </row>
    <row r="147" spans="33:40" ht="49" thickTop="1" thickBot="1" x14ac:dyDescent="0.6">
      <c r="AG147" s="15"/>
      <c r="AH147" s="15">
        <f t="shared" si="48"/>
        <v>144</v>
      </c>
      <c r="AI147" s="16">
        <f t="shared" si="43"/>
        <v>80562.850908944965</v>
      </c>
      <c r="AJ147" s="44">
        <f t="shared" si="44"/>
        <v>24926.495318072375</v>
      </c>
      <c r="AK147" s="45">
        <f t="shared" si="45"/>
        <v>55636.35559087259</v>
      </c>
      <c r="AL147" s="16">
        <f t="shared" si="49"/>
        <v>7393254.2501316061</v>
      </c>
      <c r="AM147" s="17">
        <f t="shared" si="46"/>
        <v>0.30940433508547505</v>
      </c>
      <c r="AN147" s="17">
        <f t="shared" si="47"/>
        <v>0.69059566491452495</v>
      </c>
    </row>
    <row r="148" spans="33:40" ht="49" thickTop="1" thickBot="1" x14ac:dyDescent="0.6">
      <c r="AG148" s="15">
        <f>IF(AH148= "NA", "NA",13)</f>
        <v>13</v>
      </c>
      <c r="AH148" s="15">
        <f t="shared" si="48"/>
        <v>145</v>
      </c>
      <c r="AI148" s="16">
        <f t="shared" si="43"/>
        <v>80562.850908944965</v>
      </c>
      <c r="AJ148" s="44">
        <f t="shared" si="44"/>
        <v>25113.444032957923</v>
      </c>
      <c r="AK148" s="45">
        <f t="shared" si="45"/>
        <v>55449.406875987042</v>
      </c>
      <c r="AL148" s="16">
        <f t="shared" si="49"/>
        <v>7368140.8060986483</v>
      </c>
      <c r="AM148" s="17">
        <f t="shared" si="46"/>
        <v>0.31172486759861617</v>
      </c>
      <c r="AN148" s="17">
        <f t="shared" si="47"/>
        <v>0.68827513240138383</v>
      </c>
    </row>
    <row r="149" spans="33:40" ht="49" thickTop="1" thickBot="1" x14ac:dyDescent="0.6">
      <c r="AG149" s="15"/>
      <c r="AH149" s="15">
        <f t="shared" si="48"/>
        <v>146</v>
      </c>
      <c r="AI149" s="16">
        <f t="shared" si="43"/>
        <v>80562.850908944965</v>
      </c>
      <c r="AJ149" s="44">
        <f t="shared" si="44"/>
        <v>25301.794863205112</v>
      </c>
      <c r="AK149" s="45">
        <f t="shared" si="45"/>
        <v>55261.056045739853</v>
      </c>
      <c r="AL149" s="16">
        <f t="shared" si="49"/>
        <v>7342839.0112354429</v>
      </c>
      <c r="AM149" s="17">
        <f t="shared" si="46"/>
        <v>0.31406280410560583</v>
      </c>
      <c r="AN149" s="17">
        <f t="shared" si="47"/>
        <v>0.68593719589439417</v>
      </c>
    </row>
    <row r="150" spans="33:40" ht="49" thickTop="1" thickBot="1" x14ac:dyDescent="0.6">
      <c r="AG150" s="15"/>
      <c r="AH150" s="15">
        <f t="shared" si="48"/>
        <v>147</v>
      </c>
      <c r="AI150" s="16">
        <f t="shared" si="43"/>
        <v>80562.850908944965</v>
      </c>
      <c r="AJ150" s="44">
        <f t="shared" si="44"/>
        <v>25491.558324679143</v>
      </c>
      <c r="AK150" s="45">
        <f t="shared" si="45"/>
        <v>55071.29258426583</v>
      </c>
      <c r="AL150" s="16">
        <f t="shared" si="49"/>
        <v>7317347.4529107641</v>
      </c>
      <c r="AM150" s="17">
        <f t="shared" si="46"/>
        <v>0.31641827513639781</v>
      </c>
      <c r="AN150" s="17">
        <f t="shared" si="47"/>
        <v>0.68358172486360225</v>
      </c>
    </row>
    <row r="151" spans="33:40" ht="49" thickTop="1" thickBot="1" x14ac:dyDescent="0.6">
      <c r="AG151" s="15"/>
      <c r="AH151" s="15">
        <f t="shared" si="48"/>
        <v>148</v>
      </c>
      <c r="AI151" s="16">
        <f t="shared" si="43"/>
        <v>80562.850908944965</v>
      </c>
      <c r="AJ151" s="44">
        <f t="shared" si="44"/>
        <v>25682.745012114239</v>
      </c>
      <c r="AK151" s="45">
        <f t="shared" si="45"/>
        <v>54880.105896830726</v>
      </c>
      <c r="AL151" s="16">
        <f t="shared" si="49"/>
        <v>7291664.7078986503</v>
      </c>
      <c r="AM151" s="17">
        <f t="shared" si="46"/>
        <v>0.3187914121999208</v>
      </c>
      <c r="AN151" s="17">
        <f t="shared" si="47"/>
        <v>0.6812085878000792</v>
      </c>
    </row>
    <row r="152" spans="33:40" ht="49" thickTop="1" thickBot="1" x14ac:dyDescent="0.6">
      <c r="AG152" s="15"/>
      <c r="AH152" s="15">
        <f t="shared" si="48"/>
        <v>149</v>
      </c>
      <c r="AI152" s="16">
        <f t="shared" si="43"/>
        <v>80562.850908944965</v>
      </c>
      <c r="AJ152" s="44">
        <f t="shared" si="44"/>
        <v>25875.365599705099</v>
      </c>
      <c r="AK152" s="45">
        <f t="shared" si="45"/>
        <v>54687.485309239877</v>
      </c>
      <c r="AL152" s="16">
        <f t="shared" si="49"/>
        <v>7265789.3422989454</v>
      </c>
      <c r="AM152" s="17">
        <f t="shared" si="46"/>
        <v>0.32118234779142024</v>
      </c>
      <c r="AN152" s="17">
        <f t="shared" si="47"/>
        <v>0.67881765220857992</v>
      </c>
    </row>
    <row r="153" spans="33:40" ht="49" thickTop="1" thickBot="1" x14ac:dyDescent="0.6">
      <c r="AG153" s="15"/>
      <c r="AH153" s="15">
        <f t="shared" si="48"/>
        <v>150</v>
      </c>
      <c r="AI153" s="16">
        <f t="shared" si="43"/>
        <v>80562.850908944965</v>
      </c>
      <c r="AJ153" s="44">
        <f t="shared" si="44"/>
        <v>26069.430841702884</v>
      </c>
      <c r="AK153" s="45">
        <f t="shared" si="45"/>
        <v>54493.420067242085</v>
      </c>
      <c r="AL153" s="16">
        <f t="shared" si="49"/>
        <v>7239719.9114572424</v>
      </c>
      <c r="AM153" s="17">
        <f t="shared" si="46"/>
        <v>0.32359121539985586</v>
      </c>
      <c r="AN153" s="17">
        <f t="shared" si="47"/>
        <v>0.6764087846001442</v>
      </c>
    </row>
    <row r="154" spans="33:40" ht="49" thickTop="1" thickBot="1" x14ac:dyDescent="0.6">
      <c r="AG154" s="15"/>
      <c r="AH154" s="15">
        <f t="shared" si="48"/>
        <v>151</v>
      </c>
      <c r="AI154" s="16">
        <f t="shared" si="43"/>
        <v>80562.850908944965</v>
      </c>
      <c r="AJ154" s="44">
        <f t="shared" si="44"/>
        <v>26264.951573015656</v>
      </c>
      <c r="AK154" s="45">
        <f t="shared" si="45"/>
        <v>54297.899335929309</v>
      </c>
      <c r="AL154" s="16">
        <f t="shared" si="49"/>
        <v>7213454.9598842263</v>
      </c>
      <c r="AM154" s="17">
        <f t="shared" si="46"/>
        <v>0.32601814951535479</v>
      </c>
      <c r="AN154" s="17">
        <f t="shared" si="47"/>
        <v>0.67398185048464521</v>
      </c>
    </row>
    <row r="155" spans="33:40" ht="49" thickTop="1" thickBot="1" x14ac:dyDescent="0.6">
      <c r="AG155" s="15"/>
      <c r="AH155" s="15">
        <f t="shared" si="48"/>
        <v>152</v>
      </c>
      <c r="AI155" s="16">
        <f t="shared" si="43"/>
        <v>80562.850908944965</v>
      </c>
      <c r="AJ155" s="44">
        <f t="shared" si="44"/>
        <v>26461.938709813276</v>
      </c>
      <c r="AK155" s="45">
        <f t="shared" si="45"/>
        <v>54100.912199131686</v>
      </c>
      <c r="AL155" s="16">
        <f t="shared" si="49"/>
        <v>7186993.0211744132</v>
      </c>
      <c r="AM155" s="17">
        <f t="shared" si="46"/>
        <v>0.32846328563671995</v>
      </c>
      <c r="AN155" s="17">
        <f t="shared" si="47"/>
        <v>0.67153671436328</v>
      </c>
    </row>
    <row r="156" spans="33:40" ht="49" thickTop="1" thickBot="1" x14ac:dyDescent="0.6">
      <c r="AG156" s="15"/>
      <c r="AH156" s="15">
        <f t="shared" si="48"/>
        <v>153</v>
      </c>
      <c r="AI156" s="16">
        <f t="shared" si="43"/>
        <v>80562.850908944965</v>
      </c>
      <c r="AJ156" s="44">
        <f t="shared" si="44"/>
        <v>26660.403250136875</v>
      </c>
      <c r="AK156" s="45">
        <f t="shared" si="45"/>
        <v>53902.447658808087</v>
      </c>
      <c r="AL156" s="16">
        <f t="shared" si="49"/>
        <v>7160332.6179242767</v>
      </c>
      <c r="AM156" s="17">
        <f t="shared" si="46"/>
        <v>0.33092676027899537</v>
      </c>
      <c r="AN156" s="17">
        <f t="shared" si="47"/>
        <v>0.66907323972100463</v>
      </c>
    </row>
    <row r="157" spans="33:40" ht="49" thickTop="1" thickBot="1" x14ac:dyDescent="0.6">
      <c r="AG157" s="15"/>
      <c r="AH157" s="15">
        <f t="shared" si="48"/>
        <v>154</v>
      </c>
      <c r="AI157" s="16">
        <f t="shared" si="43"/>
        <v>80562.850908944965</v>
      </c>
      <c r="AJ157" s="44">
        <f t="shared" si="44"/>
        <v>26860.356274512902</v>
      </c>
      <c r="AK157" s="45">
        <f t="shared" si="45"/>
        <v>53702.494634432063</v>
      </c>
      <c r="AL157" s="16">
        <f t="shared" si="49"/>
        <v>7133472.2616497641</v>
      </c>
      <c r="AM157" s="17">
        <f t="shared" si="46"/>
        <v>0.33340871098108782</v>
      </c>
      <c r="AN157" s="17">
        <f t="shared" si="47"/>
        <v>0.66659128901891218</v>
      </c>
    </row>
    <row r="158" spans="33:40" ht="49" thickTop="1" thickBot="1" x14ac:dyDescent="0.6">
      <c r="AG158" s="15"/>
      <c r="AH158" s="15">
        <f t="shared" si="48"/>
        <v>155</v>
      </c>
      <c r="AI158" s="16">
        <f t="shared" si="43"/>
        <v>80562.850908944965</v>
      </c>
      <c r="AJ158" s="44">
        <f t="shared" si="44"/>
        <v>27061.808946571749</v>
      </c>
      <c r="AK158" s="45">
        <f t="shared" si="45"/>
        <v>53501.041962373223</v>
      </c>
      <c r="AL158" s="16">
        <f t="shared" si="49"/>
        <v>7106410.4527031928</v>
      </c>
      <c r="AM158" s="17">
        <f t="shared" si="46"/>
        <v>0.33590927631344603</v>
      </c>
      <c r="AN158" s="17">
        <f t="shared" si="47"/>
        <v>0.66409072368655409</v>
      </c>
    </row>
    <row r="159" spans="33:40" ht="49" thickTop="1" thickBot="1" x14ac:dyDescent="0.6">
      <c r="AG159" s="15"/>
      <c r="AH159" s="15">
        <f t="shared" si="48"/>
        <v>156</v>
      </c>
      <c r="AI159" s="16">
        <f t="shared" si="43"/>
        <v>80562.850908944965</v>
      </c>
      <c r="AJ159" s="44">
        <f t="shared" si="44"/>
        <v>27264.772513671036</v>
      </c>
      <c r="AK159" s="45">
        <f t="shared" si="45"/>
        <v>53298.078395273929</v>
      </c>
      <c r="AL159" s="16">
        <f t="shared" si="49"/>
        <v>7079145.680189522</v>
      </c>
      <c r="AM159" s="17">
        <f t="shared" si="46"/>
        <v>0.33842859588579682</v>
      </c>
      <c r="AN159" s="17">
        <f t="shared" si="47"/>
        <v>0.66157140411420312</v>
      </c>
    </row>
    <row r="160" spans="33:40" ht="49" thickTop="1" thickBot="1" x14ac:dyDescent="0.6">
      <c r="AG160" s="15">
        <f>IF(AH160= "NA", "NA",14)</f>
        <v>14</v>
      </c>
      <c r="AH160" s="15">
        <f t="shared" si="48"/>
        <v>157</v>
      </c>
      <c r="AI160" s="16">
        <f t="shared" si="43"/>
        <v>80562.850908944965</v>
      </c>
      <c r="AJ160" s="44">
        <f t="shared" si="44"/>
        <v>27469.258307523574</v>
      </c>
      <c r="AK160" s="45">
        <f t="shared" si="45"/>
        <v>53093.592601421391</v>
      </c>
      <c r="AL160" s="16">
        <f t="shared" si="49"/>
        <v>7051676.421881998</v>
      </c>
      <c r="AM160" s="17">
        <f t="shared" si="46"/>
        <v>0.34096681035494036</v>
      </c>
      <c r="AN160" s="17">
        <f t="shared" si="47"/>
        <v>0.65903318964505964</v>
      </c>
    </row>
    <row r="161" spans="33:40" ht="49" thickTop="1" thickBot="1" x14ac:dyDescent="0.6">
      <c r="AG161" s="15"/>
      <c r="AH161" s="15">
        <f t="shared" si="48"/>
        <v>158</v>
      </c>
      <c r="AI161" s="16">
        <f t="shared" si="43"/>
        <v>80562.850908944965</v>
      </c>
      <c r="AJ161" s="44">
        <f t="shared" si="44"/>
        <v>27675.277744829993</v>
      </c>
      <c r="AK161" s="45">
        <f t="shared" si="45"/>
        <v>52887.573164114976</v>
      </c>
      <c r="AL161" s="16">
        <f t="shared" si="49"/>
        <v>7024001.1441371683</v>
      </c>
      <c r="AM161" s="17">
        <f t="shared" si="46"/>
        <v>0.34352406143260233</v>
      </c>
      <c r="AN161" s="17">
        <f t="shared" si="47"/>
        <v>0.65647593856739772</v>
      </c>
    </row>
    <row r="162" spans="33:40" ht="49" thickTop="1" thickBot="1" x14ac:dyDescent="0.6">
      <c r="AG162" s="15"/>
      <c r="AH162" s="15">
        <f t="shared" si="48"/>
        <v>159</v>
      </c>
      <c r="AI162" s="16">
        <f t="shared" si="43"/>
        <v>80562.850908944965</v>
      </c>
      <c r="AJ162" s="44">
        <f t="shared" si="44"/>
        <v>27882.842327916223</v>
      </c>
      <c r="AK162" s="45">
        <f t="shared" si="45"/>
        <v>52680.008581028749</v>
      </c>
      <c r="AL162" s="16">
        <f t="shared" si="49"/>
        <v>6996118.3018092522</v>
      </c>
      <c r="AM162" s="17">
        <f t="shared" si="46"/>
        <v>0.34610049189334691</v>
      </c>
      <c r="AN162" s="17">
        <f t="shared" si="47"/>
        <v>0.6538995081066532</v>
      </c>
    </row>
    <row r="163" spans="33:40" ht="49" thickTop="1" thickBot="1" x14ac:dyDescent="0.6">
      <c r="AG163" s="15"/>
      <c r="AH163" s="15">
        <f t="shared" si="48"/>
        <v>160</v>
      </c>
      <c r="AI163" s="16">
        <f t="shared" si="43"/>
        <v>80562.850908944965</v>
      </c>
      <c r="AJ163" s="44">
        <f t="shared" si="44"/>
        <v>28091.963645375588</v>
      </c>
      <c r="AK163" s="45">
        <f t="shared" si="45"/>
        <v>52470.887263569384</v>
      </c>
      <c r="AL163" s="16">
        <f t="shared" si="49"/>
        <v>6968026.3381638769</v>
      </c>
      <c r="AM163" s="17">
        <f t="shared" si="46"/>
        <v>0.34869624558254692</v>
      </c>
      <c r="AN163" s="17">
        <f t="shared" si="47"/>
        <v>0.65130375441745314</v>
      </c>
    </row>
    <row r="164" spans="33:40" ht="49" thickTop="1" thickBot="1" x14ac:dyDescent="0.6">
      <c r="AG164" s="15"/>
      <c r="AH164" s="15">
        <f t="shared" si="48"/>
        <v>161</v>
      </c>
      <c r="AI164" s="16">
        <f t="shared" si="43"/>
        <v>80562.850908944965</v>
      </c>
      <c r="AJ164" s="44">
        <f t="shared" si="44"/>
        <v>28302.653372715911</v>
      </c>
      <c r="AK164" s="45">
        <f t="shared" si="45"/>
        <v>52260.197536229054</v>
      </c>
      <c r="AL164" s="16">
        <f t="shared" si="49"/>
        <v>6939723.6847911607</v>
      </c>
      <c r="AM164" s="17">
        <f t="shared" si="46"/>
        <v>0.3513114674244161</v>
      </c>
      <c r="AN164" s="17">
        <f t="shared" si="47"/>
        <v>0.6486885325755839</v>
      </c>
    </row>
    <row r="165" spans="33:40" ht="49" thickTop="1" thickBot="1" x14ac:dyDescent="0.6">
      <c r="AG165" s="15"/>
      <c r="AH165" s="15">
        <f t="shared" si="48"/>
        <v>162</v>
      </c>
      <c r="AI165" s="16">
        <f t="shared" si="43"/>
        <v>80562.850908944965</v>
      </c>
      <c r="AJ165" s="44">
        <f t="shared" si="44"/>
        <v>28514.923273011285</v>
      </c>
      <c r="AK165" s="45">
        <f t="shared" si="45"/>
        <v>52047.92763593368</v>
      </c>
      <c r="AL165" s="16">
        <f t="shared" si="49"/>
        <v>6911208.7615181496</v>
      </c>
      <c r="AM165" s="17">
        <f t="shared" si="46"/>
        <v>0.35394630343009931</v>
      </c>
      <c r="AN165" s="17">
        <f t="shared" si="47"/>
        <v>0.64605369656990075</v>
      </c>
    </row>
    <row r="166" spans="33:40" ht="49" thickTop="1" thickBot="1" x14ac:dyDescent="0.6">
      <c r="AG166" s="15"/>
      <c r="AH166" s="15">
        <f t="shared" si="48"/>
        <v>163</v>
      </c>
      <c r="AI166" s="16">
        <f t="shared" si="43"/>
        <v>80562.850908944965</v>
      </c>
      <c r="AJ166" s="44">
        <f t="shared" si="44"/>
        <v>28728.78519755886</v>
      </c>
      <c r="AK166" s="45">
        <f t="shared" si="45"/>
        <v>51834.065711386116</v>
      </c>
      <c r="AL166" s="16">
        <f t="shared" si="49"/>
        <v>6882479.9763205908</v>
      </c>
      <c r="AM166" s="17">
        <f t="shared" si="46"/>
        <v>0.3566009007058249</v>
      </c>
      <c r="AN166" s="17">
        <f t="shared" si="47"/>
        <v>0.64339909929417527</v>
      </c>
    </row>
    <row r="167" spans="33:40" ht="49" thickTop="1" thickBot="1" x14ac:dyDescent="0.6">
      <c r="AG167" s="15"/>
      <c r="AH167" s="15">
        <f t="shared" si="48"/>
        <v>164</v>
      </c>
      <c r="AI167" s="16">
        <f t="shared" si="43"/>
        <v>80562.850908944965</v>
      </c>
      <c r="AJ167" s="44">
        <f t="shared" si="44"/>
        <v>28944.251086540557</v>
      </c>
      <c r="AK167" s="45">
        <f t="shared" si="45"/>
        <v>51618.599822404416</v>
      </c>
      <c r="AL167" s="16">
        <f t="shared" si="49"/>
        <v>6853535.7252340503</v>
      </c>
      <c r="AM167" s="17">
        <f t="shared" si="46"/>
        <v>0.35927540746111869</v>
      </c>
      <c r="AN167" s="17">
        <f t="shared" si="47"/>
        <v>0.64072459253888148</v>
      </c>
    </row>
    <row r="168" spans="33:40" ht="49" thickTop="1" thickBot="1" x14ac:dyDescent="0.6">
      <c r="AG168" s="15"/>
      <c r="AH168" s="15">
        <f t="shared" si="48"/>
        <v>165</v>
      </c>
      <c r="AI168" s="16">
        <f t="shared" si="43"/>
        <v>80562.850908944965</v>
      </c>
      <c r="AJ168" s="44">
        <f t="shared" si="44"/>
        <v>29161.332969689614</v>
      </c>
      <c r="AK168" s="45">
        <f t="shared" si="45"/>
        <v>51401.517939255347</v>
      </c>
      <c r="AL168" s="16">
        <f t="shared" si="49"/>
        <v>6824374.3922643606</v>
      </c>
      <c r="AM168" s="17">
        <f t="shared" si="46"/>
        <v>0.36196997301707712</v>
      </c>
      <c r="AN168" s="17">
        <f t="shared" si="47"/>
        <v>0.63803002698292288</v>
      </c>
    </row>
    <row r="169" spans="33:40" ht="49" thickTop="1" thickBot="1" x14ac:dyDescent="0.6">
      <c r="AG169" s="15"/>
      <c r="AH169" s="15">
        <f t="shared" si="48"/>
        <v>166</v>
      </c>
      <c r="AI169" s="16">
        <f t="shared" si="43"/>
        <v>80562.850908944965</v>
      </c>
      <c r="AJ169" s="44">
        <f t="shared" si="44"/>
        <v>29380.042966962283</v>
      </c>
      <c r="AK169" s="45">
        <f t="shared" si="45"/>
        <v>51182.80794198269</v>
      </c>
      <c r="AL169" s="16">
        <f t="shared" si="49"/>
        <v>6794994.3492973987</v>
      </c>
      <c r="AM169" s="17">
        <f t="shared" si="46"/>
        <v>0.36468474781470511</v>
      </c>
      <c r="AN169" s="17">
        <f t="shared" si="47"/>
        <v>0.63531525218529494</v>
      </c>
    </row>
    <row r="170" spans="33:40" ht="49" thickTop="1" thickBot="1" x14ac:dyDescent="0.6">
      <c r="AG170" s="15"/>
      <c r="AH170" s="15">
        <f t="shared" si="48"/>
        <v>167</v>
      </c>
      <c r="AI170" s="16">
        <f t="shared" si="43"/>
        <v>80562.850908944965</v>
      </c>
      <c r="AJ170" s="44">
        <f t="shared" si="44"/>
        <v>29600.393289214495</v>
      </c>
      <c r="AK170" s="45">
        <f t="shared" si="45"/>
        <v>50962.457619730478</v>
      </c>
      <c r="AL170" s="16">
        <f t="shared" si="49"/>
        <v>6765393.9560081838</v>
      </c>
      <c r="AM170" s="17">
        <f t="shared" si="46"/>
        <v>0.36741988342331539</v>
      </c>
      <c r="AN170" s="17">
        <f t="shared" si="47"/>
        <v>0.63258011657668478</v>
      </c>
    </row>
    <row r="171" spans="33:40" ht="49" thickTop="1" thickBot="1" x14ac:dyDescent="0.6">
      <c r="AG171" s="15"/>
      <c r="AH171" s="15">
        <f t="shared" si="48"/>
        <v>168</v>
      </c>
      <c r="AI171" s="16">
        <f t="shared" si="43"/>
        <v>80562.850908944965</v>
      </c>
      <c r="AJ171" s="44">
        <f t="shared" si="44"/>
        <v>29822.396238883608</v>
      </c>
      <c r="AK171" s="45">
        <f t="shared" si="45"/>
        <v>50740.454670061357</v>
      </c>
      <c r="AL171" s="16">
        <f t="shared" si="49"/>
        <v>6735571.5597692998</v>
      </c>
      <c r="AM171" s="17">
        <f t="shared" si="46"/>
        <v>0.37017553254899027</v>
      </c>
      <c r="AN171" s="17">
        <f t="shared" si="47"/>
        <v>0.62982446745100973</v>
      </c>
    </row>
    <row r="172" spans="33:40" ht="49" thickTop="1" thickBot="1" x14ac:dyDescent="0.6">
      <c r="AG172" s="15">
        <f>IF(AH172= "NA", "NA",15)</f>
        <v>15</v>
      </c>
      <c r="AH172" s="15">
        <f t="shared" si="48"/>
        <v>169</v>
      </c>
      <c r="AI172" s="16">
        <f t="shared" si="43"/>
        <v>80562.850908944965</v>
      </c>
      <c r="AJ172" s="44">
        <f t="shared" si="44"/>
        <v>30046.064210675235</v>
      </c>
      <c r="AK172" s="45">
        <f t="shared" si="45"/>
        <v>50516.786698269738</v>
      </c>
      <c r="AL172" s="16">
        <f t="shared" si="49"/>
        <v>6705525.4955586242</v>
      </c>
      <c r="AM172" s="17">
        <f t="shared" si="46"/>
        <v>0.37295184904310769</v>
      </c>
      <c r="AN172" s="17">
        <f t="shared" si="47"/>
        <v>0.62704815095689237</v>
      </c>
    </row>
    <row r="173" spans="33:40" ht="49" thickTop="1" thickBot="1" x14ac:dyDescent="0.6">
      <c r="AG173" s="15"/>
      <c r="AH173" s="15">
        <f t="shared" si="48"/>
        <v>170</v>
      </c>
      <c r="AI173" s="16">
        <f t="shared" si="43"/>
        <v>80562.850908944965</v>
      </c>
      <c r="AJ173" s="44">
        <f t="shared" si="44"/>
        <v>30271.4096922553</v>
      </c>
      <c r="AK173" s="45">
        <f t="shared" si="45"/>
        <v>50291.441216689665</v>
      </c>
      <c r="AL173" s="16">
        <f t="shared" si="49"/>
        <v>6675254.0858663693</v>
      </c>
      <c r="AM173" s="17">
        <f t="shared" si="46"/>
        <v>0.37574898791093103</v>
      </c>
      <c r="AN173" s="17">
        <f t="shared" si="47"/>
        <v>0.62425101208906897</v>
      </c>
    </row>
    <row r="174" spans="33:40" ht="49" thickTop="1" thickBot="1" x14ac:dyDescent="0.6">
      <c r="AG174" s="15"/>
      <c r="AH174" s="15">
        <f t="shared" si="48"/>
        <v>171</v>
      </c>
      <c r="AI174" s="16">
        <f t="shared" si="43"/>
        <v>80562.850908944965</v>
      </c>
      <c r="AJ174" s="44">
        <f t="shared" si="44"/>
        <v>30498.445264947215</v>
      </c>
      <c r="AK174" s="45">
        <f t="shared" si="45"/>
        <v>50064.40564399775</v>
      </c>
      <c r="AL174" s="16">
        <f t="shared" si="49"/>
        <v>6644755.6406014217</v>
      </c>
      <c r="AM174" s="17">
        <f t="shared" si="46"/>
        <v>0.378567105320263</v>
      </c>
      <c r="AN174" s="17">
        <f t="shared" si="47"/>
        <v>0.62143289467973695</v>
      </c>
    </row>
    <row r="175" spans="33:40" ht="49" thickTop="1" thickBot="1" x14ac:dyDescent="0.6">
      <c r="AG175" s="15"/>
      <c r="AH175" s="15">
        <f t="shared" si="48"/>
        <v>172</v>
      </c>
      <c r="AI175" s="16">
        <f t="shared" si="43"/>
        <v>80562.850908944965</v>
      </c>
      <c r="AJ175" s="44">
        <f t="shared" si="44"/>
        <v>30727.183604434322</v>
      </c>
      <c r="AK175" s="45">
        <f t="shared" si="45"/>
        <v>49835.667304510651</v>
      </c>
      <c r="AL175" s="16">
        <f t="shared" si="49"/>
        <v>6614028.4569969876</v>
      </c>
      <c r="AM175" s="17">
        <f t="shared" si="46"/>
        <v>0.38140635861016503</v>
      </c>
      <c r="AN175" s="17">
        <f t="shared" si="47"/>
        <v>0.61859364138983508</v>
      </c>
    </row>
    <row r="176" spans="33:40" ht="49" thickTop="1" thickBot="1" x14ac:dyDescent="0.6">
      <c r="AG176" s="15"/>
      <c r="AH176" s="15">
        <f t="shared" si="48"/>
        <v>173</v>
      </c>
      <c r="AI176" s="16">
        <f t="shared" si="43"/>
        <v>80562.850908944965</v>
      </c>
      <c r="AJ176" s="44">
        <f t="shared" si="44"/>
        <v>30957.637481467576</v>
      </c>
      <c r="AK176" s="45">
        <f t="shared" si="45"/>
        <v>49605.213427477385</v>
      </c>
      <c r="AL176" s="16">
        <f t="shared" si="49"/>
        <v>6583070.8195155198</v>
      </c>
      <c r="AM176" s="17">
        <f t="shared" si="46"/>
        <v>0.3842669062997412</v>
      </c>
      <c r="AN176" s="17">
        <f t="shared" si="47"/>
        <v>0.61573309370025875</v>
      </c>
    </row>
    <row r="177" spans="33:40" ht="49" thickTop="1" thickBot="1" x14ac:dyDescent="0.6">
      <c r="AG177" s="15"/>
      <c r="AH177" s="15">
        <f t="shared" si="48"/>
        <v>174</v>
      </c>
      <c r="AI177" s="16">
        <f t="shared" si="43"/>
        <v>80562.850908944965</v>
      </c>
      <c r="AJ177" s="44">
        <f t="shared" si="44"/>
        <v>31189.819762578576</v>
      </c>
      <c r="AK177" s="45">
        <f t="shared" si="45"/>
        <v>49373.031146366389</v>
      </c>
      <c r="AL177" s="16">
        <f t="shared" si="49"/>
        <v>6551880.9997529415</v>
      </c>
      <c r="AM177" s="17">
        <f t="shared" si="46"/>
        <v>0.38714890809698921</v>
      </c>
      <c r="AN177" s="17">
        <f t="shared" si="47"/>
        <v>0.61285109190301079</v>
      </c>
    </row>
    <row r="178" spans="33:40" ht="49" thickTop="1" thickBot="1" x14ac:dyDescent="0.6">
      <c r="AG178" s="15"/>
      <c r="AH178" s="15">
        <f t="shared" si="48"/>
        <v>175</v>
      </c>
      <c r="AI178" s="16">
        <f t="shared" si="43"/>
        <v>80562.850908944965</v>
      </c>
      <c r="AJ178" s="44">
        <f t="shared" si="44"/>
        <v>31423.743410797917</v>
      </c>
      <c r="AK178" s="45">
        <f t="shared" si="45"/>
        <v>49139.107498147045</v>
      </c>
      <c r="AL178" s="16">
        <f t="shared" si="49"/>
        <v>6520457.2563421438</v>
      </c>
      <c r="AM178" s="17">
        <f t="shared" si="46"/>
        <v>0.39005252490771664</v>
      </c>
      <c r="AN178" s="17">
        <f t="shared" si="47"/>
        <v>0.60994747509228331</v>
      </c>
    </row>
    <row r="179" spans="33:40" ht="49" thickTop="1" thickBot="1" x14ac:dyDescent="0.6">
      <c r="AG179" s="15"/>
      <c r="AH179" s="15">
        <f t="shared" si="48"/>
        <v>176</v>
      </c>
      <c r="AI179" s="16">
        <f t="shared" si="43"/>
        <v>80562.850908944965</v>
      </c>
      <c r="AJ179" s="44">
        <f t="shared" si="44"/>
        <v>31659.421486378906</v>
      </c>
      <c r="AK179" s="45">
        <f t="shared" si="45"/>
        <v>48903.429422566056</v>
      </c>
      <c r="AL179" s="16">
        <f t="shared" si="49"/>
        <v>6488797.8348557651</v>
      </c>
      <c r="AM179" s="17">
        <f t="shared" si="46"/>
        <v>0.39297791884452454</v>
      </c>
      <c r="AN179" s="17">
        <f t="shared" si="47"/>
        <v>0.6070220811554754</v>
      </c>
    </row>
    <row r="180" spans="33:40" ht="49" thickTop="1" thickBot="1" x14ac:dyDescent="0.6">
      <c r="AG180" s="15"/>
      <c r="AH180" s="15">
        <f t="shared" si="48"/>
        <v>177</v>
      </c>
      <c r="AI180" s="16">
        <f t="shared" si="43"/>
        <v>80562.850908944965</v>
      </c>
      <c r="AJ180" s="44">
        <f t="shared" si="44"/>
        <v>31896.867147526744</v>
      </c>
      <c r="AK180" s="45">
        <f t="shared" si="45"/>
        <v>48665.983761418225</v>
      </c>
      <c r="AL180" s="16">
        <f t="shared" si="49"/>
        <v>6456900.9677082384</v>
      </c>
      <c r="AM180" s="17">
        <f t="shared" si="46"/>
        <v>0.39592525323585842</v>
      </c>
      <c r="AN180" s="17">
        <f t="shared" si="47"/>
        <v>0.60407474676414163</v>
      </c>
    </row>
    <row r="181" spans="33:40" ht="49" thickTop="1" thickBot="1" x14ac:dyDescent="0.6">
      <c r="AG181" s="15"/>
      <c r="AH181" s="15">
        <f t="shared" si="48"/>
        <v>178</v>
      </c>
      <c r="AI181" s="16">
        <f t="shared" si="43"/>
        <v>80562.850908944965</v>
      </c>
      <c r="AJ181" s="44">
        <f t="shared" si="44"/>
        <v>32136.093651133197</v>
      </c>
      <c r="AK181" s="45">
        <f t="shared" si="45"/>
        <v>48426.757257811769</v>
      </c>
      <c r="AL181" s="16">
        <f t="shared" si="49"/>
        <v>6424764.8740571048</v>
      </c>
      <c r="AM181" s="17">
        <f t="shared" si="46"/>
        <v>0.39889469263512739</v>
      </c>
      <c r="AN181" s="17">
        <f t="shared" si="47"/>
        <v>0.60110530736487255</v>
      </c>
    </row>
    <row r="182" spans="33:40" ht="49" thickTop="1" thickBot="1" x14ac:dyDescent="0.6">
      <c r="AG182" s="15"/>
      <c r="AH182" s="15">
        <f t="shared" si="48"/>
        <v>179</v>
      </c>
      <c r="AI182" s="16">
        <f t="shared" si="43"/>
        <v>80562.850908944965</v>
      </c>
      <c r="AJ182" s="44">
        <f t="shared" si="44"/>
        <v>32377.114353516696</v>
      </c>
      <c r="AK182" s="45">
        <f t="shared" si="45"/>
        <v>48185.736555428273</v>
      </c>
      <c r="AL182" s="16">
        <f t="shared" si="49"/>
        <v>6392387.7597035877</v>
      </c>
      <c r="AM182" s="17">
        <f t="shared" si="46"/>
        <v>0.40188640282989085</v>
      </c>
      <c r="AN182" s="17">
        <f t="shared" si="47"/>
        <v>0.59811359717010915</v>
      </c>
    </row>
    <row r="183" spans="33:40" ht="49" thickTop="1" thickBot="1" x14ac:dyDescent="0.6">
      <c r="AG183" s="15"/>
      <c r="AH183" s="15">
        <f t="shared" si="48"/>
        <v>180</v>
      </c>
      <c r="AI183" s="16">
        <f t="shared" si="43"/>
        <v>80562.850908944965</v>
      </c>
      <c r="AJ183" s="44">
        <f t="shared" si="44"/>
        <v>32619.942711168067</v>
      </c>
      <c r="AK183" s="45">
        <f t="shared" si="45"/>
        <v>47942.908197776902</v>
      </c>
      <c r="AL183" s="16">
        <f t="shared" si="49"/>
        <v>6359767.8169924198</v>
      </c>
      <c r="AM183" s="17">
        <f t="shared" si="46"/>
        <v>0.40490055085111498</v>
      </c>
      <c r="AN183" s="17">
        <f t="shared" si="47"/>
        <v>0.59509944914888502</v>
      </c>
    </row>
    <row r="184" spans="33:40" ht="49" thickTop="1" thickBot="1" x14ac:dyDescent="0.6">
      <c r="AG184" s="15">
        <f>IF(AH184= "NA", "NA",16)</f>
        <v>16</v>
      </c>
      <c r="AH184" s="15">
        <f t="shared" si="48"/>
        <v>181</v>
      </c>
      <c r="AI184" s="16">
        <f t="shared" si="43"/>
        <v>80562.850908944965</v>
      </c>
      <c r="AJ184" s="44">
        <f t="shared" si="44"/>
        <v>32864.592281501835</v>
      </c>
      <c r="AK184" s="45">
        <f t="shared" si="45"/>
        <v>47698.258627443138</v>
      </c>
      <c r="AL184" s="16">
        <f t="shared" si="49"/>
        <v>6326903.224710918</v>
      </c>
      <c r="AM184" s="17">
        <f t="shared" si="46"/>
        <v>0.40793730498249847</v>
      </c>
      <c r="AN184" s="17">
        <f t="shared" si="47"/>
        <v>0.59206269501750164</v>
      </c>
    </row>
    <row r="185" spans="33:40" ht="49" thickTop="1" thickBot="1" x14ac:dyDescent="0.6">
      <c r="AG185" s="15"/>
      <c r="AH185" s="15">
        <f t="shared" si="48"/>
        <v>182</v>
      </c>
      <c r="AI185" s="16">
        <f t="shared" si="43"/>
        <v>80562.850908944965</v>
      </c>
      <c r="AJ185" s="44">
        <f t="shared" si="44"/>
        <v>33111.0767236131</v>
      </c>
      <c r="AK185" s="45">
        <f t="shared" si="45"/>
        <v>47451.774185331873</v>
      </c>
      <c r="AL185" s="16">
        <f t="shared" si="49"/>
        <v>6293792.1479873052</v>
      </c>
      <c r="AM185" s="17">
        <f t="shared" si="46"/>
        <v>0.4109968347698672</v>
      </c>
      <c r="AN185" s="17">
        <f t="shared" si="47"/>
        <v>0.58900316523013285</v>
      </c>
    </row>
    <row r="186" spans="33:40" ht="49" thickTop="1" thickBot="1" x14ac:dyDescent="0.6">
      <c r="AG186" s="15"/>
      <c r="AH186" s="15">
        <f t="shared" si="48"/>
        <v>183</v>
      </c>
      <c r="AI186" s="16">
        <f t="shared" si="43"/>
        <v>80562.850908944965</v>
      </c>
      <c r="AJ186" s="44">
        <f t="shared" si="44"/>
        <v>33359.409799040193</v>
      </c>
      <c r="AK186" s="45">
        <f t="shared" si="45"/>
        <v>47203.441109904772</v>
      </c>
      <c r="AL186" s="16">
        <f t="shared" si="49"/>
        <v>6260432.7381882649</v>
      </c>
      <c r="AM186" s="17">
        <f t="shared" si="46"/>
        <v>0.41407931103064116</v>
      </c>
      <c r="AN186" s="17">
        <f t="shared" si="47"/>
        <v>0.58592068896935889</v>
      </c>
    </row>
    <row r="187" spans="33:40" ht="49" thickTop="1" thickBot="1" x14ac:dyDescent="0.6">
      <c r="AG187" s="15"/>
      <c r="AH187" s="15">
        <f t="shared" si="48"/>
        <v>184</v>
      </c>
      <c r="AI187" s="16">
        <f t="shared" si="43"/>
        <v>80562.850908944965</v>
      </c>
      <c r="AJ187" s="44">
        <f t="shared" si="44"/>
        <v>33609.605372532998</v>
      </c>
      <c r="AK187" s="45">
        <f t="shared" si="45"/>
        <v>46953.245536411974</v>
      </c>
      <c r="AL187" s="16">
        <f t="shared" si="49"/>
        <v>6226823.1328157317</v>
      </c>
      <c r="AM187" s="17">
        <f t="shared" si="46"/>
        <v>0.41718490586337098</v>
      </c>
      <c r="AN187" s="17">
        <f t="shared" si="47"/>
        <v>0.58281509413662913</v>
      </c>
    </row>
    <row r="188" spans="33:40" ht="49" thickTop="1" thickBot="1" x14ac:dyDescent="0.6">
      <c r="AG188" s="15"/>
      <c r="AH188" s="15">
        <f t="shared" si="48"/>
        <v>185</v>
      </c>
      <c r="AI188" s="16">
        <f t="shared" si="43"/>
        <v>80562.850908944965</v>
      </c>
      <c r="AJ188" s="44">
        <f t="shared" si="44"/>
        <v>33861.677412826997</v>
      </c>
      <c r="AK188" s="45">
        <f t="shared" si="45"/>
        <v>46701.173496117968</v>
      </c>
      <c r="AL188" s="16">
        <f t="shared" si="49"/>
        <v>6192961.4554029051</v>
      </c>
      <c r="AM188" s="17">
        <f t="shared" si="46"/>
        <v>0.42031379265734631</v>
      </c>
      <c r="AN188" s="17">
        <f t="shared" si="47"/>
        <v>0.57968620734265375</v>
      </c>
    </row>
    <row r="189" spans="33:40" ht="49" thickTop="1" thickBot="1" x14ac:dyDescent="0.6">
      <c r="AG189" s="15"/>
      <c r="AH189" s="15">
        <f t="shared" si="48"/>
        <v>186</v>
      </c>
      <c r="AI189" s="16">
        <f t="shared" si="43"/>
        <v>80562.850908944965</v>
      </c>
      <c r="AJ189" s="44">
        <f t="shared" si="44"/>
        <v>34115.639993423196</v>
      </c>
      <c r="AK189" s="45">
        <f t="shared" si="45"/>
        <v>46447.210915521762</v>
      </c>
      <c r="AL189" s="16">
        <f t="shared" si="49"/>
        <v>6158845.8154094815</v>
      </c>
      <c r="AM189" s="17">
        <f t="shared" si="46"/>
        <v>0.42346614610227634</v>
      </c>
      <c r="AN189" s="17">
        <f t="shared" si="47"/>
        <v>0.5765338538977236</v>
      </c>
    </row>
    <row r="190" spans="33:40" ht="49" thickTop="1" thickBot="1" x14ac:dyDescent="0.6">
      <c r="AG190" s="15"/>
      <c r="AH190" s="15">
        <f t="shared" si="48"/>
        <v>187</v>
      </c>
      <c r="AI190" s="16">
        <f t="shared" si="43"/>
        <v>80562.850908944965</v>
      </c>
      <c r="AJ190" s="44">
        <f t="shared" si="44"/>
        <v>34371.50729337387</v>
      </c>
      <c r="AK190" s="45">
        <f t="shared" si="45"/>
        <v>46191.343615571102</v>
      </c>
      <c r="AL190" s="16">
        <f t="shared" si="49"/>
        <v>6124474.3081161072</v>
      </c>
      <c r="AM190" s="17">
        <f t="shared" si="46"/>
        <v>0.42664214219804342</v>
      </c>
      <c r="AN190" s="17">
        <f t="shared" si="47"/>
        <v>0.57335785780195669</v>
      </c>
    </row>
    <row r="191" spans="33:40" ht="49" thickTop="1" thickBot="1" x14ac:dyDescent="0.6">
      <c r="AG191" s="15"/>
      <c r="AH191" s="15">
        <f t="shared" si="48"/>
        <v>188</v>
      </c>
      <c r="AI191" s="16">
        <f t="shared" si="43"/>
        <v>80562.850908944965</v>
      </c>
      <c r="AJ191" s="44">
        <f t="shared" si="44"/>
        <v>34629.293598074175</v>
      </c>
      <c r="AK191" s="45">
        <f t="shared" si="45"/>
        <v>45933.55731087079</v>
      </c>
      <c r="AL191" s="16">
        <f t="shared" si="49"/>
        <v>6089845.0145180328</v>
      </c>
      <c r="AM191" s="17">
        <f t="shared" si="46"/>
        <v>0.42984195826452876</v>
      </c>
      <c r="AN191" s="17">
        <f t="shared" si="47"/>
        <v>0.57015804173547124</v>
      </c>
    </row>
    <row r="192" spans="33:40" ht="49" thickTop="1" thickBot="1" x14ac:dyDescent="0.6">
      <c r="AG192" s="15"/>
      <c r="AH192" s="15">
        <f t="shared" si="48"/>
        <v>189</v>
      </c>
      <c r="AI192" s="16">
        <f t="shared" si="43"/>
        <v>80562.850908944965</v>
      </c>
      <c r="AJ192" s="44">
        <f t="shared" si="44"/>
        <v>34889.013300059727</v>
      </c>
      <c r="AK192" s="45">
        <f t="shared" si="45"/>
        <v>45673.837608885238</v>
      </c>
      <c r="AL192" s="16">
        <f t="shared" si="49"/>
        <v>6054956.0012179734</v>
      </c>
      <c r="AM192" s="17">
        <f t="shared" si="46"/>
        <v>0.43306577295151266</v>
      </c>
      <c r="AN192" s="17">
        <f t="shared" si="47"/>
        <v>0.56693422704848728</v>
      </c>
    </row>
    <row r="193" spans="33:40" ht="49" thickTop="1" thickBot="1" x14ac:dyDescent="0.6">
      <c r="AG193" s="15"/>
      <c r="AH193" s="15">
        <f t="shared" si="48"/>
        <v>190</v>
      </c>
      <c r="AI193" s="16">
        <f t="shared" si="43"/>
        <v>80562.850908944965</v>
      </c>
      <c r="AJ193" s="44">
        <f t="shared" si="44"/>
        <v>35150.680899810177</v>
      </c>
      <c r="AK193" s="45">
        <f t="shared" si="45"/>
        <v>45412.170009134788</v>
      </c>
      <c r="AL193" s="16">
        <f t="shared" si="49"/>
        <v>6019805.3203181634</v>
      </c>
      <c r="AM193" s="17">
        <f t="shared" si="46"/>
        <v>0.43631376624864904</v>
      </c>
      <c r="AN193" s="17">
        <f t="shared" si="47"/>
        <v>0.56368623375135096</v>
      </c>
    </row>
    <row r="194" spans="33:40" ht="49" thickTop="1" thickBot="1" x14ac:dyDescent="0.6">
      <c r="AG194" s="15"/>
      <c r="AH194" s="15">
        <f t="shared" si="48"/>
        <v>191</v>
      </c>
      <c r="AI194" s="16">
        <f t="shared" si="43"/>
        <v>80562.850908944965</v>
      </c>
      <c r="AJ194" s="44">
        <f t="shared" si="44"/>
        <v>35414.311006558753</v>
      </c>
      <c r="AK194" s="45">
        <f t="shared" si="45"/>
        <v>45148.539902386212</v>
      </c>
      <c r="AL194" s="16">
        <f t="shared" si="49"/>
        <v>5984391.0093116043</v>
      </c>
      <c r="AM194" s="17">
        <f t="shared" si="46"/>
        <v>0.43958611949551391</v>
      </c>
      <c r="AN194" s="17">
        <f t="shared" si="47"/>
        <v>0.56041388050448604</v>
      </c>
    </row>
    <row r="195" spans="33:40" ht="49" thickTop="1" thickBot="1" x14ac:dyDescent="0.6">
      <c r="AG195" s="15"/>
      <c r="AH195" s="15">
        <f t="shared" si="48"/>
        <v>192</v>
      </c>
      <c r="AI195" s="16">
        <f t="shared" si="43"/>
        <v>80562.850908944965</v>
      </c>
      <c r="AJ195" s="44">
        <f t="shared" si="44"/>
        <v>35679.91833910795</v>
      </c>
      <c r="AK195" s="45">
        <f t="shared" si="45"/>
        <v>44882.932569837023</v>
      </c>
      <c r="AL195" s="16">
        <f t="shared" si="49"/>
        <v>5948711.0909724962</v>
      </c>
      <c r="AM195" s="17">
        <f t="shared" si="46"/>
        <v>0.44288301539173036</v>
      </c>
      <c r="AN195" s="17">
        <f t="shared" si="47"/>
        <v>0.55711698460826975</v>
      </c>
    </row>
    <row r="196" spans="33:40" ht="49" thickTop="1" thickBot="1" x14ac:dyDescent="0.6">
      <c r="AG196" s="15">
        <f>IF(AH196= "NA", "NA",17)</f>
        <v>17</v>
      </c>
      <c r="AH196" s="15">
        <f t="shared" si="48"/>
        <v>193</v>
      </c>
      <c r="AI196" s="16">
        <f t="shared" si="43"/>
        <v>80562.850908944965</v>
      </c>
      <c r="AJ196" s="44">
        <f t="shared" si="44"/>
        <v>35947.517726651255</v>
      </c>
      <c r="AK196" s="45">
        <f t="shared" si="45"/>
        <v>44615.333182293711</v>
      </c>
      <c r="AL196" s="16">
        <f t="shared" si="49"/>
        <v>5912763.5732458448</v>
      </c>
      <c r="AM196" s="17">
        <f t="shared" si="46"/>
        <v>0.44620463800716825</v>
      </c>
      <c r="AN196" s="17">
        <f t="shared" si="47"/>
        <v>0.55379536199283175</v>
      </c>
    </row>
    <row r="197" spans="33:40" ht="49" thickTop="1" thickBot="1" x14ac:dyDescent="0.6">
      <c r="AG197" s="15"/>
      <c r="AH197" s="15">
        <f t="shared" si="48"/>
        <v>194</v>
      </c>
      <c r="AI197" s="16">
        <f t="shared" ref="AI197:AI260" si="50">IF(AH197= "NA",0,$D$9)</f>
        <v>80562.850908944965</v>
      </c>
      <c r="AJ197" s="44">
        <f t="shared" ref="AJ197:AJ260" si="51">IF(AH197= "NA",0,PPMT($D$7/12,AH197,$D$8*12,-$D$6,0))</f>
        <v>36217.124109601136</v>
      </c>
      <c r="AK197" s="45">
        <f t="shared" ref="AK197:AK260" si="52">IF(AH197= "NA", 0,IPMT($D$7/12,AH197,$D$8*12,-$D$6,0))</f>
        <v>44345.726799343829</v>
      </c>
      <c r="AL197" s="16">
        <f t="shared" si="49"/>
        <v>5876546.4491362441</v>
      </c>
      <c r="AM197" s="17">
        <f t="shared" ref="AM197:AM260" si="53">AJ197/AI197</f>
        <v>0.44955117279222201</v>
      </c>
      <c r="AN197" s="17">
        <f t="shared" ref="AN197:AN260" si="54">AK197/AI197</f>
        <v>0.55044882720777799</v>
      </c>
    </row>
    <row r="198" spans="33:40" ht="49" thickTop="1" thickBot="1" x14ac:dyDescent="0.6">
      <c r="AG198" s="15"/>
      <c r="AH198" s="15">
        <f t="shared" ref="AH198:AH261" si="55">IF(AH197&lt;$D$8*12,AH197+1, "NA")</f>
        <v>195</v>
      </c>
      <c r="AI198" s="16">
        <f t="shared" si="50"/>
        <v>80562.850908944965</v>
      </c>
      <c r="AJ198" s="44">
        <f t="shared" si="51"/>
        <v>36488.752540423142</v>
      </c>
      <c r="AK198" s="45">
        <f t="shared" si="52"/>
        <v>44074.098368521823</v>
      </c>
      <c r="AL198" s="16">
        <f t="shared" ref="AL198:AL261" si="56">IF(AH198= "NA", 0,AL197-AJ198)</f>
        <v>5840057.6965958206</v>
      </c>
      <c r="AM198" s="17">
        <f t="shared" si="53"/>
        <v>0.45292280658816364</v>
      </c>
      <c r="AN198" s="17">
        <f t="shared" si="54"/>
        <v>0.54707719341183636</v>
      </c>
    </row>
    <row r="199" spans="33:40" ht="49" thickTop="1" thickBot="1" x14ac:dyDescent="0.6">
      <c r="AG199" s="15"/>
      <c r="AH199" s="15">
        <f t="shared" si="55"/>
        <v>196</v>
      </c>
      <c r="AI199" s="16">
        <f t="shared" si="50"/>
        <v>80562.850908944965</v>
      </c>
      <c r="AJ199" s="44">
        <f t="shared" si="51"/>
        <v>36762.418184476322</v>
      </c>
      <c r="AK199" s="45">
        <f t="shared" si="52"/>
        <v>43800.432724468636</v>
      </c>
      <c r="AL199" s="16">
        <f t="shared" si="56"/>
        <v>5803295.2784113446</v>
      </c>
      <c r="AM199" s="17">
        <f t="shared" si="53"/>
        <v>0.45631972763757495</v>
      </c>
      <c r="AN199" s="17">
        <f t="shared" si="54"/>
        <v>0.543680272362425</v>
      </c>
    </row>
    <row r="200" spans="33:40" ht="49" thickTop="1" thickBot="1" x14ac:dyDescent="0.6">
      <c r="AG200" s="15"/>
      <c r="AH200" s="15">
        <f t="shared" si="55"/>
        <v>197</v>
      </c>
      <c r="AI200" s="16">
        <f t="shared" si="50"/>
        <v>80562.850908944965</v>
      </c>
      <c r="AJ200" s="44">
        <f t="shared" si="51"/>
        <v>37038.136320859892</v>
      </c>
      <c r="AK200" s="45">
        <f t="shared" si="52"/>
        <v>43524.714588085073</v>
      </c>
      <c r="AL200" s="16">
        <f t="shared" si="56"/>
        <v>5766257.1420904845</v>
      </c>
      <c r="AM200" s="17">
        <f t="shared" si="53"/>
        <v>0.45974212559485672</v>
      </c>
      <c r="AN200" s="17">
        <f t="shared" si="54"/>
        <v>0.54025787440514328</v>
      </c>
    </row>
    <row r="201" spans="33:40" ht="49" thickTop="1" thickBot="1" x14ac:dyDescent="0.6">
      <c r="AG201" s="15"/>
      <c r="AH201" s="15">
        <f t="shared" si="55"/>
        <v>198</v>
      </c>
      <c r="AI201" s="16">
        <f t="shared" si="50"/>
        <v>80562.850908944965</v>
      </c>
      <c r="AJ201" s="44">
        <f t="shared" si="51"/>
        <v>37315.922343266342</v>
      </c>
      <c r="AK201" s="45">
        <f t="shared" si="52"/>
        <v>43246.928565678616</v>
      </c>
      <c r="AL201" s="16">
        <f t="shared" si="56"/>
        <v>5728941.2197472183</v>
      </c>
      <c r="AM201" s="17">
        <f t="shared" si="53"/>
        <v>0.46319019153681812</v>
      </c>
      <c r="AN201" s="17">
        <f t="shared" si="54"/>
        <v>0.53680980846318171</v>
      </c>
    </row>
    <row r="202" spans="33:40" ht="49" thickTop="1" thickBot="1" x14ac:dyDescent="0.6">
      <c r="AG202" s="15"/>
      <c r="AH202" s="15">
        <f t="shared" si="55"/>
        <v>199</v>
      </c>
      <c r="AI202" s="16">
        <f t="shared" si="50"/>
        <v>80562.850908944965</v>
      </c>
      <c r="AJ202" s="44">
        <f t="shared" si="51"/>
        <v>37595.791760840839</v>
      </c>
      <c r="AK202" s="45">
        <f t="shared" si="52"/>
        <v>42967.059148104127</v>
      </c>
      <c r="AL202" s="16">
        <f t="shared" si="56"/>
        <v>5691345.4279863779</v>
      </c>
      <c r="AM202" s="17">
        <f t="shared" si="53"/>
        <v>0.46666411797334428</v>
      </c>
      <c r="AN202" s="17">
        <f t="shared" si="54"/>
        <v>0.53333588202665572</v>
      </c>
    </row>
    <row r="203" spans="33:40" ht="49" thickTop="1" thickBot="1" x14ac:dyDescent="0.6">
      <c r="AG203" s="15"/>
      <c r="AH203" s="15">
        <f t="shared" si="55"/>
        <v>200</v>
      </c>
      <c r="AI203" s="16">
        <f t="shared" si="50"/>
        <v>80562.850908944965</v>
      </c>
      <c r="AJ203" s="44">
        <f t="shared" si="51"/>
        <v>37877.760199047152</v>
      </c>
      <c r="AK203" s="45">
        <f t="shared" si="52"/>
        <v>42685.09070989782</v>
      </c>
      <c r="AL203" s="16">
        <f t="shared" si="56"/>
        <v>5653467.6677873312</v>
      </c>
      <c r="AM203" s="17">
        <f t="shared" si="53"/>
        <v>0.47016409885814442</v>
      </c>
      <c r="AN203" s="17">
        <f t="shared" si="54"/>
        <v>0.52983590114185564</v>
      </c>
    </row>
    <row r="204" spans="33:40" ht="49" thickTop="1" thickBot="1" x14ac:dyDescent="0.6">
      <c r="AG204" s="15"/>
      <c r="AH204" s="15">
        <f t="shared" si="55"/>
        <v>201</v>
      </c>
      <c r="AI204" s="16">
        <f t="shared" si="50"/>
        <v>80562.850908944965</v>
      </c>
      <c r="AJ204" s="44">
        <f t="shared" si="51"/>
        <v>38161.843400539998</v>
      </c>
      <c r="AK204" s="45">
        <f t="shared" si="52"/>
        <v>42401.007508404968</v>
      </c>
      <c r="AL204" s="16">
        <f t="shared" si="56"/>
        <v>5615305.8243867913</v>
      </c>
      <c r="AM204" s="17">
        <f t="shared" si="53"/>
        <v>0.47369032959958041</v>
      </c>
      <c r="AN204" s="17">
        <f t="shared" si="54"/>
        <v>0.52630967040041954</v>
      </c>
    </row>
    <row r="205" spans="33:40" ht="49" thickTop="1" thickBot="1" x14ac:dyDescent="0.6">
      <c r="AG205" s="15"/>
      <c r="AH205" s="15">
        <f t="shared" si="55"/>
        <v>202</v>
      </c>
      <c r="AI205" s="16">
        <f t="shared" si="50"/>
        <v>80562.850908944965</v>
      </c>
      <c r="AJ205" s="44">
        <f t="shared" si="51"/>
        <v>38448.057226044046</v>
      </c>
      <c r="AK205" s="45">
        <f t="shared" si="52"/>
        <v>42114.79368290092</v>
      </c>
      <c r="AL205" s="16">
        <f t="shared" si="56"/>
        <v>5576857.7671607472</v>
      </c>
      <c r="AM205" s="17">
        <f t="shared" si="53"/>
        <v>0.47724300707157724</v>
      </c>
      <c r="AN205" s="17">
        <f t="shared" si="54"/>
        <v>0.5227569929284227</v>
      </c>
    </row>
    <row r="206" spans="33:40" ht="49" thickTop="1" thickBot="1" x14ac:dyDescent="0.6">
      <c r="AG206" s="15"/>
      <c r="AH206" s="15">
        <f t="shared" si="55"/>
        <v>203</v>
      </c>
      <c r="AI206" s="16">
        <f t="shared" si="50"/>
        <v>80562.850908944965</v>
      </c>
      <c r="AJ206" s="44">
        <f t="shared" si="51"/>
        <v>38736.417655239376</v>
      </c>
      <c r="AK206" s="45">
        <f t="shared" si="52"/>
        <v>41826.433253705589</v>
      </c>
      <c r="AL206" s="16">
        <f t="shared" si="56"/>
        <v>5538121.3495055074</v>
      </c>
      <c r="AM206" s="17">
        <f t="shared" si="53"/>
        <v>0.48082232962461408</v>
      </c>
      <c r="AN206" s="17">
        <f t="shared" si="54"/>
        <v>0.51917767037538587</v>
      </c>
    </row>
    <row r="207" spans="33:40" ht="49" thickTop="1" thickBot="1" x14ac:dyDescent="0.6">
      <c r="AG207" s="15"/>
      <c r="AH207" s="15">
        <f t="shared" si="55"/>
        <v>204</v>
      </c>
      <c r="AI207" s="16">
        <f t="shared" si="50"/>
        <v>80562.850908944965</v>
      </c>
      <c r="AJ207" s="44">
        <f t="shared" si="51"/>
        <v>39026.940787653679</v>
      </c>
      <c r="AK207" s="45">
        <f t="shared" si="52"/>
        <v>41535.910121291294</v>
      </c>
      <c r="AL207" s="16">
        <f t="shared" si="56"/>
        <v>5499094.4087178539</v>
      </c>
      <c r="AM207" s="17">
        <f t="shared" si="53"/>
        <v>0.4844284970967988</v>
      </c>
      <c r="AN207" s="17">
        <f t="shared" si="54"/>
        <v>0.51557150290320131</v>
      </c>
    </row>
    <row r="208" spans="33:40" ht="49" thickTop="1" thickBot="1" x14ac:dyDescent="0.6">
      <c r="AG208" s="15">
        <f>IF(AH208= "NA", "NA",18)</f>
        <v>18</v>
      </c>
      <c r="AH208" s="15">
        <f t="shared" si="55"/>
        <v>205</v>
      </c>
      <c r="AI208" s="16">
        <f t="shared" si="50"/>
        <v>80562.850908944965</v>
      </c>
      <c r="AJ208" s="44">
        <f t="shared" si="51"/>
        <v>39319.64284356108</v>
      </c>
      <c r="AK208" s="45">
        <f t="shared" si="52"/>
        <v>41243.208065383886</v>
      </c>
      <c r="AL208" s="16">
        <f t="shared" si="56"/>
        <v>5459774.7658742927</v>
      </c>
      <c r="AM208" s="17">
        <f t="shared" si="53"/>
        <v>0.48806171082502475</v>
      </c>
      <c r="AN208" s="17">
        <f t="shared" si="54"/>
        <v>0.5119382891749753</v>
      </c>
    </row>
    <row r="209" spans="33:40" ht="49" thickTop="1" thickBot="1" x14ac:dyDescent="0.6">
      <c r="AG209" s="15"/>
      <c r="AH209" s="15">
        <f t="shared" si="55"/>
        <v>206</v>
      </c>
      <c r="AI209" s="16">
        <f t="shared" si="50"/>
        <v>80562.850908944965</v>
      </c>
      <c r="AJ209" s="44">
        <f t="shared" si="51"/>
        <v>39614.540164887789</v>
      </c>
      <c r="AK209" s="45">
        <f t="shared" si="52"/>
        <v>40948.310744057177</v>
      </c>
      <c r="AL209" s="16">
        <f t="shared" si="56"/>
        <v>5420160.2257094048</v>
      </c>
      <c r="AM209" s="17">
        <f t="shared" si="53"/>
        <v>0.49172217365621246</v>
      </c>
      <c r="AN209" s="17">
        <f t="shared" si="54"/>
        <v>0.5082778263437876</v>
      </c>
    </row>
    <row r="210" spans="33:40" ht="49" thickTop="1" thickBot="1" x14ac:dyDescent="0.6">
      <c r="AG210" s="15"/>
      <c r="AH210" s="15">
        <f t="shared" si="55"/>
        <v>207</v>
      </c>
      <c r="AI210" s="16">
        <f t="shared" si="50"/>
        <v>80562.850908944965</v>
      </c>
      <c r="AJ210" s="44">
        <f t="shared" si="51"/>
        <v>39911.649216124446</v>
      </c>
      <c r="AK210" s="45">
        <f t="shared" si="52"/>
        <v>40651.201692820519</v>
      </c>
      <c r="AL210" s="16">
        <f t="shared" si="56"/>
        <v>5380248.57649328</v>
      </c>
      <c r="AM210" s="17">
        <f t="shared" si="53"/>
        <v>0.495410089958634</v>
      </c>
      <c r="AN210" s="17">
        <f t="shared" si="54"/>
        <v>0.504589910041366</v>
      </c>
    </row>
    <row r="211" spans="33:40" ht="49" thickTop="1" thickBot="1" x14ac:dyDescent="0.6">
      <c r="AG211" s="15"/>
      <c r="AH211" s="15">
        <f t="shared" si="55"/>
        <v>208</v>
      </c>
      <c r="AI211" s="16">
        <f t="shared" si="50"/>
        <v>80562.850908944965</v>
      </c>
      <c r="AJ211" s="44">
        <f t="shared" si="51"/>
        <v>40210.986585245373</v>
      </c>
      <c r="AK211" s="45">
        <f t="shared" si="52"/>
        <v>40351.864323699592</v>
      </c>
      <c r="AL211" s="16">
        <f t="shared" si="56"/>
        <v>5340037.5899080345</v>
      </c>
      <c r="AM211" s="17">
        <f t="shared" si="53"/>
        <v>0.49912566563332372</v>
      </c>
      <c r="AN211" s="17">
        <f t="shared" si="54"/>
        <v>0.50087433436667628</v>
      </c>
    </row>
    <row r="212" spans="33:40" ht="49" thickTop="1" thickBot="1" x14ac:dyDescent="0.6">
      <c r="AG212" s="15"/>
      <c r="AH212" s="15">
        <f t="shared" si="55"/>
        <v>209</v>
      </c>
      <c r="AI212" s="16">
        <f t="shared" si="50"/>
        <v>80562.850908944965</v>
      </c>
      <c r="AJ212" s="44">
        <f t="shared" si="51"/>
        <v>40512.568984634723</v>
      </c>
      <c r="AK212" s="45">
        <f t="shared" si="52"/>
        <v>40050.281924310242</v>
      </c>
      <c r="AL212" s="16">
        <f t="shared" si="56"/>
        <v>5299525.0209233994</v>
      </c>
      <c r="AM212" s="17">
        <f t="shared" si="53"/>
        <v>0.50286910812557373</v>
      </c>
      <c r="AN212" s="17">
        <f t="shared" si="54"/>
        <v>0.49713089187442627</v>
      </c>
    </row>
    <row r="213" spans="33:40" ht="49" thickTop="1" thickBot="1" x14ac:dyDescent="0.6">
      <c r="AG213" s="15"/>
      <c r="AH213" s="15">
        <f t="shared" si="55"/>
        <v>210</v>
      </c>
      <c r="AI213" s="16">
        <f t="shared" si="50"/>
        <v>80562.850908944965</v>
      </c>
      <c r="AJ213" s="44">
        <f t="shared" si="51"/>
        <v>40816.413252019483</v>
      </c>
      <c r="AK213" s="45">
        <f t="shared" si="52"/>
        <v>39746.437656925496</v>
      </c>
      <c r="AL213" s="16">
        <f t="shared" si="56"/>
        <v>5258708.60767138</v>
      </c>
      <c r="AM213" s="17">
        <f t="shared" si="53"/>
        <v>0.50664062643651553</v>
      </c>
      <c r="AN213" s="17">
        <f t="shared" si="54"/>
        <v>0.49335937356348464</v>
      </c>
    </row>
    <row r="214" spans="33:40" ht="49" thickTop="1" thickBot="1" x14ac:dyDescent="0.6">
      <c r="AG214" s="15"/>
      <c r="AH214" s="15">
        <f t="shared" si="55"/>
        <v>211</v>
      </c>
      <c r="AI214" s="16">
        <f t="shared" si="50"/>
        <v>80562.850908944965</v>
      </c>
      <c r="AJ214" s="44">
        <f t="shared" si="51"/>
        <v>41122.536351409624</v>
      </c>
      <c r="AK214" s="45">
        <f t="shared" si="52"/>
        <v>39440.314557535341</v>
      </c>
      <c r="AL214" s="16">
        <f t="shared" si="56"/>
        <v>5217586.0713199703</v>
      </c>
      <c r="AM214" s="17">
        <f t="shared" si="53"/>
        <v>0.51044043113478932</v>
      </c>
      <c r="AN214" s="17">
        <f t="shared" si="54"/>
        <v>0.48955956886521063</v>
      </c>
    </row>
    <row r="215" spans="33:40" ht="49" thickTop="1" thickBot="1" x14ac:dyDescent="0.6">
      <c r="AG215" s="15"/>
      <c r="AH215" s="15">
        <f t="shared" si="55"/>
        <v>212</v>
      </c>
      <c r="AI215" s="16">
        <f t="shared" si="50"/>
        <v>80562.850908944965</v>
      </c>
      <c r="AJ215" s="44">
        <f t="shared" si="51"/>
        <v>41430.955374045188</v>
      </c>
      <c r="AK215" s="45">
        <f t="shared" si="52"/>
        <v>39131.895534899777</v>
      </c>
      <c r="AL215" s="16">
        <f t="shared" si="56"/>
        <v>5176155.115945925</v>
      </c>
      <c r="AM215" s="17">
        <f t="shared" si="53"/>
        <v>0.51426873436830012</v>
      </c>
      <c r="AN215" s="17">
        <f t="shared" si="54"/>
        <v>0.48573126563169983</v>
      </c>
    </row>
    <row r="216" spans="33:40" ht="49" thickTop="1" thickBot="1" x14ac:dyDescent="0.6">
      <c r="AG216" s="15"/>
      <c r="AH216" s="15">
        <f t="shared" si="55"/>
        <v>213</v>
      </c>
      <c r="AI216" s="16">
        <f t="shared" si="50"/>
        <v>80562.850908944965</v>
      </c>
      <c r="AJ216" s="44">
        <f t="shared" si="51"/>
        <v>41741.68753935054</v>
      </c>
      <c r="AK216" s="45">
        <f t="shared" si="52"/>
        <v>38821.163369594426</v>
      </c>
      <c r="AL216" s="16">
        <f t="shared" si="56"/>
        <v>5134413.4284065748</v>
      </c>
      <c r="AM216" s="17">
        <f t="shared" si="53"/>
        <v>0.51812574987606252</v>
      </c>
      <c r="AN216" s="17">
        <f t="shared" si="54"/>
        <v>0.48187425012393742</v>
      </c>
    </row>
    <row r="217" spans="33:40" ht="49" thickTop="1" thickBot="1" x14ac:dyDescent="0.6">
      <c r="AG217" s="15"/>
      <c r="AH217" s="15">
        <f t="shared" si="55"/>
        <v>214</v>
      </c>
      <c r="AI217" s="16">
        <f t="shared" si="50"/>
        <v>80562.850908944965</v>
      </c>
      <c r="AJ217" s="44">
        <f t="shared" si="51"/>
        <v>42054.750195895664</v>
      </c>
      <c r="AK217" s="45">
        <f t="shared" si="52"/>
        <v>38508.100713049302</v>
      </c>
      <c r="AL217" s="16">
        <f t="shared" si="56"/>
        <v>5092358.6782106794</v>
      </c>
      <c r="AM217" s="17">
        <f t="shared" si="53"/>
        <v>0.52201169300013295</v>
      </c>
      <c r="AN217" s="17">
        <f t="shared" si="54"/>
        <v>0.477988306999867</v>
      </c>
    </row>
    <row r="218" spans="33:40" ht="49" thickTop="1" thickBot="1" x14ac:dyDescent="0.6">
      <c r="AG218" s="15"/>
      <c r="AH218" s="15">
        <f t="shared" si="55"/>
        <v>215</v>
      </c>
      <c r="AI218" s="16">
        <f t="shared" si="50"/>
        <v>80562.850908944965</v>
      </c>
      <c r="AJ218" s="44">
        <f t="shared" si="51"/>
        <v>42370.16082236488</v>
      </c>
      <c r="AK218" s="45">
        <f t="shared" si="52"/>
        <v>38192.690086580078</v>
      </c>
      <c r="AL218" s="16">
        <f t="shared" si="56"/>
        <v>5049988.5173883149</v>
      </c>
      <c r="AM218" s="17">
        <f t="shared" si="53"/>
        <v>0.52592678069763399</v>
      </c>
      <c r="AN218" s="17">
        <f t="shared" si="54"/>
        <v>0.47407321930236596</v>
      </c>
    </row>
    <row r="219" spans="33:40" ht="49" thickTop="1" thickBot="1" x14ac:dyDescent="0.6">
      <c r="AG219" s="15"/>
      <c r="AH219" s="15">
        <f t="shared" si="55"/>
        <v>216</v>
      </c>
      <c r="AI219" s="16">
        <f t="shared" si="50"/>
        <v>80562.850908944965</v>
      </c>
      <c r="AJ219" s="44">
        <f t="shared" si="51"/>
        <v>42687.937028532615</v>
      </c>
      <c r="AK219" s="45">
        <f t="shared" si="52"/>
        <v>37874.913880412343</v>
      </c>
      <c r="AL219" s="16">
        <f t="shared" si="56"/>
        <v>5007300.5803597821</v>
      </c>
      <c r="AM219" s="17">
        <f t="shared" si="53"/>
        <v>0.5298712315528662</v>
      </c>
      <c r="AN219" s="17">
        <f t="shared" si="54"/>
        <v>0.47012876844713369</v>
      </c>
    </row>
    <row r="220" spans="33:40" ht="49" thickTop="1" thickBot="1" x14ac:dyDescent="0.6">
      <c r="AG220" s="15">
        <f>IF(AH220= "NA", "NA",19)</f>
        <v>19</v>
      </c>
      <c r="AH220" s="15">
        <f t="shared" si="55"/>
        <v>217</v>
      </c>
      <c r="AI220" s="16">
        <f t="shared" si="50"/>
        <v>80562.850908944965</v>
      </c>
      <c r="AJ220" s="44">
        <f t="shared" si="51"/>
        <v>43008.096556246615</v>
      </c>
      <c r="AK220" s="45">
        <f t="shared" si="52"/>
        <v>37554.754352698357</v>
      </c>
      <c r="AL220" s="16">
        <f t="shared" si="56"/>
        <v>4964292.4838035358</v>
      </c>
      <c r="AM220" s="17">
        <f t="shared" si="53"/>
        <v>0.53384526578951275</v>
      </c>
      <c r="AN220" s="17">
        <f t="shared" si="54"/>
        <v>0.46615473421048731</v>
      </c>
    </row>
    <row r="221" spans="33:40" ht="49" thickTop="1" thickBot="1" x14ac:dyDescent="0.6">
      <c r="AG221" s="15"/>
      <c r="AH221" s="15">
        <f t="shared" si="55"/>
        <v>218</v>
      </c>
      <c r="AI221" s="16">
        <f t="shared" si="50"/>
        <v>80562.850908944965</v>
      </c>
      <c r="AJ221" s="44">
        <f t="shared" si="51"/>
        <v>43330.657280418462</v>
      </c>
      <c r="AK221" s="45">
        <f t="shared" si="52"/>
        <v>37232.193628526504</v>
      </c>
      <c r="AL221" s="16">
        <f t="shared" si="56"/>
        <v>4920961.8265231177</v>
      </c>
      <c r="AM221" s="17">
        <f t="shared" si="53"/>
        <v>0.53784910528293406</v>
      </c>
      <c r="AN221" s="17">
        <f t="shared" si="54"/>
        <v>0.46215089471706594</v>
      </c>
    </row>
    <row r="222" spans="33:40" ht="49" thickTop="1" thickBot="1" x14ac:dyDescent="0.6">
      <c r="AG222" s="15"/>
      <c r="AH222" s="15">
        <f t="shared" si="55"/>
        <v>219</v>
      </c>
      <c r="AI222" s="16">
        <f t="shared" si="50"/>
        <v>80562.850908944965</v>
      </c>
      <c r="AJ222" s="44">
        <f t="shared" si="51"/>
        <v>43655.637210021603</v>
      </c>
      <c r="AK222" s="45">
        <f t="shared" si="52"/>
        <v>36907.21369892337</v>
      </c>
      <c r="AL222" s="16">
        <f t="shared" si="56"/>
        <v>4877306.189313096</v>
      </c>
      <c r="AM222" s="17">
        <f t="shared" si="53"/>
        <v>0.5418829735725561</v>
      </c>
      <c r="AN222" s="17">
        <f t="shared" si="54"/>
        <v>0.45811702642744395</v>
      </c>
    </row>
    <row r="223" spans="33:40" ht="49" thickTop="1" thickBot="1" x14ac:dyDescent="0.6">
      <c r="AG223" s="15"/>
      <c r="AH223" s="15">
        <f t="shared" si="55"/>
        <v>220</v>
      </c>
      <c r="AI223" s="16">
        <f t="shared" si="50"/>
        <v>80562.850908944965</v>
      </c>
      <c r="AJ223" s="44">
        <f t="shared" si="51"/>
        <v>43983.054489096758</v>
      </c>
      <c r="AK223" s="45">
        <f t="shared" si="52"/>
        <v>36579.7964198482</v>
      </c>
      <c r="AL223" s="16">
        <f t="shared" si="56"/>
        <v>4833323.1348239994</v>
      </c>
      <c r="AM223" s="17">
        <f t="shared" si="53"/>
        <v>0.5459470958743502</v>
      </c>
      <c r="AN223" s="17">
        <f t="shared" si="54"/>
        <v>0.45405290412564969</v>
      </c>
    </row>
    <row r="224" spans="33:40" ht="49" thickTop="1" thickBot="1" x14ac:dyDescent="0.6">
      <c r="AG224" s="15"/>
      <c r="AH224" s="15">
        <f t="shared" si="55"/>
        <v>221</v>
      </c>
      <c r="AI224" s="16">
        <f t="shared" si="50"/>
        <v>80562.850908944965</v>
      </c>
      <c r="AJ224" s="44">
        <f t="shared" si="51"/>
        <v>44312.927397764994</v>
      </c>
      <c r="AK224" s="45">
        <f t="shared" si="52"/>
        <v>36249.923511179964</v>
      </c>
      <c r="AL224" s="16">
        <f t="shared" si="56"/>
        <v>4789010.2074262341</v>
      </c>
      <c r="AM224" s="17">
        <f t="shared" si="53"/>
        <v>0.55004169909340794</v>
      </c>
      <c r="AN224" s="17">
        <f t="shared" si="54"/>
        <v>0.44995830090659195</v>
      </c>
    </row>
    <row r="225" spans="33:40" ht="49" thickTop="1" thickBot="1" x14ac:dyDescent="0.6">
      <c r="AG225" s="15"/>
      <c r="AH225" s="15">
        <f t="shared" si="55"/>
        <v>222</v>
      </c>
      <c r="AI225" s="16">
        <f t="shared" si="50"/>
        <v>80562.850908944965</v>
      </c>
      <c r="AJ225" s="44">
        <f t="shared" si="51"/>
        <v>44645.274353248227</v>
      </c>
      <c r="AK225" s="45">
        <f t="shared" si="52"/>
        <v>35917.576555696738</v>
      </c>
      <c r="AL225" s="16">
        <f t="shared" si="56"/>
        <v>4744364.9330729861</v>
      </c>
      <c r="AM225" s="17">
        <f t="shared" si="53"/>
        <v>0.55416701183660844</v>
      </c>
      <c r="AN225" s="17">
        <f t="shared" si="54"/>
        <v>0.44583298816339156</v>
      </c>
    </row>
    <row r="226" spans="33:40" ht="49" thickTop="1" thickBot="1" x14ac:dyDescent="0.6">
      <c r="AG226" s="15"/>
      <c r="AH226" s="15">
        <f t="shared" si="55"/>
        <v>223</v>
      </c>
      <c r="AI226" s="16">
        <f t="shared" si="50"/>
        <v>80562.850908944965</v>
      </c>
      <c r="AJ226" s="44">
        <f t="shared" si="51"/>
        <v>44980.113910897591</v>
      </c>
      <c r="AK226" s="45">
        <f t="shared" si="52"/>
        <v>35582.736998047381</v>
      </c>
      <c r="AL226" s="16">
        <f t="shared" si="56"/>
        <v>4699384.8191620884</v>
      </c>
      <c r="AM226" s="17">
        <f t="shared" si="53"/>
        <v>0.55832326442538305</v>
      </c>
      <c r="AN226" s="17">
        <f t="shared" si="54"/>
        <v>0.44167673557461706</v>
      </c>
    </row>
    <row r="227" spans="33:40" ht="49" thickTop="1" thickBot="1" x14ac:dyDescent="0.6">
      <c r="AG227" s="15"/>
      <c r="AH227" s="15">
        <f t="shared" si="55"/>
        <v>224</v>
      </c>
      <c r="AI227" s="16">
        <f t="shared" si="50"/>
        <v>80562.850908944965</v>
      </c>
      <c r="AJ227" s="44">
        <f t="shared" si="51"/>
        <v>45317.464765229321</v>
      </c>
      <c r="AK227" s="45">
        <f t="shared" si="52"/>
        <v>35245.386143715645</v>
      </c>
      <c r="AL227" s="16">
        <f t="shared" si="56"/>
        <v>4654067.3543968592</v>
      </c>
      <c r="AM227" s="17">
        <f t="shared" si="53"/>
        <v>0.56251068890857336</v>
      </c>
      <c r="AN227" s="17">
        <f t="shared" si="54"/>
        <v>0.43748931109142658</v>
      </c>
    </row>
    <row r="228" spans="33:40" ht="49" thickTop="1" thickBot="1" x14ac:dyDescent="0.6">
      <c r="AG228" s="15"/>
      <c r="AH228" s="15">
        <f t="shared" si="55"/>
        <v>225</v>
      </c>
      <c r="AI228" s="16">
        <f t="shared" si="50"/>
        <v>80562.850908944965</v>
      </c>
      <c r="AJ228" s="44">
        <f t="shared" si="51"/>
        <v>45657.345750968547</v>
      </c>
      <c r="AK228" s="45">
        <f t="shared" si="52"/>
        <v>34905.505157976419</v>
      </c>
      <c r="AL228" s="16">
        <f t="shared" si="56"/>
        <v>4608410.0086458903</v>
      </c>
      <c r="AM228" s="17">
        <f t="shared" si="53"/>
        <v>0.56672951907538782</v>
      </c>
      <c r="AN228" s="17">
        <f t="shared" si="54"/>
        <v>0.43327048092461223</v>
      </c>
    </row>
    <row r="229" spans="33:40" ht="49" thickTop="1" thickBot="1" x14ac:dyDescent="0.6">
      <c r="AG229" s="15"/>
      <c r="AH229" s="15">
        <f t="shared" si="55"/>
        <v>226</v>
      </c>
      <c r="AI229" s="16">
        <f t="shared" si="50"/>
        <v>80562.850908944965</v>
      </c>
      <c r="AJ229" s="44">
        <f t="shared" si="51"/>
        <v>45999.775844100812</v>
      </c>
      <c r="AK229" s="45">
        <f t="shared" si="52"/>
        <v>34563.075064844161</v>
      </c>
      <c r="AL229" s="16">
        <f t="shared" si="56"/>
        <v>4562410.2328017894</v>
      </c>
      <c r="AM229" s="17">
        <f t="shared" si="53"/>
        <v>0.57097999046845316</v>
      </c>
      <c r="AN229" s="17">
        <f t="shared" si="54"/>
        <v>0.4290200095315469</v>
      </c>
    </row>
    <row r="230" spans="33:40" ht="49" thickTop="1" thickBot="1" x14ac:dyDescent="0.6">
      <c r="AG230" s="15"/>
      <c r="AH230" s="15">
        <f t="shared" si="55"/>
        <v>227</v>
      </c>
      <c r="AI230" s="16">
        <f t="shared" si="50"/>
        <v>80562.850908944965</v>
      </c>
      <c r="AJ230" s="44">
        <f t="shared" si="51"/>
        <v>46344.774162931557</v>
      </c>
      <c r="AK230" s="45">
        <f t="shared" si="52"/>
        <v>34218.076746013408</v>
      </c>
      <c r="AL230" s="16">
        <f t="shared" si="56"/>
        <v>4516065.4586388581</v>
      </c>
      <c r="AM230" s="17">
        <f t="shared" si="53"/>
        <v>0.57526234039696644</v>
      </c>
      <c r="AN230" s="17">
        <f t="shared" si="54"/>
        <v>0.42473765960303356</v>
      </c>
    </row>
    <row r="231" spans="33:40" ht="49" thickTop="1" thickBot="1" x14ac:dyDescent="0.6">
      <c r="AG231" s="15"/>
      <c r="AH231" s="15">
        <f t="shared" si="55"/>
        <v>228</v>
      </c>
      <c r="AI231" s="16">
        <f t="shared" si="50"/>
        <v>80562.850908944965</v>
      </c>
      <c r="AJ231" s="44">
        <f t="shared" si="51"/>
        <v>46692.359969153549</v>
      </c>
      <c r="AK231" s="45">
        <f t="shared" si="52"/>
        <v>33870.490939791423</v>
      </c>
      <c r="AL231" s="16">
        <f t="shared" si="56"/>
        <v>4469373.098669704</v>
      </c>
      <c r="AM231" s="17">
        <f t="shared" si="53"/>
        <v>0.57957680794994382</v>
      </c>
      <c r="AN231" s="17">
        <f t="shared" si="54"/>
        <v>0.42042319205005629</v>
      </c>
    </row>
    <row r="232" spans="33:40" ht="49" thickTop="1" thickBot="1" x14ac:dyDescent="0.6">
      <c r="AG232" s="15">
        <f>IF(AH232= "NA", "NA",20)</f>
        <v>20</v>
      </c>
      <c r="AH232" s="15">
        <f t="shared" si="55"/>
        <v>229</v>
      </c>
      <c r="AI232" s="16">
        <f t="shared" si="50"/>
        <v>80562.850908944965</v>
      </c>
      <c r="AJ232" s="44">
        <f t="shared" si="51"/>
        <v>47042.552668922202</v>
      </c>
      <c r="AK232" s="45">
        <f t="shared" si="52"/>
        <v>33520.298240022763</v>
      </c>
      <c r="AL232" s="16">
        <f t="shared" si="56"/>
        <v>4422330.5460007815</v>
      </c>
      <c r="AM232" s="17">
        <f t="shared" si="53"/>
        <v>0.58392363400956837</v>
      </c>
      <c r="AN232" s="17">
        <f t="shared" si="54"/>
        <v>0.41607636599043163</v>
      </c>
    </row>
    <row r="233" spans="33:40" ht="49" thickTop="1" thickBot="1" x14ac:dyDescent="0.6">
      <c r="AG233" s="15"/>
      <c r="AH233" s="15">
        <f t="shared" si="55"/>
        <v>230</v>
      </c>
      <c r="AI233" s="16">
        <f t="shared" si="50"/>
        <v>80562.850908944965</v>
      </c>
      <c r="AJ233" s="44">
        <f t="shared" si="51"/>
        <v>47395.37181393912</v>
      </c>
      <c r="AK233" s="45">
        <f t="shared" si="52"/>
        <v>33167.479095005852</v>
      </c>
      <c r="AL233" s="16">
        <f t="shared" si="56"/>
        <v>4374935.1741868425</v>
      </c>
      <c r="AM233" s="17">
        <f t="shared" si="53"/>
        <v>0.58830306126464016</v>
      </c>
      <c r="AN233" s="17">
        <f t="shared" si="54"/>
        <v>0.41169693873535995</v>
      </c>
    </row>
    <row r="234" spans="33:40" ht="49" thickTop="1" thickBot="1" x14ac:dyDescent="0.6">
      <c r="AG234" s="15"/>
      <c r="AH234" s="15">
        <f t="shared" si="55"/>
        <v>231</v>
      </c>
      <c r="AI234" s="16">
        <f t="shared" si="50"/>
        <v>80562.850908944965</v>
      </c>
      <c r="AJ234" s="44">
        <f t="shared" si="51"/>
        <v>47750.837102543665</v>
      </c>
      <c r="AK234" s="45">
        <f t="shared" si="52"/>
        <v>32812.013806401308</v>
      </c>
      <c r="AL234" s="16">
        <f t="shared" si="56"/>
        <v>4327184.337084299</v>
      </c>
      <c r="AM234" s="17">
        <f t="shared" si="53"/>
        <v>0.59271533422412492</v>
      </c>
      <c r="AN234" s="17">
        <f t="shared" si="54"/>
        <v>0.40728466577587513</v>
      </c>
    </row>
    <row r="235" spans="33:40" ht="49" thickTop="1" thickBot="1" x14ac:dyDescent="0.6">
      <c r="AG235" s="15"/>
      <c r="AH235" s="15">
        <f t="shared" si="55"/>
        <v>232</v>
      </c>
      <c r="AI235" s="16">
        <f t="shared" si="50"/>
        <v>80562.850908944965</v>
      </c>
      <c r="AJ235" s="44">
        <f t="shared" si="51"/>
        <v>48108.968380812737</v>
      </c>
      <c r="AK235" s="45">
        <f t="shared" si="52"/>
        <v>32453.882528132228</v>
      </c>
      <c r="AL235" s="16">
        <f t="shared" si="56"/>
        <v>4279075.3687034864</v>
      </c>
      <c r="AM235" s="17">
        <f t="shared" si="53"/>
        <v>0.59716069923080584</v>
      </c>
      <c r="AN235" s="17">
        <f t="shared" si="54"/>
        <v>0.40283930076919416</v>
      </c>
    </row>
    <row r="236" spans="33:40" ht="49" thickTop="1" thickBot="1" x14ac:dyDescent="0.6">
      <c r="AG236" s="15"/>
      <c r="AH236" s="15">
        <f t="shared" si="55"/>
        <v>233</v>
      </c>
      <c r="AI236" s="16">
        <f t="shared" si="50"/>
        <v>80562.850908944965</v>
      </c>
      <c r="AJ236" s="44">
        <f t="shared" si="51"/>
        <v>48469.785643668838</v>
      </c>
      <c r="AK236" s="45">
        <f t="shared" si="52"/>
        <v>32093.065265276138</v>
      </c>
      <c r="AL236" s="16">
        <f t="shared" si="56"/>
        <v>4230605.5830598176</v>
      </c>
      <c r="AM236" s="17">
        <f t="shared" si="53"/>
        <v>0.60163940447503694</v>
      </c>
      <c r="AN236" s="17">
        <f t="shared" si="54"/>
        <v>0.39836059552496317</v>
      </c>
    </row>
    <row r="237" spans="33:40" ht="49" thickTop="1" thickBot="1" x14ac:dyDescent="0.6">
      <c r="AG237" s="15"/>
      <c r="AH237" s="15">
        <f t="shared" si="55"/>
        <v>234</v>
      </c>
      <c r="AI237" s="16">
        <f t="shared" si="50"/>
        <v>80562.850908944965</v>
      </c>
      <c r="AJ237" s="44">
        <f t="shared" si="51"/>
        <v>48833.309035996353</v>
      </c>
      <c r="AK237" s="45">
        <f t="shared" si="52"/>
        <v>31729.541872948615</v>
      </c>
      <c r="AL237" s="16">
        <f t="shared" si="56"/>
        <v>4181772.2740238211</v>
      </c>
      <c r="AM237" s="17">
        <f t="shared" si="53"/>
        <v>0.60615170000859975</v>
      </c>
      <c r="AN237" s="17">
        <f t="shared" si="54"/>
        <v>0.39384829999140031</v>
      </c>
    </row>
    <row r="238" spans="33:40" ht="49" thickTop="1" thickBot="1" x14ac:dyDescent="0.6">
      <c r="AG238" s="15"/>
      <c r="AH238" s="15">
        <f t="shared" si="55"/>
        <v>235</v>
      </c>
      <c r="AI238" s="16">
        <f t="shared" si="50"/>
        <v>80562.850908944965</v>
      </c>
      <c r="AJ238" s="44">
        <f t="shared" si="51"/>
        <v>49199.558853766321</v>
      </c>
      <c r="AK238" s="45">
        <f t="shared" si="52"/>
        <v>31363.292055178645</v>
      </c>
      <c r="AL238" s="16">
        <f t="shared" si="56"/>
        <v>4132572.7151700547</v>
      </c>
      <c r="AM238" s="17">
        <f t="shared" si="53"/>
        <v>0.61069783775866415</v>
      </c>
      <c r="AN238" s="17">
        <f t="shared" si="54"/>
        <v>0.38930216224133585</v>
      </c>
    </row>
    <row r="239" spans="33:40" ht="49" thickTop="1" thickBot="1" x14ac:dyDescent="0.6">
      <c r="AG239" s="15"/>
      <c r="AH239" s="15">
        <f t="shared" si="55"/>
        <v>236</v>
      </c>
      <c r="AI239" s="16">
        <f t="shared" si="50"/>
        <v>80562.850908944965</v>
      </c>
      <c r="AJ239" s="44">
        <f t="shared" si="51"/>
        <v>49568.555545169562</v>
      </c>
      <c r="AK239" s="45">
        <f t="shared" si="52"/>
        <v>30994.295363775396</v>
      </c>
      <c r="AL239" s="16">
        <f t="shared" si="56"/>
        <v>4083004.1596248853</v>
      </c>
      <c r="AM239" s="17">
        <f t="shared" si="53"/>
        <v>0.6152780715418541</v>
      </c>
      <c r="AN239" s="17">
        <f t="shared" si="54"/>
        <v>0.38472192845814585</v>
      </c>
    </row>
    <row r="240" spans="33:40" ht="49" thickTop="1" thickBot="1" x14ac:dyDescent="0.6">
      <c r="AG240" s="15"/>
      <c r="AH240" s="15">
        <f t="shared" si="55"/>
        <v>237</v>
      </c>
      <c r="AI240" s="16">
        <f t="shared" si="50"/>
        <v>80562.850908944965</v>
      </c>
      <c r="AJ240" s="44">
        <f t="shared" si="51"/>
        <v>49940.31971175834</v>
      </c>
      <c r="AK240" s="45">
        <f t="shared" si="52"/>
        <v>30622.531197186629</v>
      </c>
      <c r="AL240" s="16">
        <f t="shared" si="56"/>
        <v>4033063.839913127</v>
      </c>
      <c r="AM240" s="17">
        <f t="shared" si="53"/>
        <v>0.61989265707841801</v>
      </c>
      <c r="AN240" s="17">
        <f t="shared" si="54"/>
        <v>0.38010734292158199</v>
      </c>
    </row>
    <row r="241" spans="33:40" ht="49" thickTop="1" thickBot="1" x14ac:dyDescent="0.6">
      <c r="AG241" s="15"/>
      <c r="AH241" s="15">
        <f t="shared" si="55"/>
        <v>238</v>
      </c>
      <c r="AI241" s="16">
        <f t="shared" si="50"/>
        <v>80562.850908944965</v>
      </c>
      <c r="AJ241" s="44">
        <f t="shared" si="51"/>
        <v>50314.87210959653</v>
      </c>
      <c r="AK241" s="45">
        <f t="shared" si="52"/>
        <v>30247.978799348439</v>
      </c>
      <c r="AL241" s="16">
        <f t="shared" si="56"/>
        <v>3982748.9678035304</v>
      </c>
      <c r="AM241" s="17">
        <f t="shared" si="53"/>
        <v>0.62454185200650625</v>
      </c>
      <c r="AN241" s="17">
        <f t="shared" si="54"/>
        <v>0.37545814799349386</v>
      </c>
    </row>
    <row r="242" spans="33:40" ht="49" thickTop="1" thickBot="1" x14ac:dyDescent="0.6">
      <c r="AG242" s="15"/>
      <c r="AH242" s="15">
        <f t="shared" si="55"/>
        <v>239</v>
      </c>
      <c r="AI242" s="16">
        <f t="shared" si="50"/>
        <v>80562.850908944965</v>
      </c>
      <c r="AJ242" s="44">
        <f t="shared" si="51"/>
        <v>50692.233650418508</v>
      </c>
      <c r="AK242" s="45">
        <f t="shared" si="52"/>
        <v>29870.617258526461</v>
      </c>
      <c r="AL242" s="16">
        <f t="shared" si="56"/>
        <v>3932056.7341531119</v>
      </c>
      <c r="AM242" s="17">
        <f t="shared" si="53"/>
        <v>0.62922591589655508</v>
      </c>
      <c r="AN242" s="17">
        <f t="shared" si="54"/>
        <v>0.37077408410344498</v>
      </c>
    </row>
    <row r="243" spans="33:40" ht="49" thickTop="1" thickBot="1" x14ac:dyDescent="0.6">
      <c r="AG243" s="15"/>
      <c r="AH243" s="15">
        <f t="shared" si="55"/>
        <v>240</v>
      </c>
      <c r="AI243" s="16">
        <f t="shared" si="50"/>
        <v>80562.850908944965</v>
      </c>
      <c r="AJ243" s="44">
        <f t="shared" si="51"/>
        <v>51072.425402796645</v>
      </c>
      <c r="AK243" s="45">
        <f t="shared" si="52"/>
        <v>29490.425506148327</v>
      </c>
      <c r="AL243" s="16">
        <f t="shared" si="56"/>
        <v>3880984.3087503151</v>
      </c>
      <c r="AM243" s="17">
        <f t="shared" si="53"/>
        <v>0.63394511026577915</v>
      </c>
      <c r="AN243" s="17">
        <f t="shared" si="54"/>
        <v>0.3660548897342209</v>
      </c>
    </row>
    <row r="244" spans="33:40" ht="49" thickTop="1" thickBot="1" x14ac:dyDescent="0.6">
      <c r="AG244" s="15">
        <f>IF(AH244= "NA", "NA",21)</f>
        <v>21</v>
      </c>
      <c r="AH244" s="15">
        <f t="shared" si="55"/>
        <v>241</v>
      </c>
      <c r="AI244" s="16">
        <f t="shared" si="50"/>
        <v>80562.850908944965</v>
      </c>
      <c r="AJ244" s="44">
        <f t="shared" si="51"/>
        <v>51455.468593317615</v>
      </c>
      <c r="AK244" s="45">
        <f t="shared" si="52"/>
        <v>29107.38231562735</v>
      </c>
      <c r="AL244" s="16">
        <f t="shared" si="56"/>
        <v>3829528.8401569976</v>
      </c>
      <c r="AM244" s="17">
        <f t="shared" si="53"/>
        <v>0.63869969859277242</v>
      </c>
      <c r="AN244" s="17">
        <f t="shared" si="54"/>
        <v>0.36130030140722752</v>
      </c>
    </row>
    <row r="245" spans="33:40" ht="49" thickTop="1" thickBot="1" x14ac:dyDescent="0.6">
      <c r="AG245" s="15"/>
      <c r="AH245" s="15">
        <f t="shared" si="55"/>
        <v>242</v>
      </c>
      <c r="AI245" s="16">
        <f t="shared" si="50"/>
        <v>80562.850908944965</v>
      </c>
      <c r="AJ245" s="44">
        <f t="shared" si="51"/>
        <v>51841.38460776749</v>
      </c>
      <c r="AK245" s="45">
        <f t="shared" si="52"/>
        <v>28721.466301177468</v>
      </c>
      <c r="AL245" s="16">
        <f t="shared" si="56"/>
        <v>3777687.4555492299</v>
      </c>
      <c r="AM245" s="17">
        <f t="shared" si="53"/>
        <v>0.64348994633221812</v>
      </c>
      <c r="AN245" s="17">
        <f t="shared" si="54"/>
        <v>0.35651005366778171</v>
      </c>
    </row>
    <row r="246" spans="33:40" ht="49" thickTop="1" thickBot="1" x14ac:dyDescent="0.6">
      <c r="AG246" s="15"/>
      <c r="AH246" s="15">
        <f t="shared" si="55"/>
        <v>243</v>
      </c>
      <c r="AI246" s="16">
        <f t="shared" si="50"/>
        <v>80562.850908944965</v>
      </c>
      <c r="AJ246" s="44">
        <f t="shared" si="51"/>
        <v>52230.194992325756</v>
      </c>
      <c r="AK246" s="45">
        <f t="shared" si="52"/>
        <v>28332.655916619213</v>
      </c>
      <c r="AL246" s="16">
        <f t="shared" si="56"/>
        <v>3725457.2605569041</v>
      </c>
      <c r="AM246" s="17">
        <f t="shared" si="53"/>
        <v>0.64831612092970992</v>
      </c>
      <c r="AN246" s="17">
        <f t="shared" si="54"/>
        <v>0.35168387907029008</v>
      </c>
    </row>
    <row r="247" spans="33:40" ht="49" thickTop="1" thickBot="1" x14ac:dyDescent="0.6">
      <c r="AG247" s="15"/>
      <c r="AH247" s="15">
        <f t="shared" si="55"/>
        <v>244</v>
      </c>
      <c r="AI247" s="16">
        <f t="shared" si="50"/>
        <v>80562.850908944965</v>
      </c>
      <c r="AJ247" s="44">
        <f t="shared" si="51"/>
        <v>52621.921454768199</v>
      </c>
      <c r="AK247" s="45">
        <f t="shared" si="52"/>
        <v>27940.929454176767</v>
      </c>
      <c r="AL247" s="16">
        <f t="shared" si="56"/>
        <v>3672835.339102136</v>
      </c>
      <c r="AM247" s="17">
        <f t="shared" si="53"/>
        <v>0.65317849183668275</v>
      </c>
      <c r="AN247" s="17">
        <f t="shared" si="54"/>
        <v>0.34682150816331725</v>
      </c>
    </row>
    <row r="248" spans="33:40" ht="49" thickTop="1" thickBot="1" x14ac:dyDescent="0.6">
      <c r="AG248" s="15"/>
      <c r="AH248" s="15">
        <f t="shared" si="55"/>
        <v>245</v>
      </c>
      <c r="AI248" s="16">
        <f t="shared" si="50"/>
        <v>80562.850908944965</v>
      </c>
      <c r="AJ248" s="44">
        <f t="shared" si="51"/>
        <v>53016.585865678957</v>
      </c>
      <c r="AK248" s="45">
        <f t="shared" si="52"/>
        <v>27546.265043266008</v>
      </c>
      <c r="AL248" s="16">
        <f t="shared" si="56"/>
        <v>3619818.7532364572</v>
      </c>
      <c r="AM248" s="17">
        <f t="shared" si="53"/>
        <v>0.6580773305254578</v>
      </c>
      <c r="AN248" s="17">
        <f t="shared" si="54"/>
        <v>0.34192266947454214</v>
      </c>
    </row>
    <row r="249" spans="33:40" ht="49" thickTop="1" thickBot="1" x14ac:dyDescent="0.6">
      <c r="AG249" s="15"/>
      <c r="AH249" s="15">
        <f t="shared" si="55"/>
        <v>246</v>
      </c>
      <c r="AI249" s="16">
        <f t="shared" si="50"/>
        <v>80562.850908944965</v>
      </c>
      <c r="AJ249" s="44">
        <f t="shared" si="51"/>
        <v>53414.210259671556</v>
      </c>
      <c r="AK249" s="45">
        <f t="shared" si="52"/>
        <v>27148.640649273417</v>
      </c>
      <c r="AL249" s="16">
        <f t="shared" si="56"/>
        <v>3566404.5429767855</v>
      </c>
      <c r="AM249" s="17">
        <f t="shared" si="53"/>
        <v>0.66301291050439881</v>
      </c>
      <c r="AN249" s="17">
        <f t="shared" si="54"/>
        <v>0.33698708949560124</v>
      </c>
    </row>
    <row r="250" spans="33:40" ht="49" thickTop="1" thickBot="1" x14ac:dyDescent="0.6">
      <c r="AG250" s="15"/>
      <c r="AH250" s="15">
        <f t="shared" si="55"/>
        <v>247</v>
      </c>
      <c r="AI250" s="16">
        <f t="shared" si="50"/>
        <v>80562.850908944965</v>
      </c>
      <c r="AJ250" s="44">
        <f t="shared" si="51"/>
        <v>53814.816836619088</v>
      </c>
      <c r="AK250" s="45">
        <f t="shared" si="52"/>
        <v>26748.034072325874</v>
      </c>
      <c r="AL250" s="16">
        <f t="shared" si="56"/>
        <v>3512589.7261401662</v>
      </c>
      <c r="AM250" s="17">
        <f t="shared" si="53"/>
        <v>0.66798550733318174</v>
      </c>
      <c r="AN250" s="17">
        <f t="shared" si="54"/>
        <v>0.33201449266681815</v>
      </c>
    </row>
    <row r="251" spans="33:40" ht="49" thickTop="1" thickBot="1" x14ac:dyDescent="0.6">
      <c r="AG251" s="15"/>
      <c r="AH251" s="15">
        <f t="shared" si="55"/>
        <v>248</v>
      </c>
      <c r="AI251" s="16">
        <f t="shared" si="50"/>
        <v>80562.850908944965</v>
      </c>
      <c r="AJ251" s="44">
        <f t="shared" si="51"/>
        <v>54218.427962893722</v>
      </c>
      <c r="AK251" s="45">
        <f t="shared" si="52"/>
        <v>26344.422946051236</v>
      </c>
      <c r="AL251" s="16">
        <f t="shared" si="56"/>
        <v>3458371.2981772725</v>
      </c>
      <c r="AM251" s="17">
        <f t="shared" si="53"/>
        <v>0.67299539863818059</v>
      </c>
      <c r="AN251" s="17">
        <f t="shared" si="54"/>
        <v>0.32700460136181936</v>
      </c>
    </row>
    <row r="252" spans="33:40" ht="49" thickTop="1" thickBot="1" x14ac:dyDescent="0.6">
      <c r="AG252" s="15"/>
      <c r="AH252" s="15">
        <f t="shared" si="55"/>
        <v>249</v>
      </c>
      <c r="AI252" s="16">
        <f t="shared" si="50"/>
        <v>80562.850908944965</v>
      </c>
      <c r="AJ252" s="44">
        <f t="shared" si="51"/>
        <v>54625.066172615436</v>
      </c>
      <c r="AK252" s="45">
        <f t="shared" si="52"/>
        <v>25937.784736329533</v>
      </c>
      <c r="AL252" s="16">
        <f t="shared" si="56"/>
        <v>3403746.2320046569</v>
      </c>
      <c r="AM252" s="17">
        <f t="shared" si="53"/>
        <v>0.67804286412796699</v>
      </c>
      <c r="AN252" s="17">
        <f t="shared" si="54"/>
        <v>0.32195713587203301</v>
      </c>
    </row>
    <row r="253" spans="33:40" ht="49" thickTop="1" thickBot="1" x14ac:dyDescent="0.6">
      <c r="AG253" s="15"/>
      <c r="AH253" s="15">
        <f t="shared" si="55"/>
        <v>250</v>
      </c>
      <c r="AI253" s="16">
        <f t="shared" si="50"/>
        <v>80562.850908944965</v>
      </c>
      <c r="AJ253" s="44">
        <f t="shared" si="51"/>
        <v>55034.754168910054</v>
      </c>
      <c r="AK253" s="45">
        <f t="shared" si="52"/>
        <v>25528.096740034915</v>
      </c>
      <c r="AL253" s="16">
        <f t="shared" si="56"/>
        <v>3348711.4778357469</v>
      </c>
      <c r="AM253" s="17">
        <f t="shared" si="53"/>
        <v>0.68312818560892685</v>
      </c>
      <c r="AN253" s="17">
        <f t="shared" si="54"/>
        <v>0.31687181439107326</v>
      </c>
    </row>
    <row r="254" spans="33:40" ht="49" thickTop="1" thickBot="1" x14ac:dyDescent="0.6">
      <c r="AG254" s="15"/>
      <c r="AH254" s="15">
        <f t="shared" si="55"/>
        <v>251</v>
      </c>
      <c r="AI254" s="16">
        <f t="shared" si="50"/>
        <v>80562.850908944965</v>
      </c>
      <c r="AJ254" s="44">
        <f t="shared" si="51"/>
        <v>55447.514825176877</v>
      </c>
      <c r="AK254" s="45">
        <f t="shared" si="52"/>
        <v>25115.336083768088</v>
      </c>
      <c r="AL254" s="16">
        <f t="shared" si="56"/>
        <v>3293263.96301057</v>
      </c>
      <c r="AM254" s="17">
        <f t="shared" si="53"/>
        <v>0.68825164700099373</v>
      </c>
      <c r="AN254" s="17">
        <f t="shared" si="54"/>
        <v>0.31174835299900627</v>
      </c>
    </row>
    <row r="255" spans="33:40" ht="49" thickTop="1" thickBot="1" x14ac:dyDescent="0.6">
      <c r="AG255" s="15"/>
      <c r="AH255" s="15">
        <f t="shared" si="55"/>
        <v>252</v>
      </c>
      <c r="AI255" s="16">
        <f t="shared" si="50"/>
        <v>80562.850908944965</v>
      </c>
      <c r="AJ255" s="44">
        <f t="shared" si="51"/>
        <v>55863.371186365708</v>
      </c>
      <c r="AK255" s="45">
        <f t="shared" si="52"/>
        <v>24699.479722579268</v>
      </c>
      <c r="AL255" s="16">
        <f t="shared" si="56"/>
        <v>3237400.5918242042</v>
      </c>
      <c r="AM255" s="17">
        <f t="shared" si="53"/>
        <v>0.69341353435350128</v>
      </c>
      <c r="AN255" s="17">
        <f t="shared" si="54"/>
        <v>0.30658646564649888</v>
      </c>
    </row>
    <row r="256" spans="33:40" ht="49" thickTop="1" thickBot="1" x14ac:dyDescent="0.6">
      <c r="AG256" s="15">
        <f>IF(AH256= "NA", "NA",22)</f>
        <v>22</v>
      </c>
      <c r="AH256" s="15">
        <f t="shared" si="55"/>
        <v>253</v>
      </c>
      <c r="AI256" s="16">
        <f t="shared" si="50"/>
        <v>80562.850908944965</v>
      </c>
      <c r="AJ256" s="44">
        <f t="shared" si="51"/>
        <v>56282.346470263445</v>
      </c>
      <c r="AK256" s="45">
        <f t="shared" si="52"/>
        <v>24280.504438681521</v>
      </c>
      <c r="AL256" s="16">
        <f t="shared" si="56"/>
        <v>3181118.2453539409</v>
      </c>
      <c r="AM256" s="17">
        <f t="shared" si="53"/>
        <v>0.6986141358611524</v>
      </c>
      <c r="AN256" s="17">
        <f t="shared" si="54"/>
        <v>0.3013858641388476</v>
      </c>
    </row>
    <row r="257" spans="33:40" ht="49" thickTop="1" thickBot="1" x14ac:dyDescent="0.6">
      <c r="AG257" s="15"/>
      <c r="AH257" s="15">
        <f t="shared" si="55"/>
        <v>254</v>
      </c>
      <c r="AI257" s="16">
        <f t="shared" si="50"/>
        <v>80562.850908944965</v>
      </c>
      <c r="AJ257" s="44">
        <f t="shared" si="51"/>
        <v>56704.464068790425</v>
      </c>
      <c r="AK257" s="45">
        <f t="shared" si="52"/>
        <v>23858.386840154548</v>
      </c>
      <c r="AL257" s="16">
        <f t="shared" si="56"/>
        <v>3124413.7812851504</v>
      </c>
      <c r="AM257" s="17">
        <f t="shared" si="53"/>
        <v>0.70385374188011107</v>
      </c>
      <c r="AN257" s="17">
        <f t="shared" si="54"/>
        <v>0.29614625811988898</v>
      </c>
    </row>
    <row r="258" spans="33:40" ht="49" thickTop="1" thickBot="1" x14ac:dyDescent="0.6">
      <c r="AG258" s="15"/>
      <c r="AH258" s="15">
        <f t="shared" si="55"/>
        <v>255</v>
      </c>
      <c r="AI258" s="16">
        <f t="shared" si="50"/>
        <v>80562.850908944965</v>
      </c>
      <c r="AJ258" s="44">
        <f t="shared" si="51"/>
        <v>57129.747549306347</v>
      </c>
      <c r="AK258" s="45">
        <f t="shared" si="52"/>
        <v>23433.103359638619</v>
      </c>
      <c r="AL258" s="16">
        <f t="shared" si="56"/>
        <v>3067284.0337358443</v>
      </c>
      <c r="AM258" s="17">
        <f t="shared" si="53"/>
        <v>0.70913264494421191</v>
      </c>
      <c r="AN258" s="17">
        <f t="shared" si="54"/>
        <v>0.29086735505578815</v>
      </c>
    </row>
    <row r="259" spans="33:40" ht="49" thickTop="1" thickBot="1" x14ac:dyDescent="0.6">
      <c r="AG259" s="15"/>
      <c r="AH259" s="15">
        <f t="shared" si="55"/>
        <v>256</v>
      </c>
      <c r="AI259" s="16">
        <f t="shared" si="50"/>
        <v>80562.850908944965</v>
      </c>
      <c r="AJ259" s="44">
        <f t="shared" si="51"/>
        <v>57558.220655926147</v>
      </c>
      <c r="AK259" s="45">
        <f t="shared" si="52"/>
        <v>23004.630253018822</v>
      </c>
      <c r="AL259" s="16">
        <f t="shared" si="56"/>
        <v>3009725.8130799183</v>
      </c>
      <c r="AM259" s="17">
        <f t="shared" si="53"/>
        <v>0.71445113978129349</v>
      </c>
      <c r="AN259" s="17">
        <f t="shared" si="54"/>
        <v>0.28554886021870657</v>
      </c>
    </row>
    <row r="260" spans="33:40" ht="49" thickTop="1" thickBot="1" x14ac:dyDescent="0.6">
      <c r="AG260" s="15"/>
      <c r="AH260" s="15">
        <f t="shared" si="55"/>
        <v>257</v>
      </c>
      <c r="AI260" s="16">
        <f t="shared" si="50"/>
        <v>80562.850908944965</v>
      </c>
      <c r="AJ260" s="44">
        <f t="shared" si="51"/>
        <v>57989.907310845592</v>
      </c>
      <c r="AK260" s="45">
        <f t="shared" si="52"/>
        <v>22572.943598099373</v>
      </c>
      <c r="AL260" s="16">
        <f t="shared" si="56"/>
        <v>2951735.9057690725</v>
      </c>
      <c r="AM260" s="17">
        <f t="shared" si="53"/>
        <v>0.7198095233296532</v>
      </c>
      <c r="AN260" s="17">
        <f t="shared" si="54"/>
        <v>0.2801904766703468</v>
      </c>
    </row>
    <row r="261" spans="33:40" ht="49" thickTop="1" thickBot="1" x14ac:dyDescent="0.6">
      <c r="AG261" s="15"/>
      <c r="AH261" s="15">
        <f t="shared" si="55"/>
        <v>258</v>
      </c>
      <c r="AI261" s="16">
        <f t="shared" ref="AI261:AI324" si="57">IF(AH261= "NA",0,$D$9)</f>
        <v>80562.850908944965</v>
      </c>
      <c r="AJ261" s="44">
        <f t="shared" ref="AJ261:AJ324" si="58">IF(AH261= "NA",0,PPMT($D$7/12,AH261,$D$8*12,-$D$6,0))</f>
        <v>58424.831615676929</v>
      </c>
      <c r="AK261" s="45">
        <f t="shared" ref="AK261:AK324" si="59">IF(AH261= "NA", 0,IPMT($D$7/12,AH261,$D$8*12,-$D$6,0))</f>
        <v>22138.019293268033</v>
      </c>
      <c r="AL261" s="16">
        <f t="shared" si="56"/>
        <v>2893311.0741533954</v>
      </c>
      <c r="AM261" s="17">
        <f t="shared" ref="AM261:AM324" si="60">AJ261/AI261</f>
        <v>0.72520809475462555</v>
      </c>
      <c r="AN261" s="17">
        <f t="shared" ref="AN261:AN324" si="61">AK261/AI261</f>
        <v>0.27479190524537445</v>
      </c>
    </row>
    <row r="262" spans="33:40" ht="49" thickTop="1" thickBot="1" x14ac:dyDescent="0.6">
      <c r="AG262" s="15"/>
      <c r="AH262" s="15">
        <f t="shared" ref="AH262:AH325" si="62">IF(AH261&lt;$D$8*12,AH261+1, "NA")</f>
        <v>259</v>
      </c>
      <c r="AI262" s="16">
        <f t="shared" si="57"/>
        <v>80562.850908944965</v>
      </c>
      <c r="AJ262" s="44">
        <f t="shared" si="58"/>
        <v>58863.01785279451</v>
      </c>
      <c r="AK262" s="45">
        <f t="shared" si="59"/>
        <v>21699.833056150455</v>
      </c>
      <c r="AL262" s="16">
        <f t="shared" ref="AL262:AL325" si="63">IF(AH262= "NA", 0,AL261-AJ262)</f>
        <v>2834448.056300601</v>
      </c>
      <c r="AM262" s="17">
        <f t="shared" si="60"/>
        <v>0.73064715546528525</v>
      </c>
      <c r="AN262" s="17">
        <f t="shared" si="61"/>
        <v>0.26935284453471475</v>
      </c>
    </row>
    <row r="263" spans="33:40" ht="49" thickTop="1" thickBot="1" x14ac:dyDescent="0.6">
      <c r="AG263" s="15"/>
      <c r="AH263" s="15">
        <f t="shared" si="62"/>
        <v>260</v>
      </c>
      <c r="AI263" s="16">
        <f t="shared" si="57"/>
        <v>80562.850908944965</v>
      </c>
      <c r="AJ263" s="44">
        <f t="shared" si="58"/>
        <v>59304.490486690476</v>
      </c>
      <c r="AK263" s="45">
        <f t="shared" si="59"/>
        <v>21258.3604222545</v>
      </c>
      <c r="AL263" s="16">
        <f t="shared" si="63"/>
        <v>2775143.5658139107</v>
      </c>
      <c r="AM263" s="17">
        <f t="shared" si="60"/>
        <v>0.73612700913127505</v>
      </c>
      <c r="AN263" s="17">
        <f t="shared" si="61"/>
        <v>0.26387299086872512</v>
      </c>
    </row>
    <row r="264" spans="33:40" ht="49" thickTop="1" thickBot="1" x14ac:dyDescent="0.6">
      <c r="AG264" s="15"/>
      <c r="AH264" s="15">
        <f t="shared" si="62"/>
        <v>261</v>
      </c>
      <c r="AI264" s="16">
        <f t="shared" si="57"/>
        <v>80562.850908944965</v>
      </c>
      <c r="AJ264" s="44">
        <f t="shared" si="58"/>
        <v>59749.274165340648</v>
      </c>
      <c r="AK264" s="45">
        <f t="shared" si="59"/>
        <v>20813.576743604317</v>
      </c>
      <c r="AL264" s="16">
        <f t="shared" si="63"/>
        <v>2715394.29164857</v>
      </c>
      <c r="AM264" s="17">
        <f t="shared" si="60"/>
        <v>0.74164796169975944</v>
      </c>
      <c r="AN264" s="17">
        <f t="shared" si="61"/>
        <v>0.25835203830024051</v>
      </c>
    </row>
    <row r="265" spans="33:40" ht="49" thickTop="1" thickBot="1" x14ac:dyDescent="0.6">
      <c r="AG265" s="15"/>
      <c r="AH265" s="15">
        <f t="shared" si="62"/>
        <v>262</v>
      </c>
      <c r="AI265" s="16">
        <f t="shared" si="57"/>
        <v>80562.850908944965</v>
      </c>
      <c r="AJ265" s="44">
        <f t="shared" si="58"/>
        <v>60197.393721580702</v>
      </c>
      <c r="AK265" s="45">
        <f t="shared" si="59"/>
        <v>20365.457187364264</v>
      </c>
      <c r="AL265" s="16">
        <f t="shared" si="63"/>
        <v>2655196.8979269895</v>
      </c>
      <c r="AM265" s="17">
        <f t="shared" si="60"/>
        <v>0.74721032141250765</v>
      </c>
      <c r="AN265" s="17">
        <f t="shared" si="61"/>
        <v>0.25278967858749235</v>
      </c>
    </row>
    <row r="266" spans="33:40" ht="49" thickTop="1" thickBot="1" x14ac:dyDescent="0.6">
      <c r="AG266" s="15"/>
      <c r="AH266" s="15">
        <f t="shared" si="62"/>
        <v>263</v>
      </c>
      <c r="AI266" s="16">
        <f t="shared" si="57"/>
        <v>80562.850908944965</v>
      </c>
      <c r="AJ266" s="44">
        <f t="shared" si="58"/>
        <v>60648.874174492565</v>
      </c>
      <c r="AK266" s="45">
        <f t="shared" si="59"/>
        <v>19913.976734452408</v>
      </c>
      <c r="AL266" s="16">
        <f t="shared" si="63"/>
        <v>2594548.023752497</v>
      </c>
      <c r="AM266" s="17">
        <f t="shared" si="60"/>
        <v>0.75281439882310153</v>
      </c>
      <c r="AN266" s="17">
        <f t="shared" si="61"/>
        <v>0.24718560117689853</v>
      </c>
    </row>
    <row r="267" spans="33:40" ht="49" thickTop="1" thickBot="1" x14ac:dyDescent="0.6">
      <c r="AG267" s="15"/>
      <c r="AH267" s="15">
        <f t="shared" si="62"/>
        <v>264</v>
      </c>
      <c r="AI267" s="16">
        <f t="shared" si="57"/>
        <v>80562.850908944965</v>
      </c>
      <c r="AJ267" s="44">
        <f t="shared" si="58"/>
        <v>61103.740730801255</v>
      </c>
      <c r="AK267" s="45">
        <f t="shared" si="59"/>
        <v>19459.110178143714</v>
      </c>
      <c r="AL267" s="16">
        <f t="shared" si="63"/>
        <v>2533444.2830216959</v>
      </c>
      <c r="AM267" s="17">
        <f t="shared" si="60"/>
        <v>0.75846050681427479</v>
      </c>
      <c r="AN267" s="17">
        <f t="shared" si="61"/>
        <v>0.24153949318572526</v>
      </c>
    </row>
    <row r="268" spans="33:40" ht="49" thickTop="1" thickBot="1" x14ac:dyDescent="0.6">
      <c r="AG268" s="15">
        <f>IF(AH268= "NA", "NA",23)</f>
        <v>23</v>
      </c>
      <c r="AH268" s="15">
        <f t="shared" si="62"/>
        <v>265</v>
      </c>
      <c r="AI268" s="16">
        <f t="shared" si="57"/>
        <v>80562.850908944965</v>
      </c>
      <c r="AJ268" s="44">
        <f t="shared" si="58"/>
        <v>61562.018786282271</v>
      </c>
      <c r="AK268" s="45">
        <f t="shared" si="59"/>
        <v>19000.832122662701</v>
      </c>
      <c r="AL268" s="16">
        <f t="shared" si="63"/>
        <v>2471882.2642354136</v>
      </c>
      <c r="AM268" s="17">
        <f t="shared" si="60"/>
        <v>0.76414896061538196</v>
      </c>
      <c r="AN268" s="17">
        <f t="shared" si="61"/>
        <v>0.23585103938461818</v>
      </c>
    </row>
    <row r="269" spans="33:40" ht="49" thickTop="1" thickBot="1" x14ac:dyDescent="0.6">
      <c r="AG269" s="15"/>
      <c r="AH269" s="15">
        <f t="shared" si="62"/>
        <v>266</v>
      </c>
      <c r="AI269" s="16">
        <f t="shared" si="57"/>
        <v>80562.850908944965</v>
      </c>
      <c r="AJ269" s="44">
        <f t="shared" si="58"/>
        <v>62023.733927179383</v>
      </c>
      <c r="AK269" s="45">
        <f t="shared" si="59"/>
        <v>18539.116981765583</v>
      </c>
      <c r="AL269" s="16">
        <f t="shared" si="63"/>
        <v>2409858.530308234</v>
      </c>
      <c r="AM269" s="17">
        <f t="shared" si="60"/>
        <v>0.76988007781999723</v>
      </c>
      <c r="AN269" s="17">
        <f t="shared" si="61"/>
        <v>0.23011992218000279</v>
      </c>
    </row>
    <row r="270" spans="33:40" ht="49" thickTop="1" thickBot="1" x14ac:dyDescent="0.6">
      <c r="AG270" s="15"/>
      <c r="AH270" s="15">
        <f t="shared" si="62"/>
        <v>267</v>
      </c>
      <c r="AI270" s="16">
        <f t="shared" si="57"/>
        <v>80562.850908944965</v>
      </c>
      <c r="AJ270" s="44">
        <f t="shared" si="58"/>
        <v>62488.911931633222</v>
      </c>
      <c r="AK270" s="45">
        <f t="shared" si="59"/>
        <v>18073.93897731174</v>
      </c>
      <c r="AL270" s="16">
        <f t="shared" si="63"/>
        <v>2347369.618376601</v>
      </c>
      <c r="AM270" s="17">
        <f t="shared" si="60"/>
        <v>0.77565417840364714</v>
      </c>
      <c r="AN270" s="17">
        <f t="shared" si="61"/>
        <v>0.22434582159635286</v>
      </c>
    </row>
    <row r="271" spans="33:40" ht="49" thickTop="1" thickBot="1" x14ac:dyDescent="0.6">
      <c r="AG271" s="15"/>
      <c r="AH271" s="15">
        <f t="shared" si="62"/>
        <v>268</v>
      </c>
      <c r="AI271" s="16">
        <f t="shared" si="57"/>
        <v>80562.850908944965</v>
      </c>
      <c r="AJ271" s="44">
        <f t="shared" si="58"/>
        <v>62957.578771120483</v>
      </c>
      <c r="AK271" s="45">
        <f t="shared" si="59"/>
        <v>17605.272137824493</v>
      </c>
      <c r="AL271" s="16">
        <f t="shared" si="63"/>
        <v>2284412.0396054806</v>
      </c>
      <c r="AM271" s="17">
        <f t="shared" si="60"/>
        <v>0.78147158474167466</v>
      </c>
      <c r="AN271" s="17">
        <f t="shared" si="61"/>
        <v>0.21852841525832553</v>
      </c>
    </row>
    <row r="272" spans="33:40" ht="49" thickTop="1" thickBot="1" x14ac:dyDescent="0.6">
      <c r="AG272" s="15"/>
      <c r="AH272" s="15">
        <f t="shared" si="62"/>
        <v>269</v>
      </c>
      <c r="AI272" s="16">
        <f t="shared" si="57"/>
        <v>80562.850908944965</v>
      </c>
      <c r="AJ272" s="44">
        <f t="shared" si="58"/>
        <v>63429.760611903883</v>
      </c>
      <c r="AK272" s="45">
        <f t="shared" si="59"/>
        <v>17133.09029704109</v>
      </c>
      <c r="AL272" s="16">
        <f t="shared" si="63"/>
        <v>2220982.2789935768</v>
      </c>
      <c r="AM272" s="17">
        <f t="shared" si="60"/>
        <v>0.78733262162723716</v>
      </c>
      <c r="AN272" s="17">
        <f t="shared" si="61"/>
        <v>0.21266737837276298</v>
      </c>
    </row>
    <row r="273" spans="33:40" ht="49" thickTop="1" thickBot="1" x14ac:dyDescent="0.6">
      <c r="AG273" s="15"/>
      <c r="AH273" s="15">
        <f t="shared" si="62"/>
        <v>270</v>
      </c>
      <c r="AI273" s="16">
        <f t="shared" si="57"/>
        <v>80562.850908944965</v>
      </c>
      <c r="AJ273" s="44">
        <f t="shared" si="58"/>
        <v>63905.483816493157</v>
      </c>
      <c r="AK273" s="45">
        <f t="shared" si="59"/>
        <v>16657.367092451808</v>
      </c>
      <c r="AL273" s="16">
        <f t="shared" si="63"/>
        <v>2157076.7951770835</v>
      </c>
      <c r="AM273" s="17">
        <f t="shared" si="60"/>
        <v>0.79323761628944134</v>
      </c>
      <c r="AN273" s="17">
        <f t="shared" si="61"/>
        <v>0.20676238371055866</v>
      </c>
    </row>
    <row r="274" spans="33:40" ht="49" thickTop="1" thickBot="1" x14ac:dyDescent="0.6">
      <c r="AG274" s="15"/>
      <c r="AH274" s="15">
        <f t="shared" si="62"/>
        <v>271</v>
      </c>
      <c r="AI274" s="16">
        <f t="shared" si="57"/>
        <v>80562.850908944965</v>
      </c>
      <c r="AJ274" s="44">
        <f t="shared" si="58"/>
        <v>64384.774945116857</v>
      </c>
      <c r="AK274" s="45">
        <f t="shared" si="59"/>
        <v>16178.075963828111</v>
      </c>
      <c r="AL274" s="16">
        <f t="shared" si="63"/>
        <v>2092692.0202319666</v>
      </c>
      <c r="AM274" s="17">
        <f t="shared" si="60"/>
        <v>0.79918689841161217</v>
      </c>
      <c r="AN274" s="17">
        <f t="shared" si="61"/>
        <v>0.20081310158838786</v>
      </c>
    </row>
    <row r="275" spans="33:40" ht="49" thickTop="1" thickBot="1" x14ac:dyDescent="0.6">
      <c r="AG275" s="15"/>
      <c r="AH275" s="15">
        <f t="shared" si="62"/>
        <v>272</v>
      </c>
      <c r="AI275" s="16">
        <f t="shared" si="57"/>
        <v>80562.850908944965</v>
      </c>
      <c r="AJ275" s="44">
        <f t="shared" si="58"/>
        <v>64867.660757205238</v>
      </c>
      <c r="AK275" s="45">
        <f t="shared" si="59"/>
        <v>15695.190151739733</v>
      </c>
      <c r="AL275" s="16">
        <f t="shared" si="63"/>
        <v>2027824.3594747614</v>
      </c>
      <c r="AM275" s="17">
        <f t="shared" si="60"/>
        <v>0.80518080014969928</v>
      </c>
      <c r="AN275" s="17">
        <f t="shared" si="61"/>
        <v>0.19481919985030074</v>
      </c>
    </row>
    <row r="276" spans="33:40" ht="49" thickTop="1" thickBot="1" x14ac:dyDescent="0.6">
      <c r="AG276" s="15"/>
      <c r="AH276" s="15">
        <f t="shared" si="62"/>
        <v>273</v>
      </c>
      <c r="AI276" s="16">
        <f t="shared" si="57"/>
        <v>80562.850908944965</v>
      </c>
      <c r="AJ276" s="44">
        <f t="shared" si="58"/>
        <v>65354.168212884273</v>
      </c>
      <c r="AK276" s="45">
        <f t="shared" si="59"/>
        <v>15208.682696060694</v>
      </c>
      <c r="AL276" s="16">
        <f t="shared" si="63"/>
        <v>1962470.1912618771</v>
      </c>
      <c r="AM276" s="17">
        <f t="shared" si="60"/>
        <v>0.81121965615082203</v>
      </c>
      <c r="AN276" s="17">
        <f t="shared" si="61"/>
        <v>0.18878034384917802</v>
      </c>
    </row>
    <row r="277" spans="33:40" ht="49" thickTop="1" thickBot="1" x14ac:dyDescent="0.6">
      <c r="AG277" s="15"/>
      <c r="AH277" s="15">
        <f t="shared" si="62"/>
        <v>274</v>
      </c>
      <c r="AI277" s="16">
        <f t="shared" si="57"/>
        <v>80562.850908944965</v>
      </c>
      <c r="AJ277" s="44">
        <f t="shared" si="58"/>
        <v>65844.324474480905</v>
      </c>
      <c r="AK277" s="45">
        <f t="shared" si="59"/>
        <v>14718.52643446406</v>
      </c>
      <c r="AL277" s="16">
        <f t="shared" si="63"/>
        <v>1896625.8667873961</v>
      </c>
      <c r="AM277" s="17">
        <f t="shared" si="60"/>
        <v>0.8173038035719532</v>
      </c>
      <c r="AN277" s="17">
        <f t="shared" si="61"/>
        <v>0.18269619642804683</v>
      </c>
    </row>
    <row r="278" spans="33:40" ht="49" thickTop="1" thickBot="1" x14ac:dyDescent="0.6">
      <c r="AG278" s="15"/>
      <c r="AH278" s="15">
        <f t="shared" si="62"/>
        <v>275</v>
      </c>
      <c r="AI278" s="16">
        <f t="shared" si="57"/>
        <v>80562.850908944965</v>
      </c>
      <c r="AJ278" s="44">
        <f t="shared" si="58"/>
        <v>66338.156908039513</v>
      </c>
      <c r="AK278" s="45">
        <f t="shared" si="59"/>
        <v>14224.694000905456</v>
      </c>
      <c r="AL278" s="16">
        <f t="shared" si="63"/>
        <v>1830287.7098793567</v>
      </c>
      <c r="AM278" s="17">
        <f t="shared" si="60"/>
        <v>0.82343358209874284</v>
      </c>
      <c r="AN278" s="17">
        <f t="shared" si="61"/>
        <v>0.17656641790125721</v>
      </c>
    </row>
    <row r="279" spans="33:40" ht="49" thickTop="1" thickBot="1" x14ac:dyDescent="0.6">
      <c r="AG279" s="15"/>
      <c r="AH279" s="15">
        <f t="shared" si="62"/>
        <v>276</v>
      </c>
      <c r="AI279" s="16">
        <f t="shared" si="57"/>
        <v>80562.850908944965</v>
      </c>
      <c r="AJ279" s="44">
        <f t="shared" si="58"/>
        <v>66835.693084849801</v>
      </c>
      <c r="AK279" s="45">
        <f t="shared" si="59"/>
        <v>13727.157824095159</v>
      </c>
      <c r="AL279" s="16">
        <f t="shared" si="63"/>
        <v>1763452.0167945069</v>
      </c>
      <c r="AM279" s="17">
        <f t="shared" si="60"/>
        <v>0.82960933396448333</v>
      </c>
      <c r="AN279" s="17">
        <f t="shared" si="61"/>
        <v>0.17039066603551661</v>
      </c>
    </row>
    <row r="280" spans="33:40" ht="49" thickTop="1" thickBot="1" x14ac:dyDescent="0.6">
      <c r="AG280" s="15">
        <f>IF(AH280= "NA", "NA",24)</f>
        <v>24</v>
      </c>
      <c r="AH280" s="15">
        <f t="shared" si="62"/>
        <v>277</v>
      </c>
      <c r="AI280" s="16">
        <f t="shared" si="57"/>
        <v>80562.850908944965</v>
      </c>
      <c r="AJ280" s="44">
        <f t="shared" si="58"/>
        <v>67336.960782986178</v>
      </c>
      <c r="AK280" s="45">
        <f t="shared" si="59"/>
        <v>13225.890125958784</v>
      </c>
      <c r="AL280" s="16">
        <f t="shared" si="63"/>
        <v>1696115.0560115208</v>
      </c>
      <c r="AM280" s="17">
        <f t="shared" si="60"/>
        <v>0.83583140396921696</v>
      </c>
      <c r="AN280" s="17">
        <f t="shared" si="61"/>
        <v>0.16416859603078299</v>
      </c>
    </row>
    <row r="281" spans="33:40" ht="49" thickTop="1" thickBot="1" x14ac:dyDescent="0.6">
      <c r="AG281" s="15"/>
      <c r="AH281" s="15">
        <f t="shared" si="62"/>
        <v>278</v>
      </c>
      <c r="AI281" s="16">
        <f t="shared" si="57"/>
        <v>80562.850908944965</v>
      </c>
      <c r="AJ281" s="44">
        <f t="shared" si="58"/>
        <v>67841.987988858586</v>
      </c>
      <c r="AK281" s="45">
        <f t="shared" si="59"/>
        <v>12720.862920086391</v>
      </c>
      <c r="AL281" s="16">
        <f t="shared" si="63"/>
        <v>1628273.0680226623</v>
      </c>
      <c r="AM281" s="17">
        <f t="shared" si="60"/>
        <v>0.84210013949898621</v>
      </c>
      <c r="AN281" s="17">
        <f t="shared" si="61"/>
        <v>0.1578998605010139</v>
      </c>
    </row>
    <row r="282" spans="33:40" ht="49" thickTop="1" thickBot="1" x14ac:dyDescent="0.6">
      <c r="AG282" s="15"/>
      <c r="AH282" s="15">
        <f t="shared" si="62"/>
        <v>279</v>
      </c>
      <c r="AI282" s="16">
        <f t="shared" si="57"/>
        <v>80562.850908944965</v>
      </c>
      <c r="AJ282" s="44">
        <f t="shared" si="58"/>
        <v>68350.802898775015</v>
      </c>
      <c r="AK282" s="45">
        <f t="shared" si="59"/>
        <v>12212.048010169949</v>
      </c>
      <c r="AL282" s="16">
        <f t="shared" si="63"/>
        <v>1559922.2651238872</v>
      </c>
      <c r="AM282" s="17">
        <f t="shared" si="60"/>
        <v>0.84841589054522848</v>
      </c>
      <c r="AN282" s="17">
        <f t="shared" si="61"/>
        <v>0.15158410945477147</v>
      </c>
    </row>
    <row r="283" spans="33:40" ht="49" thickTop="1" thickBot="1" x14ac:dyDescent="0.6">
      <c r="AG283" s="15"/>
      <c r="AH283" s="15">
        <f t="shared" si="62"/>
        <v>280</v>
      </c>
      <c r="AI283" s="16">
        <f t="shared" si="57"/>
        <v>80562.850908944965</v>
      </c>
      <c r="AJ283" s="44">
        <f t="shared" si="58"/>
        <v>68863.433920515832</v>
      </c>
      <c r="AK283" s="45">
        <f t="shared" si="59"/>
        <v>11699.416988429137</v>
      </c>
      <c r="AL283" s="16">
        <f t="shared" si="63"/>
        <v>1491058.8312033713</v>
      </c>
      <c r="AM283" s="17">
        <f t="shared" si="60"/>
        <v>0.85477900972431775</v>
      </c>
      <c r="AN283" s="17">
        <f t="shared" si="61"/>
        <v>0.14522099027568228</v>
      </c>
    </row>
    <row r="284" spans="33:40" ht="49" thickTop="1" thickBot="1" x14ac:dyDescent="0.6">
      <c r="AG284" s="15"/>
      <c r="AH284" s="15">
        <f t="shared" si="62"/>
        <v>281</v>
      </c>
      <c r="AI284" s="16">
        <f t="shared" si="57"/>
        <v>80562.850908944965</v>
      </c>
      <c r="AJ284" s="44">
        <f t="shared" si="58"/>
        <v>69379.909674919691</v>
      </c>
      <c r="AK284" s="45">
        <f t="shared" si="59"/>
        <v>11182.941234025267</v>
      </c>
      <c r="AL284" s="16">
        <f t="shared" si="63"/>
        <v>1421678.9215284516</v>
      </c>
      <c r="AM284" s="17">
        <f t="shared" si="60"/>
        <v>0.86118985229725009</v>
      </c>
      <c r="AN284" s="17">
        <f t="shared" si="61"/>
        <v>0.13881014770274988</v>
      </c>
    </row>
    <row r="285" spans="33:40" ht="49" thickTop="1" thickBot="1" x14ac:dyDescent="0.6">
      <c r="AG285" s="15"/>
      <c r="AH285" s="15">
        <f t="shared" si="62"/>
        <v>282</v>
      </c>
      <c r="AI285" s="16">
        <f t="shared" si="57"/>
        <v>80562.850908944965</v>
      </c>
      <c r="AJ285" s="44">
        <f t="shared" si="58"/>
        <v>69900.258997481593</v>
      </c>
      <c r="AK285" s="45">
        <f t="shared" si="59"/>
        <v>10662.591911463371</v>
      </c>
      <c r="AL285" s="16">
        <f t="shared" si="63"/>
        <v>1351778.6625309701</v>
      </c>
      <c r="AM285" s="17">
        <f t="shared" si="60"/>
        <v>0.86764877618947944</v>
      </c>
      <c r="AN285" s="17">
        <f t="shared" si="61"/>
        <v>0.1323512238105205</v>
      </c>
    </row>
    <row r="286" spans="33:40" ht="49" thickTop="1" thickBot="1" x14ac:dyDescent="0.6">
      <c r="AG286" s="15"/>
      <c r="AH286" s="15">
        <f t="shared" si="62"/>
        <v>283</v>
      </c>
      <c r="AI286" s="16">
        <f t="shared" si="57"/>
        <v>80562.850908944965</v>
      </c>
      <c r="AJ286" s="44">
        <f t="shared" si="58"/>
        <v>70424.510939962711</v>
      </c>
      <c r="AK286" s="45">
        <f t="shared" si="59"/>
        <v>10138.339968982258</v>
      </c>
      <c r="AL286" s="16">
        <f t="shared" si="63"/>
        <v>1281354.1515910074</v>
      </c>
      <c r="AM286" s="17">
        <f t="shared" si="60"/>
        <v>0.87415614201090064</v>
      </c>
      <c r="AN286" s="17">
        <f t="shared" si="61"/>
        <v>0.12584385798909942</v>
      </c>
    </row>
    <row r="287" spans="33:40" ht="49" thickTop="1" thickBot="1" x14ac:dyDescent="0.6">
      <c r="AG287" s="15"/>
      <c r="AH287" s="15">
        <f t="shared" si="62"/>
        <v>284</v>
      </c>
      <c r="AI287" s="16">
        <f t="shared" si="57"/>
        <v>80562.850908944965</v>
      </c>
      <c r="AJ287" s="44">
        <f t="shared" si="58"/>
        <v>70952.69477201243</v>
      </c>
      <c r="AK287" s="45">
        <f t="shared" si="59"/>
        <v>9610.1561369325373</v>
      </c>
      <c r="AL287" s="16">
        <f t="shared" si="63"/>
        <v>1210401.4568189948</v>
      </c>
      <c r="AM287" s="17">
        <f t="shared" si="60"/>
        <v>0.88071231307598241</v>
      </c>
      <c r="AN287" s="17">
        <f t="shared" si="61"/>
        <v>0.11928768692401764</v>
      </c>
    </row>
    <row r="288" spans="33:40" ht="49" thickTop="1" thickBot="1" x14ac:dyDescent="0.6">
      <c r="AG288" s="15"/>
      <c r="AH288" s="15">
        <f t="shared" si="62"/>
        <v>285</v>
      </c>
      <c r="AI288" s="16">
        <f t="shared" si="57"/>
        <v>80562.850908944965</v>
      </c>
      <c r="AJ288" s="44">
        <f t="shared" si="58"/>
        <v>71484.839982802514</v>
      </c>
      <c r="AK288" s="45">
        <f t="shared" si="59"/>
        <v>9078.0109261424459</v>
      </c>
      <c r="AL288" s="16">
        <f t="shared" si="63"/>
        <v>1138916.6168361923</v>
      </c>
      <c r="AM288" s="17">
        <f t="shared" si="60"/>
        <v>0.88731765542405217</v>
      </c>
      <c r="AN288" s="17">
        <f t="shared" si="61"/>
        <v>0.11268234457594779</v>
      </c>
    </row>
    <row r="289" spans="33:40" ht="49" thickTop="1" thickBot="1" x14ac:dyDescent="0.6">
      <c r="AG289" s="15"/>
      <c r="AH289" s="15">
        <f t="shared" si="62"/>
        <v>286</v>
      </c>
      <c r="AI289" s="16">
        <f t="shared" si="57"/>
        <v>80562.850908944965</v>
      </c>
      <c r="AJ289" s="44">
        <f t="shared" si="58"/>
        <v>72020.976282673539</v>
      </c>
      <c r="AK289" s="45">
        <f t="shared" si="59"/>
        <v>8541.8746262714267</v>
      </c>
      <c r="AL289" s="16">
        <f t="shared" si="63"/>
        <v>1066895.6405535187</v>
      </c>
      <c r="AM289" s="17">
        <f t="shared" si="60"/>
        <v>0.89397253783973263</v>
      </c>
      <c r="AN289" s="17">
        <f t="shared" si="61"/>
        <v>0.1060274621602674</v>
      </c>
    </row>
    <row r="290" spans="33:40" ht="49" thickTop="1" thickBot="1" x14ac:dyDescent="0.6">
      <c r="AG290" s="15"/>
      <c r="AH290" s="15">
        <f t="shared" si="62"/>
        <v>287</v>
      </c>
      <c r="AI290" s="16">
        <f t="shared" si="57"/>
        <v>80562.850908944965</v>
      </c>
      <c r="AJ290" s="44">
        <f t="shared" si="58"/>
        <v>72561.133604793591</v>
      </c>
      <c r="AK290" s="45">
        <f t="shared" si="59"/>
        <v>8001.7173041513743</v>
      </c>
      <c r="AL290" s="16">
        <f t="shared" si="63"/>
        <v>994334.50694872509</v>
      </c>
      <c r="AM290" s="17">
        <f t="shared" si="60"/>
        <v>0.90067733187353061</v>
      </c>
      <c r="AN290" s="17">
        <f t="shared" si="61"/>
        <v>9.9322668126469393E-2</v>
      </c>
    </row>
    <row r="291" spans="33:40" ht="49" thickTop="1" thickBot="1" x14ac:dyDescent="0.6">
      <c r="AG291" s="15"/>
      <c r="AH291" s="15">
        <f t="shared" si="62"/>
        <v>288</v>
      </c>
      <c r="AI291" s="16">
        <f t="shared" si="57"/>
        <v>80562.850908944965</v>
      </c>
      <c r="AJ291" s="44">
        <f t="shared" si="58"/>
        <v>73105.342106829543</v>
      </c>
      <c r="AK291" s="45">
        <f t="shared" si="59"/>
        <v>7457.5088021154234</v>
      </c>
      <c r="AL291" s="16">
        <f t="shared" si="63"/>
        <v>921229.16484189557</v>
      </c>
      <c r="AM291" s="17">
        <f t="shared" si="60"/>
        <v>0.90743241186258206</v>
      </c>
      <c r="AN291" s="17">
        <f t="shared" si="61"/>
        <v>9.256758813741793E-2</v>
      </c>
    </row>
    <row r="292" spans="33:40" ht="49" thickTop="1" thickBot="1" x14ac:dyDescent="0.6">
      <c r="AG292" s="15">
        <f>IF(AH292= "NA", "NA",25)</f>
        <v>25</v>
      </c>
      <c r="AH292" s="15">
        <f t="shared" si="62"/>
        <v>289</v>
      </c>
      <c r="AI292" s="16">
        <f t="shared" si="57"/>
        <v>80562.850908944965</v>
      </c>
      <c r="AJ292" s="44">
        <f t="shared" si="58"/>
        <v>73653.632172630765</v>
      </c>
      <c r="AK292" s="45">
        <f t="shared" si="59"/>
        <v>6909.2187363142011</v>
      </c>
      <c r="AL292" s="16">
        <f t="shared" si="63"/>
        <v>847575.53266926482</v>
      </c>
      <c r="AM292" s="17">
        <f t="shared" si="60"/>
        <v>0.91423815495155147</v>
      </c>
      <c r="AN292" s="17">
        <f t="shared" si="61"/>
        <v>8.5761845048448554E-2</v>
      </c>
    </row>
    <row r="293" spans="33:40" ht="49" thickTop="1" thickBot="1" x14ac:dyDescent="0.6">
      <c r="AG293" s="15"/>
      <c r="AH293" s="15">
        <f t="shared" si="62"/>
        <v>290</v>
      </c>
      <c r="AI293" s="16">
        <f t="shared" si="57"/>
        <v>80562.850908944965</v>
      </c>
      <c r="AJ293" s="44">
        <f t="shared" si="58"/>
        <v>74206.034413925488</v>
      </c>
      <c r="AK293" s="45">
        <f t="shared" si="59"/>
        <v>6356.8164950194705</v>
      </c>
      <c r="AL293" s="16">
        <f t="shared" si="63"/>
        <v>773369.49825533933</v>
      </c>
      <c r="AM293" s="17">
        <f t="shared" si="60"/>
        <v>0.92109494111368795</v>
      </c>
      <c r="AN293" s="17">
        <f t="shared" si="61"/>
        <v>7.8905058886311927E-2</v>
      </c>
    </row>
    <row r="294" spans="33:40" ht="49" thickTop="1" thickBot="1" x14ac:dyDescent="0.6">
      <c r="AG294" s="15"/>
      <c r="AH294" s="15">
        <f t="shared" si="62"/>
        <v>291</v>
      </c>
      <c r="AI294" s="16">
        <f t="shared" si="57"/>
        <v>80562.850908944965</v>
      </c>
      <c r="AJ294" s="44">
        <f t="shared" si="58"/>
        <v>74762.57967202994</v>
      </c>
      <c r="AK294" s="45">
        <f t="shared" si="59"/>
        <v>5800.2712369150286</v>
      </c>
      <c r="AL294" s="16">
        <f t="shared" si="63"/>
        <v>698606.91858330939</v>
      </c>
      <c r="AM294" s="17">
        <f t="shared" si="60"/>
        <v>0.92800315317204074</v>
      </c>
      <c r="AN294" s="17">
        <f t="shared" si="61"/>
        <v>7.199684682795926E-2</v>
      </c>
    </row>
    <row r="295" spans="33:40" ht="49" thickTop="1" thickBot="1" x14ac:dyDescent="0.6">
      <c r="AG295" s="15"/>
      <c r="AH295" s="15">
        <f t="shared" si="62"/>
        <v>292</v>
      </c>
      <c r="AI295" s="16">
        <f t="shared" si="57"/>
        <v>80562.850908944965</v>
      </c>
      <c r="AJ295" s="44">
        <f t="shared" si="58"/>
        <v>75323.299019570157</v>
      </c>
      <c r="AK295" s="45">
        <f t="shared" si="59"/>
        <v>5239.551889374804</v>
      </c>
      <c r="AL295" s="16">
        <f t="shared" si="63"/>
        <v>623283.61956373928</v>
      </c>
      <c r="AM295" s="17">
        <f t="shared" si="60"/>
        <v>0.93496317682083097</v>
      </c>
      <c r="AN295" s="17">
        <f t="shared" si="61"/>
        <v>6.5036823179168951E-2</v>
      </c>
    </row>
    <row r="296" spans="33:40" ht="49" thickTop="1" thickBot="1" x14ac:dyDescent="0.6">
      <c r="AG296" s="15"/>
      <c r="AH296" s="15">
        <f t="shared" si="62"/>
        <v>293</v>
      </c>
      <c r="AI296" s="16">
        <f t="shared" si="57"/>
        <v>80562.850908944965</v>
      </c>
      <c r="AJ296" s="44">
        <f t="shared" si="58"/>
        <v>75888.223762216934</v>
      </c>
      <c r="AK296" s="45">
        <f t="shared" si="59"/>
        <v>4674.6271467280276</v>
      </c>
      <c r="AL296" s="16">
        <f t="shared" si="63"/>
        <v>547395.3958015223</v>
      </c>
      <c r="AM296" s="17">
        <f t="shared" si="60"/>
        <v>0.94197540064698726</v>
      </c>
      <c r="AN296" s="17">
        <f t="shared" si="61"/>
        <v>5.8024599353012712E-2</v>
      </c>
    </row>
    <row r="297" spans="33:40" ht="49" thickTop="1" thickBot="1" x14ac:dyDescent="0.6">
      <c r="AG297" s="15"/>
      <c r="AH297" s="15">
        <f t="shared" si="62"/>
        <v>294</v>
      </c>
      <c r="AI297" s="16">
        <f t="shared" si="57"/>
        <v>80562.850908944965</v>
      </c>
      <c r="AJ297" s="44">
        <f t="shared" si="58"/>
        <v>76457.385440433573</v>
      </c>
      <c r="AK297" s="45">
        <f t="shared" si="59"/>
        <v>4105.4654685114001</v>
      </c>
      <c r="AL297" s="16">
        <f t="shared" si="63"/>
        <v>470938.01036108873</v>
      </c>
      <c r="AM297" s="17">
        <f t="shared" si="60"/>
        <v>0.94904021615183976</v>
      </c>
      <c r="AN297" s="17">
        <f t="shared" si="61"/>
        <v>5.09597838481603E-2</v>
      </c>
    </row>
    <row r="298" spans="33:40" ht="49" thickTop="1" thickBot="1" x14ac:dyDescent="0.6">
      <c r="AG298" s="15"/>
      <c r="AH298" s="15">
        <f t="shared" si="62"/>
        <v>295</v>
      </c>
      <c r="AI298" s="16">
        <f t="shared" si="57"/>
        <v>80562.850908944965</v>
      </c>
      <c r="AJ298" s="44">
        <f t="shared" si="58"/>
        <v>77030.815831236818</v>
      </c>
      <c r="AK298" s="45">
        <f t="shared" si="59"/>
        <v>3532.0350777081489</v>
      </c>
      <c r="AL298" s="16">
        <f t="shared" si="63"/>
        <v>393907.1945298519</v>
      </c>
      <c r="AM298" s="17">
        <f t="shared" si="60"/>
        <v>0.95615801777297849</v>
      </c>
      <c r="AN298" s="17">
        <f t="shared" si="61"/>
        <v>4.3841982227021514E-2</v>
      </c>
    </row>
    <row r="299" spans="33:40" ht="49" thickTop="1" thickBot="1" x14ac:dyDescent="0.6">
      <c r="AG299" s="15"/>
      <c r="AH299" s="15">
        <f t="shared" si="62"/>
        <v>296</v>
      </c>
      <c r="AI299" s="16">
        <f t="shared" si="57"/>
        <v>80562.850908944965</v>
      </c>
      <c r="AJ299" s="44">
        <f t="shared" si="58"/>
        <v>77608.546949971089</v>
      </c>
      <c r="AK299" s="45">
        <f t="shared" si="59"/>
        <v>2954.3039589738728</v>
      </c>
      <c r="AL299" s="16">
        <f t="shared" si="63"/>
        <v>316298.64757988078</v>
      </c>
      <c r="AM299" s="17">
        <f t="shared" si="60"/>
        <v>0.96332920290627577</v>
      </c>
      <c r="AN299" s="17">
        <f t="shared" si="61"/>
        <v>3.6670797093724172E-2</v>
      </c>
    </row>
    <row r="300" spans="33:40" ht="49" thickTop="1" thickBot="1" x14ac:dyDescent="0.6">
      <c r="AG300" s="15"/>
      <c r="AH300" s="15">
        <f t="shared" si="62"/>
        <v>297</v>
      </c>
      <c r="AI300" s="16">
        <f t="shared" si="57"/>
        <v>80562.850908944965</v>
      </c>
      <c r="AJ300" s="44">
        <f t="shared" si="58"/>
        <v>78190.611052095875</v>
      </c>
      <c r="AK300" s="45">
        <f t="shared" si="59"/>
        <v>2372.2398568490894</v>
      </c>
      <c r="AL300" s="16">
        <f t="shared" si="63"/>
        <v>238108.03652778489</v>
      </c>
      <c r="AM300" s="17">
        <f t="shared" si="60"/>
        <v>0.97055417192807292</v>
      </c>
      <c r="AN300" s="17">
        <f t="shared" si="61"/>
        <v>2.94458280719271E-2</v>
      </c>
    </row>
    <row r="301" spans="33:40" ht="49" thickTop="1" thickBot="1" x14ac:dyDescent="0.6">
      <c r="AG301" s="15"/>
      <c r="AH301" s="15">
        <f t="shared" si="62"/>
        <v>298</v>
      </c>
      <c r="AI301" s="16">
        <f t="shared" si="57"/>
        <v>80562.850908944965</v>
      </c>
      <c r="AJ301" s="44">
        <f t="shared" si="58"/>
        <v>78777.040634986595</v>
      </c>
      <c r="AK301" s="45">
        <f t="shared" si="59"/>
        <v>1785.8102739583703</v>
      </c>
      <c r="AL301" s="16">
        <f t="shared" si="63"/>
        <v>159330.9958927983</v>
      </c>
      <c r="AM301" s="17">
        <f t="shared" si="60"/>
        <v>0.97783332821753344</v>
      </c>
      <c r="AN301" s="17">
        <f t="shared" si="61"/>
        <v>2.2166671782466552E-2</v>
      </c>
    </row>
    <row r="302" spans="33:40" ht="49" thickTop="1" thickBot="1" x14ac:dyDescent="0.6">
      <c r="AG302" s="15"/>
      <c r="AH302" s="15">
        <f t="shared" si="62"/>
        <v>299</v>
      </c>
      <c r="AI302" s="16">
        <f t="shared" si="57"/>
        <v>80562.850908944965</v>
      </c>
      <c r="AJ302" s="44">
        <f t="shared" si="58"/>
        <v>79367.868439748985</v>
      </c>
      <c r="AK302" s="45">
        <f t="shared" si="59"/>
        <v>1194.9824691959709</v>
      </c>
      <c r="AL302" s="16">
        <f t="shared" si="63"/>
        <v>79963.12745304931</v>
      </c>
      <c r="AM302" s="17">
        <f t="shared" si="60"/>
        <v>0.98516707817916482</v>
      </c>
      <c r="AN302" s="17">
        <f t="shared" si="61"/>
        <v>1.4832921820835053E-2</v>
      </c>
    </row>
    <row r="303" spans="33:40" ht="49" thickTop="1" thickBot="1" x14ac:dyDescent="0.6">
      <c r="AG303" s="15"/>
      <c r="AH303" s="15">
        <f t="shared" si="62"/>
        <v>300</v>
      </c>
      <c r="AI303" s="16">
        <f t="shared" si="57"/>
        <v>80562.850908944965</v>
      </c>
      <c r="AJ303" s="44">
        <f t="shared" si="58"/>
        <v>79963.127453047127</v>
      </c>
      <c r="AK303" s="45">
        <f t="shared" si="59"/>
        <v>599.72345589785346</v>
      </c>
      <c r="AL303" s="16">
        <f t="shared" si="63"/>
        <v>2.1827872842550278E-9</v>
      </c>
      <c r="AM303" s="17">
        <f t="shared" si="60"/>
        <v>0.99255583126550884</v>
      </c>
      <c r="AN303" s="17">
        <f t="shared" si="61"/>
        <v>7.4441687344913169E-3</v>
      </c>
    </row>
    <row r="304" spans="33:40" ht="49" thickTop="1" thickBot="1" x14ac:dyDescent="0.6">
      <c r="AG304" s="15" t="str">
        <f>IF(AH304= "NA", "NA",26)</f>
        <v>NA</v>
      </c>
      <c r="AH304" s="15" t="str">
        <f t="shared" si="62"/>
        <v>NA</v>
      </c>
      <c r="AI304" s="16">
        <f t="shared" si="57"/>
        <v>0</v>
      </c>
      <c r="AJ304" s="44">
        <f t="shared" si="58"/>
        <v>0</v>
      </c>
      <c r="AK304" s="45">
        <f t="shared" si="59"/>
        <v>0</v>
      </c>
      <c r="AL304" s="16">
        <f t="shared" si="63"/>
        <v>0</v>
      </c>
      <c r="AM304" s="17" t="e">
        <f t="shared" si="60"/>
        <v>#DIV/0!</v>
      </c>
      <c r="AN304" s="17" t="e">
        <f t="shared" si="61"/>
        <v>#DIV/0!</v>
      </c>
    </row>
    <row r="305" spans="33:40" ht="49" thickTop="1" thickBot="1" x14ac:dyDescent="0.6">
      <c r="AG305" s="15"/>
      <c r="AH305" s="15" t="str">
        <f t="shared" si="62"/>
        <v>NA</v>
      </c>
      <c r="AI305" s="16">
        <f t="shared" si="57"/>
        <v>0</v>
      </c>
      <c r="AJ305" s="44">
        <f t="shared" si="58"/>
        <v>0</v>
      </c>
      <c r="AK305" s="45">
        <f t="shared" si="59"/>
        <v>0</v>
      </c>
      <c r="AL305" s="16">
        <f t="shared" si="63"/>
        <v>0</v>
      </c>
      <c r="AM305" s="17" t="e">
        <f t="shared" si="60"/>
        <v>#DIV/0!</v>
      </c>
      <c r="AN305" s="17" t="e">
        <f t="shared" si="61"/>
        <v>#DIV/0!</v>
      </c>
    </row>
    <row r="306" spans="33:40" ht="49" thickTop="1" thickBot="1" x14ac:dyDescent="0.6">
      <c r="AG306" s="15"/>
      <c r="AH306" s="15" t="str">
        <f t="shared" si="62"/>
        <v>NA</v>
      </c>
      <c r="AI306" s="16">
        <f t="shared" si="57"/>
        <v>0</v>
      </c>
      <c r="AJ306" s="44">
        <f t="shared" si="58"/>
        <v>0</v>
      </c>
      <c r="AK306" s="45">
        <f t="shared" si="59"/>
        <v>0</v>
      </c>
      <c r="AL306" s="16">
        <f t="shared" si="63"/>
        <v>0</v>
      </c>
      <c r="AM306" s="17" t="e">
        <f t="shared" si="60"/>
        <v>#DIV/0!</v>
      </c>
      <c r="AN306" s="17" t="e">
        <f t="shared" si="61"/>
        <v>#DIV/0!</v>
      </c>
    </row>
    <row r="307" spans="33:40" ht="49" thickTop="1" thickBot="1" x14ac:dyDescent="0.6">
      <c r="AG307" s="15"/>
      <c r="AH307" s="15" t="str">
        <f t="shared" si="62"/>
        <v>NA</v>
      </c>
      <c r="AI307" s="16">
        <f t="shared" si="57"/>
        <v>0</v>
      </c>
      <c r="AJ307" s="44">
        <f t="shared" si="58"/>
        <v>0</v>
      </c>
      <c r="AK307" s="45">
        <f t="shared" si="59"/>
        <v>0</v>
      </c>
      <c r="AL307" s="16">
        <f t="shared" si="63"/>
        <v>0</v>
      </c>
      <c r="AM307" s="17" t="e">
        <f t="shared" si="60"/>
        <v>#DIV/0!</v>
      </c>
      <c r="AN307" s="17" t="e">
        <f t="shared" si="61"/>
        <v>#DIV/0!</v>
      </c>
    </row>
    <row r="308" spans="33:40" ht="49" thickTop="1" thickBot="1" x14ac:dyDescent="0.6">
      <c r="AG308" s="15"/>
      <c r="AH308" s="15" t="str">
        <f t="shared" si="62"/>
        <v>NA</v>
      </c>
      <c r="AI308" s="16">
        <f t="shared" si="57"/>
        <v>0</v>
      </c>
      <c r="AJ308" s="44">
        <f t="shared" si="58"/>
        <v>0</v>
      </c>
      <c r="AK308" s="45">
        <f t="shared" si="59"/>
        <v>0</v>
      </c>
      <c r="AL308" s="16">
        <f t="shared" si="63"/>
        <v>0</v>
      </c>
      <c r="AM308" s="17" t="e">
        <f t="shared" si="60"/>
        <v>#DIV/0!</v>
      </c>
      <c r="AN308" s="17" t="e">
        <f t="shared" si="61"/>
        <v>#DIV/0!</v>
      </c>
    </row>
    <row r="309" spans="33:40" ht="49" thickTop="1" thickBot="1" x14ac:dyDescent="0.6">
      <c r="AG309" s="15"/>
      <c r="AH309" s="15" t="str">
        <f t="shared" si="62"/>
        <v>NA</v>
      </c>
      <c r="AI309" s="16">
        <f t="shared" si="57"/>
        <v>0</v>
      </c>
      <c r="AJ309" s="44">
        <f t="shared" si="58"/>
        <v>0</v>
      </c>
      <c r="AK309" s="45">
        <f t="shared" si="59"/>
        <v>0</v>
      </c>
      <c r="AL309" s="16">
        <f t="shared" si="63"/>
        <v>0</v>
      </c>
      <c r="AM309" s="17" t="e">
        <f t="shared" si="60"/>
        <v>#DIV/0!</v>
      </c>
      <c r="AN309" s="17" t="e">
        <f t="shared" si="61"/>
        <v>#DIV/0!</v>
      </c>
    </row>
    <row r="310" spans="33:40" ht="49" thickTop="1" thickBot="1" x14ac:dyDescent="0.6">
      <c r="AG310" s="15"/>
      <c r="AH310" s="15" t="str">
        <f t="shared" si="62"/>
        <v>NA</v>
      </c>
      <c r="AI310" s="16">
        <f t="shared" si="57"/>
        <v>0</v>
      </c>
      <c r="AJ310" s="44">
        <f t="shared" si="58"/>
        <v>0</v>
      </c>
      <c r="AK310" s="45">
        <f t="shared" si="59"/>
        <v>0</v>
      </c>
      <c r="AL310" s="16">
        <f t="shared" si="63"/>
        <v>0</v>
      </c>
      <c r="AM310" s="17" t="e">
        <f t="shared" si="60"/>
        <v>#DIV/0!</v>
      </c>
      <c r="AN310" s="17" t="e">
        <f t="shared" si="61"/>
        <v>#DIV/0!</v>
      </c>
    </row>
    <row r="311" spans="33:40" ht="49" thickTop="1" thickBot="1" x14ac:dyDescent="0.6">
      <c r="AG311" s="15"/>
      <c r="AH311" s="15" t="str">
        <f t="shared" si="62"/>
        <v>NA</v>
      </c>
      <c r="AI311" s="16">
        <f t="shared" si="57"/>
        <v>0</v>
      </c>
      <c r="AJ311" s="44">
        <f t="shared" si="58"/>
        <v>0</v>
      </c>
      <c r="AK311" s="45">
        <f t="shared" si="59"/>
        <v>0</v>
      </c>
      <c r="AL311" s="16">
        <f t="shared" si="63"/>
        <v>0</v>
      </c>
      <c r="AM311" s="17" t="e">
        <f t="shared" si="60"/>
        <v>#DIV/0!</v>
      </c>
      <c r="AN311" s="17" t="e">
        <f t="shared" si="61"/>
        <v>#DIV/0!</v>
      </c>
    </row>
    <row r="312" spans="33:40" ht="49" thickTop="1" thickBot="1" x14ac:dyDescent="0.6">
      <c r="AG312" s="15"/>
      <c r="AH312" s="15" t="str">
        <f t="shared" si="62"/>
        <v>NA</v>
      </c>
      <c r="AI312" s="16">
        <f t="shared" si="57"/>
        <v>0</v>
      </c>
      <c r="AJ312" s="44">
        <f t="shared" si="58"/>
        <v>0</v>
      </c>
      <c r="AK312" s="45">
        <f t="shared" si="59"/>
        <v>0</v>
      </c>
      <c r="AL312" s="16">
        <f t="shared" si="63"/>
        <v>0</v>
      </c>
      <c r="AM312" s="17" t="e">
        <f t="shared" si="60"/>
        <v>#DIV/0!</v>
      </c>
      <c r="AN312" s="17" t="e">
        <f t="shared" si="61"/>
        <v>#DIV/0!</v>
      </c>
    </row>
    <row r="313" spans="33:40" ht="49" thickTop="1" thickBot="1" x14ac:dyDescent="0.6">
      <c r="AG313" s="15"/>
      <c r="AH313" s="15" t="str">
        <f t="shared" si="62"/>
        <v>NA</v>
      </c>
      <c r="AI313" s="16">
        <f t="shared" si="57"/>
        <v>0</v>
      </c>
      <c r="AJ313" s="44">
        <f t="shared" si="58"/>
        <v>0</v>
      </c>
      <c r="AK313" s="45">
        <f t="shared" si="59"/>
        <v>0</v>
      </c>
      <c r="AL313" s="16">
        <f t="shared" si="63"/>
        <v>0</v>
      </c>
      <c r="AM313" s="17" t="e">
        <f t="shared" si="60"/>
        <v>#DIV/0!</v>
      </c>
      <c r="AN313" s="17" t="e">
        <f t="shared" si="61"/>
        <v>#DIV/0!</v>
      </c>
    </row>
    <row r="314" spans="33:40" ht="49" thickTop="1" thickBot="1" x14ac:dyDescent="0.6">
      <c r="AG314" s="15"/>
      <c r="AH314" s="15" t="str">
        <f t="shared" si="62"/>
        <v>NA</v>
      </c>
      <c r="AI314" s="16">
        <f t="shared" si="57"/>
        <v>0</v>
      </c>
      <c r="AJ314" s="44">
        <f t="shared" si="58"/>
        <v>0</v>
      </c>
      <c r="AK314" s="45">
        <f t="shared" si="59"/>
        <v>0</v>
      </c>
      <c r="AL314" s="16">
        <f t="shared" si="63"/>
        <v>0</v>
      </c>
      <c r="AM314" s="17" t="e">
        <f t="shared" si="60"/>
        <v>#DIV/0!</v>
      </c>
      <c r="AN314" s="17" t="e">
        <f t="shared" si="61"/>
        <v>#DIV/0!</v>
      </c>
    </row>
    <row r="315" spans="33:40" ht="49" thickTop="1" thickBot="1" x14ac:dyDescent="0.6">
      <c r="AG315" s="15"/>
      <c r="AH315" s="15" t="str">
        <f t="shared" si="62"/>
        <v>NA</v>
      </c>
      <c r="AI315" s="16">
        <f t="shared" si="57"/>
        <v>0</v>
      </c>
      <c r="AJ315" s="44">
        <f t="shared" si="58"/>
        <v>0</v>
      </c>
      <c r="AK315" s="45">
        <f t="shared" si="59"/>
        <v>0</v>
      </c>
      <c r="AL315" s="16">
        <f t="shared" si="63"/>
        <v>0</v>
      </c>
      <c r="AM315" s="17" t="e">
        <f t="shared" si="60"/>
        <v>#DIV/0!</v>
      </c>
      <c r="AN315" s="17" t="e">
        <f t="shared" si="61"/>
        <v>#DIV/0!</v>
      </c>
    </row>
    <row r="316" spans="33:40" ht="49" thickTop="1" thickBot="1" x14ac:dyDescent="0.6">
      <c r="AG316" s="15" t="str">
        <f>IF(AH316= "NA", "NA",27)</f>
        <v>NA</v>
      </c>
      <c r="AH316" s="15" t="str">
        <f t="shared" si="62"/>
        <v>NA</v>
      </c>
      <c r="AI316" s="16">
        <f t="shared" si="57"/>
        <v>0</v>
      </c>
      <c r="AJ316" s="44">
        <f t="shared" si="58"/>
        <v>0</v>
      </c>
      <c r="AK316" s="45">
        <f t="shared" si="59"/>
        <v>0</v>
      </c>
      <c r="AL316" s="16">
        <f t="shared" si="63"/>
        <v>0</v>
      </c>
      <c r="AM316" s="17" t="e">
        <f t="shared" si="60"/>
        <v>#DIV/0!</v>
      </c>
      <c r="AN316" s="17" t="e">
        <f t="shared" si="61"/>
        <v>#DIV/0!</v>
      </c>
    </row>
    <row r="317" spans="33:40" ht="49" thickTop="1" thickBot="1" x14ac:dyDescent="0.6">
      <c r="AG317" s="15"/>
      <c r="AH317" s="15" t="str">
        <f t="shared" si="62"/>
        <v>NA</v>
      </c>
      <c r="AI317" s="16">
        <f t="shared" si="57"/>
        <v>0</v>
      </c>
      <c r="AJ317" s="44">
        <f t="shared" si="58"/>
        <v>0</v>
      </c>
      <c r="AK317" s="45">
        <f t="shared" si="59"/>
        <v>0</v>
      </c>
      <c r="AL317" s="16">
        <f t="shared" si="63"/>
        <v>0</v>
      </c>
      <c r="AM317" s="17" t="e">
        <f t="shared" si="60"/>
        <v>#DIV/0!</v>
      </c>
      <c r="AN317" s="17" t="e">
        <f t="shared" si="61"/>
        <v>#DIV/0!</v>
      </c>
    </row>
    <row r="318" spans="33:40" ht="49" thickTop="1" thickBot="1" x14ac:dyDescent="0.6">
      <c r="AG318" s="15"/>
      <c r="AH318" s="15" t="str">
        <f t="shared" si="62"/>
        <v>NA</v>
      </c>
      <c r="AI318" s="16">
        <f t="shared" si="57"/>
        <v>0</v>
      </c>
      <c r="AJ318" s="44">
        <f t="shared" si="58"/>
        <v>0</v>
      </c>
      <c r="AK318" s="45">
        <f t="shared" si="59"/>
        <v>0</v>
      </c>
      <c r="AL318" s="16">
        <f t="shared" si="63"/>
        <v>0</v>
      </c>
      <c r="AM318" s="17" t="e">
        <f t="shared" si="60"/>
        <v>#DIV/0!</v>
      </c>
      <c r="AN318" s="17" t="e">
        <f t="shared" si="61"/>
        <v>#DIV/0!</v>
      </c>
    </row>
    <row r="319" spans="33:40" ht="49" thickTop="1" thickBot="1" x14ac:dyDescent="0.6">
      <c r="AG319" s="15"/>
      <c r="AH319" s="15" t="str">
        <f t="shared" si="62"/>
        <v>NA</v>
      </c>
      <c r="AI319" s="16">
        <f t="shared" si="57"/>
        <v>0</v>
      </c>
      <c r="AJ319" s="44">
        <f t="shared" si="58"/>
        <v>0</v>
      </c>
      <c r="AK319" s="45">
        <f t="shared" si="59"/>
        <v>0</v>
      </c>
      <c r="AL319" s="16">
        <f t="shared" si="63"/>
        <v>0</v>
      </c>
      <c r="AM319" s="17" t="e">
        <f t="shared" si="60"/>
        <v>#DIV/0!</v>
      </c>
      <c r="AN319" s="17" t="e">
        <f t="shared" si="61"/>
        <v>#DIV/0!</v>
      </c>
    </row>
    <row r="320" spans="33:40" ht="49" thickTop="1" thickBot="1" x14ac:dyDescent="0.6">
      <c r="AG320" s="15"/>
      <c r="AH320" s="15" t="str">
        <f t="shared" si="62"/>
        <v>NA</v>
      </c>
      <c r="AI320" s="16">
        <f t="shared" si="57"/>
        <v>0</v>
      </c>
      <c r="AJ320" s="44">
        <f t="shared" si="58"/>
        <v>0</v>
      </c>
      <c r="AK320" s="45">
        <f t="shared" si="59"/>
        <v>0</v>
      </c>
      <c r="AL320" s="16">
        <f t="shared" si="63"/>
        <v>0</v>
      </c>
      <c r="AM320" s="17" t="e">
        <f t="shared" si="60"/>
        <v>#DIV/0!</v>
      </c>
      <c r="AN320" s="17" t="e">
        <f t="shared" si="61"/>
        <v>#DIV/0!</v>
      </c>
    </row>
    <row r="321" spans="33:40" ht="49" thickTop="1" thickBot="1" x14ac:dyDescent="0.6">
      <c r="AG321" s="15"/>
      <c r="AH321" s="15" t="str">
        <f t="shared" si="62"/>
        <v>NA</v>
      </c>
      <c r="AI321" s="16">
        <f t="shared" si="57"/>
        <v>0</v>
      </c>
      <c r="AJ321" s="44">
        <f t="shared" si="58"/>
        <v>0</v>
      </c>
      <c r="AK321" s="45">
        <f t="shared" si="59"/>
        <v>0</v>
      </c>
      <c r="AL321" s="16">
        <f t="shared" si="63"/>
        <v>0</v>
      </c>
      <c r="AM321" s="17" t="e">
        <f t="shared" si="60"/>
        <v>#DIV/0!</v>
      </c>
      <c r="AN321" s="17" t="e">
        <f t="shared" si="61"/>
        <v>#DIV/0!</v>
      </c>
    </row>
    <row r="322" spans="33:40" ht="49" thickTop="1" thickBot="1" x14ac:dyDescent="0.6">
      <c r="AG322" s="15"/>
      <c r="AH322" s="15" t="str">
        <f t="shared" si="62"/>
        <v>NA</v>
      </c>
      <c r="AI322" s="16">
        <f t="shared" si="57"/>
        <v>0</v>
      </c>
      <c r="AJ322" s="44">
        <f t="shared" si="58"/>
        <v>0</v>
      </c>
      <c r="AK322" s="45">
        <f t="shared" si="59"/>
        <v>0</v>
      </c>
      <c r="AL322" s="16">
        <f t="shared" si="63"/>
        <v>0</v>
      </c>
      <c r="AM322" s="17" t="e">
        <f t="shared" si="60"/>
        <v>#DIV/0!</v>
      </c>
      <c r="AN322" s="17" t="e">
        <f t="shared" si="61"/>
        <v>#DIV/0!</v>
      </c>
    </row>
    <row r="323" spans="33:40" ht="49" thickTop="1" thickBot="1" x14ac:dyDescent="0.6">
      <c r="AG323" s="15"/>
      <c r="AH323" s="15" t="str">
        <f t="shared" si="62"/>
        <v>NA</v>
      </c>
      <c r="AI323" s="16">
        <f t="shared" si="57"/>
        <v>0</v>
      </c>
      <c r="AJ323" s="44">
        <f t="shared" si="58"/>
        <v>0</v>
      </c>
      <c r="AK323" s="45">
        <f t="shared" si="59"/>
        <v>0</v>
      </c>
      <c r="AL323" s="16">
        <f t="shared" si="63"/>
        <v>0</v>
      </c>
      <c r="AM323" s="17" t="e">
        <f t="shared" si="60"/>
        <v>#DIV/0!</v>
      </c>
      <c r="AN323" s="17" t="e">
        <f t="shared" si="61"/>
        <v>#DIV/0!</v>
      </c>
    </row>
    <row r="324" spans="33:40" ht="49" thickTop="1" thickBot="1" x14ac:dyDescent="0.6">
      <c r="AG324" s="15"/>
      <c r="AH324" s="15" t="str">
        <f t="shared" si="62"/>
        <v>NA</v>
      </c>
      <c r="AI324" s="16">
        <f t="shared" si="57"/>
        <v>0</v>
      </c>
      <c r="AJ324" s="44">
        <f t="shared" si="58"/>
        <v>0</v>
      </c>
      <c r="AK324" s="45">
        <f t="shared" si="59"/>
        <v>0</v>
      </c>
      <c r="AL324" s="16">
        <f t="shared" si="63"/>
        <v>0</v>
      </c>
      <c r="AM324" s="17" t="e">
        <f t="shared" si="60"/>
        <v>#DIV/0!</v>
      </c>
      <c r="AN324" s="17" t="e">
        <f t="shared" si="61"/>
        <v>#DIV/0!</v>
      </c>
    </row>
    <row r="325" spans="33:40" ht="49" thickTop="1" thickBot="1" x14ac:dyDescent="0.6">
      <c r="AG325" s="15"/>
      <c r="AH325" s="15" t="str">
        <f t="shared" si="62"/>
        <v>NA</v>
      </c>
      <c r="AI325" s="16">
        <f t="shared" ref="AI325:AI363" si="64">IF(AH325= "NA",0,$D$9)</f>
        <v>0</v>
      </c>
      <c r="AJ325" s="44">
        <f t="shared" ref="AJ325:AJ363" si="65">IF(AH325= "NA",0,PPMT($D$7/12,AH325,$D$8*12,-$D$6,0))</f>
        <v>0</v>
      </c>
      <c r="AK325" s="45">
        <f t="shared" ref="AK325:AK363" si="66">IF(AH325= "NA", 0,IPMT($D$7/12,AH325,$D$8*12,-$D$6,0))</f>
        <v>0</v>
      </c>
      <c r="AL325" s="16">
        <f t="shared" si="63"/>
        <v>0</v>
      </c>
      <c r="AM325" s="17" t="e">
        <f t="shared" ref="AM325:AM363" si="67">AJ325/AI325</f>
        <v>#DIV/0!</v>
      </c>
      <c r="AN325" s="17" t="e">
        <f t="shared" ref="AN325:AN363" si="68">AK325/AI325</f>
        <v>#DIV/0!</v>
      </c>
    </row>
    <row r="326" spans="33:40" ht="49" thickTop="1" thickBot="1" x14ac:dyDescent="0.6">
      <c r="AG326" s="15"/>
      <c r="AH326" s="15" t="str">
        <f t="shared" ref="AH326:AH363" si="69">IF(AH325&lt;$D$8*12,AH325+1, "NA")</f>
        <v>NA</v>
      </c>
      <c r="AI326" s="16">
        <f t="shared" si="64"/>
        <v>0</v>
      </c>
      <c r="AJ326" s="44">
        <f t="shared" si="65"/>
        <v>0</v>
      </c>
      <c r="AK326" s="45">
        <f t="shared" si="66"/>
        <v>0</v>
      </c>
      <c r="AL326" s="16">
        <f t="shared" ref="AL326:AL363" si="70">IF(AH326= "NA", 0,AL325-AJ326)</f>
        <v>0</v>
      </c>
      <c r="AM326" s="17" t="e">
        <f t="shared" si="67"/>
        <v>#DIV/0!</v>
      </c>
      <c r="AN326" s="17" t="e">
        <f t="shared" si="68"/>
        <v>#DIV/0!</v>
      </c>
    </row>
    <row r="327" spans="33:40" ht="49" thickTop="1" thickBot="1" x14ac:dyDescent="0.6">
      <c r="AG327" s="15"/>
      <c r="AH327" s="15" t="str">
        <f t="shared" si="69"/>
        <v>NA</v>
      </c>
      <c r="AI327" s="16">
        <f t="shared" si="64"/>
        <v>0</v>
      </c>
      <c r="AJ327" s="44">
        <f t="shared" si="65"/>
        <v>0</v>
      </c>
      <c r="AK327" s="45">
        <f t="shared" si="66"/>
        <v>0</v>
      </c>
      <c r="AL327" s="16">
        <f t="shared" si="70"/>
        <v>0</v>
      </c>
      <c r="AM327" s="17" t="e">
        <f t="shared" si="67"/>
        <v>#DIV/0!</v>
      </c>
      <c r="AN327" s="17" t="e">
        <f t="shared" si="68"/>
        <v>#DIV/0!</v>
      </c>
    </row>
    <row r="328" spans="33:40" ht="49" thickTop="1" thickBot="1" x14ac:dyDescent="0.6">
      <c r="AG328" s="15" t="str">
        <f>IF(AH328= "NA", "NA",28)</f>
        <v>NA</v>
      </c>
      <c r="AH328" s="15" t="str">
        <f t="shared" si="69"/>
        <v>NA</v>
      </c>
      <c r="AI328" s="16">
        <f t="shared" si="64"/>
        <v>0</v>
      </c>
      <c r="AJ328" s="44">
        <f t="shared" si="65"/>
        <v>0</v>
      </c>
      <c r="AK328" s="45">
        <f t="shared" si="66"/>
        <v>0</v>
      </c>
      <c r="AL328" s="16">
        <f t="shared" si="70"/>
        <v>0</v>
      </c>
      <c r="AM328" s="17" t="e">
        <f t="shared" si="67"/>
        <v>#DIV/0!</v>
      </c>
      <c r="AN328" s="17" t="e">
        <f t="shared" si="68"/>
        <v>#DIV/0!</v>
      </c>
    </row>
    <row r="329" spans="33:40" ht="49" thickTop="1" thickBot="1" x14ac:dyDescent="0.6">
      <c r="AG329" s="15"/>
      <c r="AH329" s="15" t="str">
        <f t="shared" si="69"/>
        <v>NA</v>
      </c>
      <c r="AI329" s="16">
        <f t="shared" si="64"/>
        <v>0</v>
      </c>
      <c r="AJ329" s="44">
        <f t="shared" si="65"/>
        <v>0</v>
      </c>
      <c r="AK329" s="45">
        <f t="shared" si="66"/>
        <v>0</v>
      </c>
      <c r="AL329" s="16">
        <f t="shared" si="70"/>
        <v>0</v>
      </c>
      <c r="AM329" s="17" t="e">
        <f t="shared" si="67"/>
        <v>#DIV/0!</v>
      </c>
      <c r="AN329" s="17" t="e">
        <f t="shared" si="68"/>
        <v>#DIV/0!</v>
      </c>
    </row>
    <row r="330" spans="33:40" ht="49" thickTop="1" thickBot="1" x14ac:dyDescent="0.6">
      <c r="AG330" s="15"/>
      <c r="AH330" s="15" t="str">
        <f t="shared" si="69"/>
        <v>NA</v>
      </c>
      <c r="AI330" s="16">
        <f t="shared" si="64"/>
        <v>0</v>
      </c>
      <c r="AJ330" s="44">
        <f t="shared" si="65"/>
        <v>0</v>
      </c>
      <c r="AK330" s="45">
        <f t="shared" si="66"/>
        <v>0</v>
      </c>
      <c r="AL330" s="16">
        <f t="shared" si="70"/>
        <v>0</v>
      </c>
      <c r="AM330" s="17" t="e">
        <f t="shared" si="67"/>
        <v>#DIV/0!</v>
      </c>
      <c r="AN330" s="17" t="e">
        <f t="shared" si="68"/>
        <v>#DIV/0!</v>
      </c>
    </row>
    <row r="331" spans="33:40" ht="49" thickTop="1" thickBot="1" x14ac:dyDescent="0.6">
      <c r="AG331" s="15"/>
      <c r="AH331" s="15" t="str">
        <f t="shared" si="69"/>
        <v>NA</v>
      </c>
      <c r="AI331" s="16">
        <f t="shared" si="64"/>
        <v>0</v>
      </c>
      <c r="AJ331" s="44">
        <f t="shared" si="65"/>
        <v>0</v>
      </c>
      <c r="AK331" s="45">
        <f t="shared" si="66"/>
        <v>0</v>
      </c>
      <c r="AL331" s="16">
        <f t="shared" si="70"/>
        <v>0</v>
      </c>
      <c r="AM331" s="17" t="e">
        <f t="shared" si="67"/>
        <v>#DIV/0!</v>
      </c>
      <c r="AN331" s="17" t="e">
        <f t="shared" si="68"/>
        <v>#DIV/0!</v>
      </c>
    </row>
    <row r="332" spans="33:40" ht="49" thickTop="1" thickBot="1" x14ac:dyDescent="0.6">
      <c r="AG332" s="15"/>
      <c r="AH332" s="15" t="str">
        <f t="shared" si="69"/>
        <v>NA</v>
      </c>
      <c r="AI332" s="16">
        <f t="shared" si="64"/>
        <v>0</v>
      </c>
      <c r="AJ332" s="44">
        <f t="shared" si="65"/>
        <v>0</v>
      </c>
      <c r="AK332" s="45">
        <f t="shared" si="66"/>
        <v>0</v>
      </c>
      <c r="AL332" s="16">
        <f t="shared" si="70"/>
        <v>0</v>
      </c>
      <c r="AM332" s="17" t="e">
        <f t="shared" si="67"/>
        <v>#DIV/0!</v>
      </c>
      <c r="AN332" s="17" t="e">
        <f t="shared" si="68"/>
        <v>#DIV/0!</v>
      </c>
    </row>
    <row r="333" spans="33:40" ht="49" thickTop="1" thickBot="1" x14ac:dyDescent="0.6">
      <c r="AG333" s="15"/>
      <c r="AH333" s="15" t="str">
        <f t="shared" si="69"/>
        <v>NA</v>
      </c>
      <c r="AI333" s="16">
        <f t="shared" si="64"/>
        <v>0</v>
      </c>
      <c r="AJ333" s="44">
        <f t="shared" si="65"/>
        <v>0</v>
      </c>
      <c r="AK333" s="45">
        <f t="shared" si="66"/>
        <v>0</v>
      </c>
      <c r="AL333" s="16">
        <f t="shared" si="70"/>
        <v>0</v>
      </c>
      <c r="AM333" s="17" t="e">
        <f t="shared" si="67"/>
        <v>#DIV/0!</v>
      </c>
      <c r="AN333" s="17" t="e">
        <f t="shared" si="68"/>
        <v>#DIV/0!</v>
      </c>
    </row>
    <row r="334" spans="33:40" ht="49" thickTop="1" thickBot="1" x14ac:dyDescent="0.6">
      <c r="AG334" s="15"/>
      <c r="AH334" s="15" t="str">
        <f t="shared" si="69"/>
        <v>NA</v>
      </c>
      <c r="AI334" s="16">
        <f t="shared" si="64"/>
        <v>0</v>
      </c>
      <c r="AJ334" s="44">
        <f t="shared" si="65"/>
        <v>0</v>
      </c>
      <c r="AK334" s="45">
        <f t="shared" si="66"/>
        <v>0</v>
      </c>
      <c r="AL334" s="16">
        <f t="shared" si="70"/>
        <v>0</v>
      </c>
      <c r="AM334" s="17" t="e">
        <f t="shared" si="67"/>
        <v>#DIV/0!</v>
      </c>
      <c r="AN334" s="17" t="e">
        <f t="shared" si="68"/>
        <v>#DIV/0!</v>
      </c>
    </row>
    <row r="335" spans="33:40" ht="49" thickTop="1" thickBot="1" x14ac:dyDescent="0.6">
      <c r="AG335" s="15"/>
      <c r="AH335" s="15" t="str">
        <f t="shared" si="69"/>
        <v>NA</v>
      </c>
      <c r="AI335" s="16">
        <f t="shared" si="64"/>
        <v>0</v>
      </c>
      <c r="AJ335" s="44">
        <f t="shared" si="65"/>
        <v>0</v>
      </c>
      <c r="AK335" s="45">
        <f t="shared" si="66"/>
        <v>0</v>
      </c>
      <c r="AL335" s="16">
        <f t="shared" si="70"/>
        <v>0</v>
      </c>
      <c r="AM335" s="17" t="e">
        <f t="shared" si="67"/>
        <v>#DIV/0!</v>
      </c>
      <c r="AN335" s="17" t="e">
        <f t="shared" si="68"/>
        <v>#DIV/0!</v>
      </c>
    </row>
    <row r="336" spans="33:40" ht="49" thickTop="1" thickBot="1" x14ac:dyDescent="0.6">
      <c r="AG336" s="15"/>
      <c r="AH336" s="15" t="str">
        <f t="shared" si="69"/>
        <v>NA</v>
      </c>
      <c r="AI336" s="16">
        <f t="shared" si="64"/>
        <v>0</v>
      </c>
      <c r="AJ336" s="44">
        <f t="shared" si="65"/>
        <v>0</v>
      </c>
      <c r="AK336" s="45">
        <f t="shared" si="66"/>
        <v>0</v>
      </c>
      <c r="AL336" s="16">
        <f t="shared" si="70"/>
        <v>0</v>
      </c>
      <c r="AM336" s="17" t="e">
        <f t="shared" si="67"/>
        <v>#DIV/0!</v>
      </c>
      <c r="AN336" s="17" t="e">
        <f t="shared" si="68"/>
        <v>#DIV/0!</v>
      </c>
    </row>
    <row r="337" spans="33:40" ht="49" thickTop="1" thickBot="1" x14ac:dyDescent="0.6">
      <c r="AG337" s="15"/>
      <c r="AH337" s="15" t="str">
        <f t="shared" si="69"/>
        <v>NA</v>
      </c>
      <c r="AI337" s="16">
        <f t="shared" si="64"/>
        <v>0</v>
      </c>
      <c r="AJ337" s="44">
        <f t="shared" si="65"/>
        <v>0</v>
      </c>
      <c r="AK337" s="45">
        <f t="shared" si="66"/>
        <v>0</v>
      </c>
      <c r="AL337" s="16">
        <f t="shared" si="70"/>
        <v>0</v>
      </c>
      <c r="AM337" s="17" t="e">
        <f t="shared" si="67"/>
        <v>#DIV/0!</v>
      </c>
      <c r="AN337" s="17" t="e">
        <f t="shared" si="68"/>
        <v>#DIV/0!</v>
      </c>
    </row>
    <row r="338" spans="33:40" ht="49" thickTop="1" thickBot="1" x14ac:dyDescent="0.6">
      <c r="AG338" s="15"/>
      <c r="AH338" s="15" t="str">
        <f t="shared" si="69"/>
        <v>NA</v>
      </c>
      <c r="AI338" s="16">
        <f t="shared" si="64"/>
        <v>0</v>
      </c>
      <c r="AJ338" s="44">
        <f t="shared" si="65"/>
        <v>0</v>
      </c>
      <c r="AK338" s="45">
        <f t="shared" si="66"/>
        <v>0</v>
      </c>
      <c r="AL338" s="16">
        <f t="shared" si="70"/>
        <v>0</v>
      </c>
      <c r="AM338" s="17" t="e">
        <f t="shared" si="67"/>
        <v>#DIV/0!</v>
      </c>
      <c r="AN338" s="17" t="e">
        <f t="shared" si="68"/>
        <v>#DIV/0!</v>
      </c>
    </row>
    <row r="339" spans="33:40" ht="49" thickTop="1" thickBot="1" x14ac:dyDescent="0.6">
      <c r="AG339" s="15"/>
      <c r="AH339" s="15" t="str">
        <f t="shared" si="69"/>
        <v>NA</v>
      </c>
      <c r="AI339" s="16">
        <f t="shared" si="64"/>
        <v>0</v>
      </c>
      <c r="AJ339" s="44">
        <f t="shared" si="65"/>
        <v>0</v>
      </c>
      <c r="AK339" s="45">
        <f t="shared" si="66"/>
        <v>0</v>
      </c>
      <c r="AL339" s="16">
        <f t="shared" si="70"/>
        <v>0</v>
      </c>
      <c r="AM339" s="17" t="e">
        <f t="shared" si="67"/>
        <v>#DIV/0!</v>
      </c>
      <c r="AN339" s="17" t="e">
        <f t="shared" si="68"/>
        <v>#DIV/0!</v>
      </c>
    </row>
    <row r="340" spans="33:40" ht="49" thickTop="1" thickBot="1" x14ac:dyDescent="0.6">
      <c r="AG340" s="15" t="str">
        <f>IF(AH340= "NA", "NA",29)</f>
        <v>NA</v>
      </c>
      <c r="AH340" s="15" t="str">
        <f t="shared" si="69"/>
        <v>NA</v>
      </c>
      <c r="AI340" s="16">
        <f t="shared" si="64"/>
        <v>0</v>
      </c>
      <c r="AJ340" s="44">
        <f t="shared" si="65"/>
        <v>0</v>
      </c>
      <c r="AK340" s="45">
        <f t="shared" si="66"/>
        <v>0</v>
      </c>
      <c r="AL340" s="16">
        <f t="shared" si="70"/>
        <v>0</v>
      </c>
      <c r="AM340" s="17" t="e">
        <f t="shared" si="67"/>
        <v>#DIV/0!</v>
      </c>
      <c r="AN340" s="17" t="e">
        <f t="shared" si="68"/>
        <v>#DIV/0!</v>
      </c>
    </row>
    <row r="341" spans="33:40" ht="49" thickTop="1" thickBot="1" x14ac:dyDescent="0.6">
      <c r="AG341" s="15"/>
      <c r="AH341" s="15" t="str">
        <f t="shared" si="69"/>
        <v>NA</v>
      </c>
      <c r="AI341" s="16">
        <f t="shared" si="64"/>
        <v>0</v>
      </c>
      <c r="AJ341" s="44">
        <f t="shared" si="65"/>
        <v>0</v>
      </c>
      <c r="AK341" s="45">
        <f t="shared" si="66"/>
        <v>0</v>
      </c>
      <c r="AL341" s="16">
        <f t="shared" si="70"/>
        <v>0</v>
      </c>
      <c r="AM341" s="17" t="e">
        <f t="shared" si="67"/>
        <v>#DIV/0!</v>
      </c>
      <c r="AN341" s="17" t="e">
        <f t="shared" si="68"/>
        <v>#DIV/0!</v>
      </c>
    </row>
    <row r="342" spans="33:40" ht="49" thickTop="1" thickBot="1" x14ac:dyDescent="0.6">
      <c r="AG342" s="15"/>
      <c r="AH342" s="15" t="str">
        <f t="shared" si="69"/>
        <v>NA</v>
      </c>
      <c r="AI342" s="16">
        <f t="shared" si="64"/>
        <v>0</v>
      </c>
      <c r="AJ342" s="44">
        <f t="shared" si="65"/>
        <v>0</v>
      </c>
      <c r="AK342" s="45">
        <f t="shared" si="66"/>
        <v>0</v>
      </c>
      <c r="AL342" s="16">
        <f t="shared" si="70"/>
        <v>0</v>
      </c>
      <c r="AM342" s="17" t="e">
        <f t="shared" si="67"/>
        <v>#DIV/0!</v>
      </c>
      <c r="AN342" s="17" t="e">
        <f t="shared" si="68"/>
        <v>#DIV/0!</v>
      </c>
    </row>
    <row r="343" spans="33:40" ht="49" thickTop="1" thickBot="1" x14ac:dyDescent="0.6">
      <c r="AG343" s="15"/>
      <c r="AH343" s="15" t="str">
        <f t="shared" si="69"/>
        <v>NA</v>
      </c>
      <c r="AI343" s="16">
        <f t="shared" si="64"/>
        <v>0</v>
      </c>
      <c r="AJ343" s="44">
        <f t="shared" si="65"/>
        <v>0</v>
      </c>
      <c r="AK343" s="45">
        <f t="shared" si="66"/>
        <v>0</v>
      </c>
      <c r="AL343" s="16">
        <f t="shared" si="70"/>
        <v>0</v>
      </c>
      <c r="AM343" s="17" t="e">
        <f t="shared" si="67"/>
        <v>#DIV/0!</v>
      </c>
      <c r="AN343" s="17" t="e">
        <f t="shared" si="68"/>
        <v>#DIV/0!</v>
      </c>
    </row>
    <row r="344" spans="33:40" ht="49" thickTop="1" thickBot="1" x14ac:dyDescent="0.6">
      <c r="AG344" s="15"/>
      <c r="AH344" s="15" t="str">
        <f t="shared" si="69"/>
        <v>NA</v>
      </c>
      <c r="AI344" s="16">
        <f t="shared" si="64"/>
        <v>0</v>
      </c>
      <c r="AJ344" s="44">
        <f t="shared" si="65"/>
        <v>0</v>
      </c>
      <c r="AK344" s="45">
        <f t="shared" si="66"/>
        <v>0</v>
      </c>
      <c r="AL344" s="16">
        <f t="shared" si="70"/>
        <v>0</v>
      </c>
      <c r="AM344" s="17" t="e">
        <f t="shared" si="67"/>
        <v>#DIV/0!</v>
      </c>
      <c r="AN344" s="17" t="e">
        <f t="shared" si="68"/>
        <v>#DIV/0!</v>
      </c>
    </row>
    <row r="345" spans="33:40" ht="49" thickTop="1" thickBot="1" x14ac:dyDescent="0.6">
      <c r="AG345" s="15"/>
      <c r="AH345" s="15" t="str">
        <f t="shared" si="69"/>
        <v>NA</v>
      </c>
      <c r="AI345" s="16">
        <f t="shared" si="64"/>
        <v>0</v>
      </c>
      <c r="AJ345" s="44">
        <f t="shared" si="65"/>
        <v>0</v>
      </c>
      <c r="AK345" s="45">
        <f t="shared" si="66"/>
        <v>0</v>
      </c>
      <c r="AL345" s="16">
        <f t="shared" si="70"/>
        <v>0</v>
      </c>
      <c r="AM345" s="17" t="e">
        <f t="shared" si="67"/>
        <v>#DIV/0!</v>
      </c>
      <c r="AN345" s="17" t="e">
        <f t="shared" si="68"/>
        <v>#DIV/0!</v>
      </c>
    </row>
    <row r="346" spans="33:40" ht="49" thickTop="1" thickBot="1" x14ac:dyDescent="0.6">
      <c r="AG346" s="15"/>
      <c r="AH346" s="15" t="str">
        <f t="shared" si="69"/>
        <v>NA</v>
      </c>
      <c r="AI346" s="16">
        <f t="shared" si="64"/>
        <v>0</v>
      </c>
      <c r="AJ346" s="44">
        <f t="shared" si="65"/>
        <v>0</v>
      </c>
      <c r="AK346" s="45">
        <f t="shared" si="66"/>
        <v>0</v>
      </c>
      <c r="AL346" s="16">
        <f t="shared" si="70"/>
        <v>0</v>
      </c>
      <c r="AM346" s="17" t="e">
        <f t="shared" si="67"/>
        <v>#DIV/0!</v>
      </c>
      <c r="AN346" s="17" t="e">
        <f t="shared" si="68"/>
        <v>#DIV/0!</v>
      </c>
    </row>
    <row r="347" spans="33:40" ht="49" thickTop="1" thickBot="1" x14ac:dyDescent="0.6">
      <c r="AG347" s="15"/>
      <c r="AH347" s="15" t="str">
        <f t="shared" si="69"/>
        <v>NA</v>
      </c>
      <c r="AI347" s="16">
        <f t="shared" si="64"/>
        <v>0</v>
      </c>
      <c r="AJ347" s="44">
        <f t="shared" si="65"/>
        <v>0</v>
      </c>
      <c r="AK347" s="45">
        <f t="shared" si="66"/>
        <v>0</v>
      </c>
      <c r="AL347" s="16">
        <f t="shared" si="70"/>
        <v>0</v>
      </c>
      <c r="AM347" s="17" t="e">
        <f t="shared" si="67"/>
        <v>#DIV/0!</v>
      </c>
      <c r="AN347" s="17" t="e">
        <f t="shared" si="68"/>
        <v>#DIV/0!</v>
      </c>
    </row>
    <row r="348" spans="33:40" ht="49" thickTop="1" thickBot="1" x14ac:dyDescent="0.6">
      <c r="AG348" s="15"/>
      <c r="AH348" s="15" t="str">
        <f t="shared" si="69"/>
        <v>NA</v>
      </c>
      <c r="AI348" s="16">
        <f t="shared" si="64"/>
        <v>0</v>
      </c>
      <c r="AJ348" s="44">
        <f t="shared" si="65"/>
        <v>0</v>
      </c>
      <c r="AK348" s="45">
        <f t="shared" si="66"/>
        <v>0</v>
      </c>
      <c r="AL348" s="16">
        <f t="shared" si="70"/>
        <v>0</v>
      </c>
      <c r="AM348" s="17" t="e">
        <f t="shared" si="67"/>
        <v>#DIV/0!</v>
      </c>
      <c r="AN348" s="17" t="e">
        <f t="shared" si="68"/>
        <v>#DIV/0!</v>
      </c>
    </row>
    <row r="349" spans="33:40" ht="49" thickTop="1" thickBot="1" x14ac:dyDescent="0.6">
      <c r="AG349" s="15"/>
      <c r="AH349" s="15" t="str">
        <f t="shared" si="69"/>
        <v>NA</v>
      </c>
      <c r="AI349" s="16">
        <f t="shared" si="64"/>
        <v>0</v>
      </c>
      <c r="AJ349" s="44">
        <f t="shared" si="65"/>
        <v>0</v>
      </c>
      <c r="AK349" s="45">
        <f t="shared" si="66"/>
        <v>0</v>
      </c>
      <c r="AL349" s="16">
        <f t="shared" si="70"/>
        <v>0</v>
      </c>
      <c r="AM349" s="17" t="e">
        <f t="shared" si="67"/>
        <v>#DIV/0!</v>
      </c>
      <c r="AN349" s="17" t="e">
        <f t="shared" si="68"/>
        <v>#DIV/0!</v>
      </c>
    </row>
    <row r="350" spans="33:40" ht="49" thickTop="1" thickBot="1" x14ac:dyDescent="0.6">
      <c r="AG350" s="15"/>
      <c r="AH350" s="15" t="str">
        <f t="shared" si="69"/>
        <v>NA</v>
      </c>
      <c r="AI350" s="16">
        <f t="shared" si="64"/>
        <v>0</v>
      </c>
      <c r="AJ350" s="44">
        <f t="shared" si="65"/>
        <v>0</v>
      </c>
      <c r="AK350" s="45">
        <f t="shared" si="66"/>
        <v>0</v>
      </c>
      <c r="AL350" s="16">
        <f t="shared" si="70"/>
        <v>0</v>
      </c>
      <c r="AM350" s="17" t="e">
        <f t="shared" si="67"/>
        <v>#DIV/0!</v>
      </c>
      <c r="AN350" s="17" t="e">
        <f t="shared" si="68"/>
        <v>#DIV/0!</v>
      </c>
    </row>
    <row r="351" spans="33:40" ht="49" thickTop="1" thickBot="1" x14ac:dyDescent="0.6">
      <c r="AG351" s="15"/>
      <c r="AH351" s="15" t="str">
        <f t="shared" si="69"/>
        <v>NA</v>
      </c>
      <c r="AI351" s="16">
        <f t="shared" si="64"/>
        <v>0</v>
      </c>
      <c r="AJ351" s="44">
        <f t="shared" si="65"/>
        <v>0</v>
      </c>
      <c r="AK351" s="45">
        <f t="shared" si="66"/>
        <v>0</v>
      </c>
      <c r="AL351" s="16">
        <f t="shared" si="70"/>
        <v>0</v>
      </c>
      <c r="AM351" s="17" t="e">
        <f t="shared" si="67"/>
        <v>#DIV/0!</v>
      </c>
      <c r="AN351" s="17" t="e">
        <f t="shared" si="68"/>
        <v>#DIV/0!</v>
      </c>
    </row>
    <row r="352" spans="33:40" ht="49" thickTop="1" thickBot="1" x14ac:dyDescent="0.6">
      <c r="AG352" s="15" t="str">
        <f>IF(AH352= "NA", "NA",30)</f>
        <v>NA</v>
      </c>
      <c r="AH352" s="15" t="str">
        <f t="shared" si="69"/>
        <v>NA</v>
      </c>
      <c r="AI352" s="16">
        <f t="shared" si="64"/>
        <v>0</v>
      </c>
      <c r="AJ352" s="44">
        <f t="shared" si="65"/>
        <v>0</v>
      </c>
      <c r="AK352" s="45">
        <f t="shared" si="66"/>
        <v>0</v>
      </c>
      <c r="AL352" s="16">
        <f t="shared" si="70"/>
        <v>0</v>
      </c>
      <c r="AM352" s="17" t="e">
        <f t="shared" si="67"/>
        <v>#DIV/0!</v>
      </c>
      <c r="AN352" s="17" t="e">
        <f t="shared" si="68"/>
        <v>#DIV/0!</v>
      </c>
    </row>
    <row r="353" spans="33:40" ht="49" thickTop="1" thickBot="1" x14ac:dyDescent="0.6">
      <c r="AG353" s="15"/>
      <c r="AH353" s="15" t="str">
        <f t="shared" si="69"/>
        <v>NA</v>
      </c>
      <c r="AI353" s="16">
        <f t="shared" si="64"/>
        <v>0</v>
      </c>
      <c r="AJ353" s="44">
        <f t="shared" si="65"/>
        <v>0</v>
      </c>
      <c r="AK353" s="45">
        <f t="shared" si="66"/>
        <v>0</v>
      </c>
      <c r="AL353" s="16">
        <f t="shared" si="70"/>
        <v>0</v>
      </c>
      <c r="AM353" s="17" t="e">
        <f t="shared" si="67"/>
        <v>#DIV/0!</v>
      </c>
      <c r="AN353" s="17" t="e">
        <f t="shared" si="68"/>
        <v>#DIV/0!</v>
      </c>
    </row>
    <row r="354" spans="33:40" ht="49" thickTop="1" thickBot="1" x14ac:dyDescent="0.6">
      <c r="AG354" s="15"/>
      <c r="AH354" s="15" t="str">
        <f t="shared" si="69"/>
        <v>NA</v>
      </c>
      <c r="AI354" s="16">
        <f t="shared" si="64"/>
        <v>0</v>
      </c>
      <c r="AJ354" s="44">
        <f t="shared" si="65"/>
        <v>0</v>
      </c>
      <c r="AK354" s="45">
        <f t="shared" si="66"/>
        <v>0</v>
      </c>
      <c r="AL354" s="16">
        <f t="shared" si="70"/>
        <v>0</v>
      </c>
      <c r="AM354" s="17" t="e">
        <f t="shared" si="67"/>
        <v>#DIV/0!</v>
      </c>
      <c r="AN354" s="17" t="e">
        <f t="shared" si="68"/>
        <v>#DIV/0!</v>
      </c>
    </row>
    <row r="355" spans="33:40" ht="49" thickTop="1" thickBot="1" x14ac:dyDescent="0.6">
      <c r="AG355" s="15"/>
      <c r="AH355" s="15" t="str">
        <f t="shared" si="69"/>
        <v>NA</v>
      </c>
      <c r="AI355" s="16">
        <f t="shared" si="64"/>
        <v>0</v>
      </c>
      <c r="AJ355" s="44">
        <f t="shared" si="65"/>
        <v>0</v>
      </c>
      <c r="AK355" s="45">
        <f t="shared" si="66"/>
        <v>0</v>
      </c>
      <c r="AL355" s="16">
        <f t="shared" si="70"/>
        <v>0</v>
      </c>
      <c r="AM355" s="17" t="e">
        <f t="shared" si="67"/>
        <v>#DIV/0!</v>
      </c>
      <c r="AN355" s="17" t="e">
        <f t="shared" si="68"/>
        <v>#DIV/0!</v>
      </c>
    </row>
    <row r="356" spans="33:40" ht="49" thickTop="1" thickBot="1" x14ac:dyDescent="0.6">
      <c r="AG356" s="15"/>
      <c r="AH356" s="15" t="str">
        <f t="shared" si="69"/>
        <v>NA</v>
      </c>
      <c r="AI356" s="16">
        <f t="shared" si="64"/>
        <v>0</v>
      </c>
      <c r="AJ356" s="44">
        <f t="shared" si="65"/>
        <v>0</v>
      </c>
      <c r="AK356" s="45">
        <f t="shared" si="66"/>
        <v>0</v>
      </c>
      <c r="AL356" s="16">
        <f t="shared" si="70"/>
        <v>0</v>
      </c>
      <c r="AM356" s="17" t="e">
        <f t="shared" si="67"/>
        <v>#DIV/0!</v>
      </c>
      <c r="AN356" s="17" t="e">
        <f t="shared" si="68"/>
        <v>#DIV/0!</v>
      </c>
    </row>
    <row r="357" spans="33:40" ht="49" thickTop="1" thickBot="1" x14ac:dyDescent="0.6">
      <c r="AG357" s="15"/>
      <c r="AH357" s="15" t="str">
        <f t="shared" si="69"/>
        <v>NA</v>
      </c>
      <c r="AI357" s="16">
        <f t="shared" si="64"/>
        <v>0</v>
      </c>
      <c r="AJ357" s="44">
        <f t="shared" si="65"/>
        <v>0</v>
      </c>
      <c r="AK357" s="45">
        <f t="shared" si="66"/>
        <v>0</v>
      </c>
      <c r="AL357" s="16">
        <f t="shared" si="70"/>
        <v>0</v>
      </c>
      <c r="AM357" s="17" t="e">
        <f t="shared" si="67"/>
        <v>#DIV/0!</v>
      </c>
      <c r="AN357" s="17" t="e">
        <f t="shared" si="68"/>
        <v>#DIV/0!</v>
      </c>
    </row>
    <row r="358" spans="33:40" ht="49" thickTop="1" thickBot="1" x14ac:dyDescent="0.6">
      <c r="AG358" s="15"/>
      <c r="AH358" s="15" t="str">
        <f t="shared" si="69"/>
        <v>NA</v>
      </c>
      <c r="AI358" s="16">
        <f t="shared" si="64"/>
        <v>0</v>
      </c>
      <c r="AJ358" s="44">
        <f t="shared" si="65"/>
        <v>0</v>
      </c>
      <c r="AK358" s="45">
        <f t="shared" si="66"/>
        <v>0</v>
      </c>
      <c r="AL358" s="16">
        <f t="shared" si="70"/>
        <v>0</v>
      </c>
      <c r="AM358" s="17" t="e">
        <f t="shared" si="67"/>
        <v>#DIV/0!</v>
      </c>
      <c r="AN358" s="17" t="e">
        <f t="shared" si="68"/>
        <v>#DIV/0!</v>
      </c>
    </row>
    <row r="359" spans="33:40" ht="49" thickTop="1" thickBot="1" x14ac:dyDescent="0.6">
      <c r="AG359" s="15"/>
      <c r="AH359" s="15" t="str">
        <f t="shared" si="69"/>
        <v>NA</v>
      </c>
      <c r="AI359" s="16">
        <f t="shared" si="64"/>
        <v>0</v>
      </c>
      <c r="AJ359" s="44">
        <f t="shared" si="65"/>
        <v>0</v>
      </c>
      <c r="AK359" s="45">
        <f t="shared" si="66"/>
        <v>0</v>
      </c>
      <c r="AL359" s="16">
        <f t="shared" si="70"/>
        <v>0</v>
      </c>
      <c r="AM359" s="17" t="e">
        <f t="shared" si="67"/>
        <v>#DIV/0!</v>
      </c>
      <c r="AN359" s="17" t="e">
        <f t="shared" si="68"/>
        <v>#DIV/0!</v>
      </c>
    </row>
    <row r="360" spans="33:40" ht="49" thickTop="1" thickBot="1" x14ac:dyDescent="0.6">
      <c r="AG360" s="15"/>
      <c r="AH360" s="15" t="str">
        <f t="shared" si="69"/>
        <v>NA</v>
      </c>
      <c r="AI360" s="16">
        <f t="shared" si="64"/>
        <v>0</v>
      </c>
      <c r="AJ360" s="44">
        <f t="shared" si="65"/>
        <v>0</v>
      </c>
      <c r="AK360" s="45">
        <f t="shared" si="66"/>
        <v>0</v>
      </c>
      <c r="AL360" s="16">
        <f t="shared" si="70"/>
        <v>0</v>
      </c>
      <c r="AM360" s="17" t="e">
        <f t="shared" si="67"/>
        <v>#DIV/0!</v>
      </c>
      <c r="AN360" s="17" t="e">
        <f t="shared" si="68"/>
        <v>#DIV/0!</v>
      </c>
    </row>
    <row r="361" spans="33:40" ht="49" thickTop="1" thickBot="1" x14ac:dyDescent="0.6">
      <c r="AG361" s="15"/>
      <c r="AH361" s="15" t="str">
        <f t="shared" si="69"/>
        <v>NA</v>
      </c>
      <c r="AI361" s="16">
        <f t="shared" si="64"/>
        <v>0</v>
      </c>
      <c r="AJ361" s="44">
        <f t="shared" si="65"/>
        <v>0</v>
      </c>
      <c r="AK361" s="45">
        <f t="shared" si="66"/>
        <v>0</v>
      </c>
      <c r="AL361" s="16">
        <f t="shared" si="70"/>
        <v>0</v>
      </c>
      <c r="AM361" s="17" t="e">
        <f t="shared" si="67"/>
        <v>#DIV/0!</v>
      </c>
      <c r="AN361" s="17" t="e">
        <f t="shared" si="68"/>
        <v>#DIV/0!</v>
      </c>
    </row>
    <row r="362" spans="33:40" ht="49" thickTop="1" thickBot="1" x14ac:dyDescent="0.6">
      <c r="AG362" s="15"/>
      <c r="AH362" s="15" t="str">
        <f t="shared" si="69"/>
        <v>NA</v>
      </c>
      <c r="AI362" s="16">
        <f t="shared" si="64"/>
        <v>0</v>
      </c>
      <c r="AJ362" s="44">
        <f t="shared" si="65"/>
        <v>0</v>
      </c>
      <c r="AK362" s="45">
        <f t="shared" si="66"/>
        <v>0</v>
      </c>
      <c r="AL362" s="16">
        <f t="shared" si="70"/>
        <v>0</v>
      </c>
      <c r="AM362" s="17" t="e">
        <f t="shared" si="67"/>
        <v>#DIV/0!</v>
      </c>
      <c r="AN362" s="17" t="e">
        <f t="shared" si="68"/>
        <v>#DIV/0!</v>
      </c>
    </row>
    <row r="363" spans="33:40" ht="49" thickTop="1" thickBot="1" x14ac:dyDescent="0.6">
      <c r="AG363" s="15"/>
      <c r="AH363" s="15" t="str">
        <f t="shared" si="69"/>
        <v>NA</v>
      </c>
      <c r="AI363" s="16">
        <f t="shared" si="64"/>
        <v>0</v>
      </c>
      <c r="AJ363" s="44">
        <f t="shared" si="65"/>
        <v>0</v>
      </c>
      <c r="AK363" s="45">
        <f t="shared" si="66"/>
        <v>0</v>
      </c>
      <c r="AL363" s="16">
        <f t="shared" si="70"/>
        <v>0</v>
      </c>
      <c r="AM363" s="17" t="e">
        <f t="shared" si="67"/>
        <v>#DIV/0!</v>
      </c>
      <c r="AN363" s="17" t="e">
        <f t="shared" si="68"/>
        <v>#DIV/0!</v>
      </c>
    </row>
    <row r="364" spans="33:40" ht="48" thickTop="1" x14ac:dyDescent="0.55000000000000004"/>
  </sheetData>
  <sheetProtection algorithmName="SHA-512" hashValue="k/C6VXyOAMSymqNmZv7PXMzsxzj4/zjAxr5bMDjdsv9cAkPk8JnqHwWjxMy3QG2nwzlC9ZM2HFS/so8TCAje1Q==" saltValue="5CiF6HV4hopzeci443F9iQ==" spinCount="100000" sheet="1" objects="1" scenarios="1"/>
  <mergeCells count="17">
    <mergeCell ref="D49:E49"/>
    <mergeCell ref="D50:E50"/>
    <mergeCell ref="D47:E47"/>
    <mergeCell ref="D48:E48"/>
    <mergeCell ref="C44:E44"/>
    <mergeCell ref="AM2:AN2"/>
    <mergeCell ref="C3:D3"/>
    <mergeCell ref="C27:D27"/>
    <mergeCell ref="C38:D38"/>
    <mergeCell ref="AG2:AG3"/>
    <mergeCell ref="AH2:AH3"/>
    <mergeCell ref="AI2:AI3"/>
    <mergeCell ref="AJ2:AJ3"/>
    <mergeCell ref="AK2:AK3"/>
    <mergeCell ref="AL2:AL3"/>
    <mergeCell ref="D45:E45"/>
    <mergeCell ref="D46:E46"/>
  </mergeCells>
  <conditionalFormatting sqref="C46:D46">
    <cfRule type="cellIs" dxfId="5" priority="1" operator="equal">
      <formula>"NOT ADVISABLE TO BUY"</formula>
    </cfRule>
    <cfRule type="cellIs" dxfId="4" priority="2" operator="equal">
      <formula>"ADVISABLE TO BUY"</formula>
    </cfRule>
  </conditionalFormatting>
  <hyperlinks>
    <hyperlink ref="D46" r:id="rId1" xr:uid="{BD29BA6D-D3EE-BB49-AA50-C852161BC6A1}"/>
    <hyperlink ref="D45" r:id="rId2" xr:uid="{4186FC9B-9748-2A40-8002-3FC6C5319B24}"/>
    <hyperlink ref="D47" r:id="rId3" xr:uid="{6C9164A4-A50F-3D47-A522-CE4A3AC04199}"/>
    <hyperlink ref="D48" r:id="rId4" xr:uid="{2A75EB21-D243-784F-BC7B-6C784A292ED6}"/>
    <hyperlink ref="D49" r:id="rId5" xr:uid="{679ABF9E-C360-3848-9741-6D9B94B4A9DB}"/>
    <hyperlink ref="D50" r:id="rId6" xr:uid="{624E1171-82EA-764E-A976-B4AB98DB9685}"/>
  </hyperlinks>
  <pageMargins left="0.7" right="0.7" top="0.75" bottom="0.75" header="0.3" footer="0.3"/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0F2B6-90AB-6C44-A2B4-44F7792BBA3A}">
  <dimension ref="C4:R96"/>
  <sheetViews>
    <sheetView showGridLines="0" topLeftCell="A31" zoomScale="50" workbookViewId="0">
      <selection activeCell="C39" sqref="C39:E39"/>
    </sheetView>
  </sheetViews>
  <sheetFormatPr baseColWidth="10" defaultRowHeight="47" x14ac:dyDescent="0.55000000000000004"/>
  <cols>
    <col min="1" max="2" width="10.83203125" style="3"/>
    <col min="3" max="3" width="129.5" style="3" customWidth="1"/>
    <col min="4" max="5" width="80.83203125" style="3" customWidth="1"/>
    <col min="6" max="7" width="10.83203125" style="3"/>
    <col min="8" max="8" width="48.1640625" style="3" customWidth="1"/>
    <col min="9" max="9" width="70.83203125" style="3" bestFit="1" customWidth="1"/>
    <col min="10" max="10" width="56" style="3" customWidth="1"/>
    <col min="11" max="11" width="57.1640625" style="3" customWidth="1"/>
    <col min="12" max="12" width="59.1640625" style="3" customWidth="1"/>
    <col min="13" max="13" width="58.83203125" style="3" bestFit="1" customWidth="1"/>
    <col min="14" max="14" width="58.83203125" style="3" customWidth="1"/>
    <col min="15" max="15" width="52.5" style="3" customWidth="1"/>
    <col min="16" max="16" width="70.5" style="3" bestFit="1" customWidth="1"/>
    <col min="17" max="17" width="66.1640625" style="3" customWidth="1"/>
    <col min="18" max="18" width="61.83203125" style="3" customWidth="1"/>
    <col min="19" max="19" width="50.83203125" style="3" customWidth="1"/>
    <col min="20" max="16384" width="10.83203125" style="3"/>
  </cols>
  <sheetData>
    <row r="4" spans="3:18" ht="48" thickBot="1" x14ac:dyDescent="0.6"/>
    <row r="5" spans="3:18" ht="49" thickTop="1" thickBot="1" x14ac:dyDescent="0.6">
      <c r="C5" s="63" t="s">
        <v>47</v>
      </c>
      <c r="D5" s="63"/>
      <c r="E5" s="5"/>
      <c r="H5" s="6" t="s">
        <v>1</v>
      </c>
      <c r="I5" s="9">
        <f>D12</f>
        <v>0.05</v>
      </c>
      <c r="J5" s="6" t="s">
        <v>2</v>
      </c>
      <c r="K5" s="40">
        <v>0.05</v>
      </c>
      <c r="L5" s="9" t="s">
        <v>3</v>
      </c>
      <c r="M5" s="9">
        <v>0.3</v>
      </c>
      <c r="N5" s="9" t="s">
        <v>67</v>
      </c>
      <c r="O5" s="9" t="s">
        <v>4</v>
      </c>
      <c r="P5" s="39">
        <v>0.3</v>
      </c>
      <c r="Q5" s="12" t="s">
        <v>0</v>
      </c>
      <c r="R5" s="9">
        <f>D10</f>
        <v>0.06</v>
      </c>
    </row>
    <row r="6" spans="3:18" ht="49" thickTop="1" thickBot="1" x14ac:dyDescent="0.6">
      <c r="C6" s="14" t="s">
        <v>25</v>
      </c>
      <c r="D6" s="34">
        <v>12000000</v>
      </c>
      <c r="H6" s="4" t="s">
        <v>5</v>
      </c>
      <c r="I6" s="4" t="s">
        <v>6</v>
      </c>
      <c r="J6" s="4" t="s">
        <v>7</v>
      </c>
      <c r="K6" s="4" t="s">
        <v>8</v>
      </c>
      <c r="L6" s="4" t="s">
        <v>9</v>
      </c>
      <c r="M6" s="4" t="s">
        <v>10</v>
      </c>
      <c r="N6" s="4" t="s">
        <v>66</v>
      </c>
      <c r="O6" s="4" t="s">
        <v>11</v>
      </c>
      <c r="P6" s="4" t="s">
        <v>12</v>
      </c>
      <c r="Q6" s="4" t="s">
        <v>13</v>
      </c>
      <c r="R6" s="4" t="s">
        <v>46</v>
      </c>
    </row>
    <row r="7" spans="3:18" ht="49" thickTop="1" thickBot="1" x14ac:dyDescent="0.6">
      <c r="C7" s="14" t="s">
        <v>17</v>
      </c>
      <c r="D7" s="33">
        <v>7.5999999999999998E-2</v>
      </c>
      <c r="H7" s="15">
        <v>1</v>
      </c>
      <c r="I7" s="16">
        <f>D11*12</f>
        <v>960000</v>
      </c>
      <c r="J7" s="16">
        <f>D18</f>
        <v>50000</v>
      </c>
      <c r="K7" s="16">
        <f>I7-J7</f>
        <v>910000</v>
      </c>
      <c r="L7" s="16">
        <f>K7*$M$5</f>
        <v>273000</v>
      </c>
      <c r="M7" s="16">
        <f>K7-L7</f>
        <v>637000</v>
      </c>
      <c r="N7" s="16">
        <f>IF(H7= "NA",0,IF(M7&gt;2000000,M7*18%,0))</f>
        <v>0</v>
      </c>
      <c r="O7" s="16">
        <f>(M7-N7)*$P$5</f>
        <v>191100</v>
      </c>
      <c r="P7" s="16">
        <f>K7-O7-N7</f>
        <v>718900</v>
      </c>
      <c r="Q7" s="16">
        <f>D13</f>
        <v>12912000</v>
      </c>
      <c r="R7" s="17">
        <f>(P7)/Q7</f>
        <v>5.5676889714993807E-2</v>
      </c>
    </row>
    <row r="8" spans="3:18" ht="49" thickTop="1" thickBot="1" x14ac:dyDescent="0.6">
      <c r="C8" s="14" t="s">
        <v>16</v>
      </c>
      <c r="D8" s="18">
        <f>D6*D7</f>
        <v>912000</v>
      </c>
      <c r="H8" s="15">
        <f>IF(H7&lt;$D$9,H7+1, "NA")</f>
        <v>2</v>
      </c>
      <c r="I8" s="16">
        <f>IF(H8= "NA",0,I7*(1+$I$5))</f>
        <v>1008000</v>
      </c>
      <c r="J8" s="16">
        <f>IF(H8= "NA",0,J7*(1+$K$5))</f>
        <v>52500</v>
      </c>
      <c r="K8" s="16">
        <f>IF(H8= "NA",0,I8-J8)</f>
        <v>955500</v>
      </c>
      <c r="L8" s="16">
        <f>IF(H8= "NA",0,K8*$M$5)</f>
        <v>286650</v>
      </c>
      <c r="M8" s="16">
        <f>IF(H8= "NA",0,K8-L8)</f>
        <v>668850</v>
      </c>
      <c r="N8" s="16">
        <f t="shared" ref="N8:N71" si="0">IF(H8= "NA",0,IF(M8&gt;2000000,M8*18%,0))</f>
        <v>0</v>
      </c>
      <c r="O8" s="16">
        <f>IF(H8= "NA",0,(M8-N8)*$P$5)</f>
        <v>200655</v>
      </c>
      <c r="P8" s="16">
        <f>IF(H8= "NA",0,K8-O8-N8)</f>
        <v>754845</v>
      </c>
      <c r="Q8" s="16">
        <f t="shared" ref="Q8:Q39" si="1">IF(H8= "NA",0,Q7*(1+$R$5))</f>
        <v>13686720</v>
      </c>
      <c r="R8" s="17">
        <f t="shared" ref="R8:R39" si="2">IF(H8= "NA",0,(P8)/Q8)</f>
        <v>5.5151636038437257E-2</v>
      </c>
    </row>
    <row r="9" spans="3:18" ht="49" thickTop="1" thickBot="1" x14ac:dyDescent="0.6">
      <c r="C9" s="14" t="s">
        <v>54</v>
      </c>
      <c r="D9" s="32">
        <v>25</v>
      </c>
      <c r="H9" s="15">
        <f t="shared" ref="H9:H72" si="3">IF(H8&lt;$D$9,H8+1, "NA")</f>
        <v>3</v>
      </c>
      <c r="I9" s="16">
        <f t="shared" ref="I9:I72" si="4">IF(H9= "NA",0,I8*(1+$I$5))</f>
        <v>1058400</v>
      </c>
      <c r="J9" s="16">
        <f t="shared" ref="J9:J72" si="5">IF(H9= "NA",0,J8*(1+$K$5))</f>
        <v>55125</v>
      </c>
      <c r="K9" s="16">
        <f t="shared" ref="K9:K72" si="6">IF(H9= "NA",0,I9-J9)</f>
        <v>1003275</v>
      </c>
      <c r="L9" s="16">
        <f t="shared" ref="L9:L72" si="7">IF(H9= "NA",0,K9*$M$5)</f>
        <v>300982.5</v>
      </c>
      <c r="M9" s="16">
        <f t="shared" ref="M9:M72" si="8">IF(H9= "NA",0,K9-L9)</f>
        <v>702292.5</v>
      </c>
      <c r="N9" s="16">
        <f t="shared" si="0"/>
        <v>0</v>
      </c>
      <c r="O9" s="16">
        <f t="shared" ref="O9:O72" si="9">IF(H9= "NA",0,(M9-N9)*$P$5)</f>
        <v>210687.75</v>
      </c>
      <c r="P9" s="16">
        <f t="shared" ref="P9:P72" si="10">IF(H9= "NA",0,K9-O9-N9)</f>
        <v>792587.25</v>
      </c>
      <c r="Q9" s="16">
        <f t="shared" si="1"/>
        <v>14507923.200000001</v>
      </c>
      <c r="R9" s="17">
        <f t="shared" si="2"/>
        <v>5.4631337585244452E-2</v>
      </c>
    </row>
    <row r="10" spans="3:18" ht="49" thickTop="1" thickBot="1" x14ac:dyDescent="0.6">
      <c r="C10" s="14" t="s">
        <v>62</v>
      </c>
      <c r="D10" s="33">
        <v>0.06</v>
      </c>
      <c r="H10" s="15">
        <f t="shared" si="3"/>
        <v>4</v>
      </c>
      <c r="I10" s="16">
        <f t="shared" si="4"/>
        <v>1111320</v>
      </c>
      <c r="J10" s="16">
        <f t="shared" si="5"/>
        <v>57881.25</v>
      </c>
      <c r="K10" s="16">
        <f t="shared" si="6"/>
        <v>1053438.75</v>
      </c>
      <c r="L10" s="16">
        <f t="shared" si="7"/>
        <v>316031.625</v>
      </c>
      <c r="M10" s="16">
        <f t="shared" si="8"/>
        <v>737407.125</v>
      </c>
      <c r="N10" s="16">
        <f t="shared" si="0"/>
        <v>0</v>
      </c>
      <c r="O10" s="16">
        <f t="shared" si="9"/>
        <v>221222.13749999998</v>
      </c>
      <c r="P10" s="16">
        <f t="shared" si="10"/>
        <v>832216.61250000005</v>
      </c>
      <c r="Q10" s="16">
        <f t="shared" si="1"/>
        <v>15378398.592000002</v>
      </c>
      <c r="R10" s="17">
        <f t="shared" si="2"/>
        <v>5.4115947608025163E-2</v>
      </c>
    </row>
    <row r="11" spans="3:18" ht="49" thickTop="1" thickBot="1" x14ac:dyDescent="0.6">
      <c r="C11" s="14" t="s">
        <v>21</v>
      </c>
      <c r="D11" s="34">
        <v>80000</v>
      </c>
      <c r="E11" s="19">
        <f>D11*12/D6</f>
        <v>0.08</v>
      </c>
      <c r="H11" s="15">
        <f t="shared" si="3"/>
        <v>5</v>
      </c>
      <c r="I11" s="16">
        <f t="shared" si="4"/>
        <v>1166886</v>
      </c>
      <c r="J11" s="16">
        <f t="shared" si="5"/>
        <v>60775.3125</v>
      </c>
      <c r="K11" s="16">
        <f t="shared" si="6"/>
        <v>1106110.6875</v>
      </c>
      <c r="L11" s="16">
        <f t="shared" si="7"/>
        <v>331833.20624999999</v>
      </c>
      <c r="M11" s="16">
        <f t="shared" si="8"/>
        <v>774277.48124999995</v>
      </c>
      <c r="N11" s="16">
        <f t="shared" si="0"/>
        <v>0</v>
      </c>
      <c r="O11" s="16">
        <f t="shared" si="9"/>
        <v>232283.24437499998</v>
      </c>
      <c r="P11" s="16">
        <f t="shared" si="10"/>
        <v>873827.44312499999</v>
      </c>
      <c r="Q11" s="16">
        <f t="shared" si="1"/>
        <v>16301102.507520003</v>
      </c>
      <c r="R11" s="17">
        <f t="shared" si="2"/>
        <v>5.3605419800402274E-2</v>
      </c>
    </row>
    <row r="12" spans="3:18" ht="49" thickTop="1" thickBot="1" x14ac:dyDescent="0.6">
      <c r="C12" s="20" t="s">
        <v>22</v>
      </c>
      <c r="D12" s="35">
        <v>0.05</v>
      </c>
      <c r="H12" s="15">
        <f t="shared" si="3"/>
        <v>6</v>
      </c>
      <c r="I12" s="16">
        <f t="shared" si="4"/>
        <v>1225230.3</v>
      </c>
      <c r="J12" s="16">
        <f t="shared" si="5"/>
        <v>63814.078125</v>
      </c>
      <c r="K12" s="16">
        <f t="shared" si="6"/>
        <v>1161416.221875</v>
      </c>
      <c r="L12" s="16">
        <f t="shared" si="7"/>
        <v>348424.86656250001</v>
      </c>
      <c r="M12" s="16">
        <f t="shared" si="8"/>
        <v>812991.35531250003</v>
      </c>
      <c r="N12" s="16">
        <f t="shared" si="0"/>
        <v>0</v>
      </c>
      <c r="O12" s="16">
        <f t="shared" si="9"/>
        <v>243897.40659375</v>
      </c>
      <c r="P12" s="16">
        <f t="shared" si="10"/>
        <v>917518.81528125005</v>
      </c>
      <c r="Q12" s="16">
        <f t="shared" si="1"/>
        <v>17279168.657971203</v>
      </c>
      <c r="R12" s="17">
        <f t="shared" si="2"/>
        <v>5.3099708292851315E-2</v>
      </c>
    </row>
    <row r="13" spans="3:18" ht="49" thickTop="1" thickBot="1" x14ac:dyDescent="0.6">
      <c r="C13" s="42" t="s">
        <v>55</v>
      </c>
      <c r="D13" s="18">
        <f>SUM(D6+D8)</f>
        <v>12912000</v>
      </c>
      <c r="E13" s="23"/>
      <c r="H13" s="15">
        <f t="shared" si="3"/>
        <v>7</v>
      </c>
      <c r="I13" s="16">
        <f t="shared" si="4"/>
        <v>1286491.8150000002</v>
      </c>
      <c r="J13" s="16">
        <f t="shared" si="5"/>
        <v>67004.782031249997</v>
      </c>
      <c r="K13" s="16">
        <f t="shared" si="6"/>
        <v>1219487.0329687502</v>
      </c>
      <c r="L13" s="16">
        <f t="shared" si="7"/>
        <v>365846.10989062506</v>
      </c>
      <c r="M13" s="16">
        <f t="shared" si="8"/>
        <v>853640.92307812511</v>
      </c>
      <c r="N13" s="16">
        <f t="shared" si="0"/>
        <v>0</v>
      </c>
      <c r="O13" s="16">
        <f t="shared" si="9"/>
        <v>256092.27692343752</v>
      </c>
      <c r="P13" s="16">
        <f t="shared" si="10"/>
        <v>963394.75604531274</v>
      </c>
      <c r="Q13" s="16">
        <f t="shared" si="1"/>
        <v>18315918.777449477</v>
      </c>
      <c r="R13" s="17">
        <f t="shared" si="2"/>
        <v>5.2598767648579139E-2</v>
      </c>
    </row>
    <row r="14" spans="3:18" ht="49" thickTop="1" thickBot="1" x14ac:dyDescent="0.6">
      <c r="C14" s="51"/>
      <c r="D14" s="52"/>
      <c r="E14" s="51"/>
      <c r="H14" s="15">
        <f t="shared" si="3"/>
        <v>8</v>
      </c>
      <c r="I14" s="16">
        <f t="shared" si="4"/>
        <v>1350816.4057500002</v>
      </c>
      <c r="J14" s="16">
        <f t="shared" si="5"/>
        <v>70355.021132812501</v>
      </c>
      <c r="K14" s="16">
        <f t="shared" si="6"/>
        <v>1280461.3846171875</v>
      </c>
      <c r="L14" s="16">
        <f t="shared" si="7"/>
        <v>384138.41538515623</v>
      </c>
      <c r="M14" s="16">
        <f t="shared" si="8"/>
        <v>896322.96923203138</v>
      </c>
      <c r="N14" s="16">
        <f t="shared" si="0"/>
        <v>0</v>
      </c>
      <c r="O14" s="16">
        <f t="shared" si="9"/>
        <v>268896.89076960942</v>
      </c>
      <c r="P14" s="16">
        <f t="shared" si="10"/>
        <v>1011564.4938475781</v>
      </c>
      <c r="Q14" s="16">
        <f t="shared" si="1"/>
        <v>19414873.904096447</v>
      </c>
      <c r="R14" s="17">
        <f t="shared" si="2"/>
        <v>5.2102552859441584E-2</v>
      </c>
    </row>
    <row r="15" spans="3:18" ht="49" thickTop="1" thickBot="1" x14ac:dyDescent="0.6">
      <c r="H15" s="15">
        <f t="shared" si="3"/>
        <v>9</v>
      </c>
      <c r="I15" s="16">
        <f t="shared" si="4"/>
        <v>1418357.2260375002</v>
      </c>
      <c r="J15" s="16">
        <f t="shared" si="5"/>
        <v>73872.772189453128</v>
      </c>
      <c r="K15" s="16">
        <f t="shared" si="6"/>
        <v>1344484.4538480472</v>
      </c>
      <c r="L15" s="16">
        <f t="shared" si="7"/>
        <v>403345.33615441417</v>
      </c>
      <c r="M15" s="16">
        <f t="shared" si="8"/>
        <v>941139.11769363307</v>
      </c>
      <c r="N15" s="16">
        <f t="shared" si="0"/>
        <v>0</v>
      </c>
      <c r="O15" s="16">
        <f t="shared" si="9"/>
        <v>282341.73530808993</v>
      </c>
      <c r="P15" s="16">
        <f t="shared" si="10"/>
        <v>1062142.7185399572</v>
      </c>
      <c r="Q15" s="16">
        <f t="shared" si="1"/>
        <v>20579766.338342234</v>
      </c>
      <c r="R15" s="17">
        <f t="shared" si="2"/>
        <v>5.161101934189969E-2</v>
      </c>
    </row>
    <row r="16" spans="3:18" ht="49" thickTop="1" thickBot="1" x14ac:dyDescent="0.6">
      <c r="H16" s="15">
        <f t="shared" si="3"/>
        <v>10</v>
      </c>
      <c r="I16" s="16">
        <f t="shared" si="4"/>
        <v>1489275.0873393752</v>
      </c>
      <c r="J16" s="16">
        <f t="shared" si="5"/>
        <v>77566.41079892579</v>
      </c>
      <c r="K16" s="16">
        <f t="shared" si="6"/>
        <v>1411708.6765404493</v>
      </c>
      <c r="L16" s="16">
        <f t="shared" si="7"/>
        <v>423512.60296213476</v>
      </c>
      <c r="M16" s="16">
        <f t="shared" si="8"/>
        <v>988196.07357831451</v>
      </c>
      <c r="N16" s="16">
        <f t="shared" si="0"/>
        <v>0</v>
      </c>
      <c r="O16" s="16">
        <f t="shared" si="9"/>
        <v>296458.82207349432</v>
      </c>
      <c r="P16" s="16">
        <f t="shared" si="10"/>
        <v>1115249.8544669549</v>
      </c>
      <c r="Q16" s="16">
        <f t="shared" si="1"/>
        <v>21814552.318642769</v>
      </c>
      <c r="R16" s="17">
        <f t="shared" si="2"/>
        <v>5.1124122933013834E-2</v>
      </c>
    </row>
    <row r="17" spans="3:18" ht="49" thickTop="1" thickBot="1" x14ac:dyDescent="0.6">
      <c r="H17" s="15">
        <f t="shared" si="3"/>
        <v>11</v>
      </c>
      <c r="I17" s="16">
        <f t="shared" si="4"/>
        <v>1563738.8417063439</v>
      </c>
      <c r="J17" s="16">
        <f t="shared" si="5"/>
        <v>81444.73133887208</v>
      </c>
      <c r="K17" s="16">
        <f t="shared" si="6"/>
        <v>1482294.1103674718</v>
      </c>
      <c r="L17" s="16">
        <f t="shared" si="7"/>
        <v>444688.23311024153</v>
      </c>
      <c r="M17" s="16">
        <f t="shared" si="8"/>
        <v>1037605.8772572302</v>
      </c>
      <c r="N17" s="16">
        <f t="shared" si="0"/>
        <v>0</v>
      </c>
      <c r="O17" s="16">
        <f t="shared" si="9"/>
        <v>311281.76317716908</v>
      </c>
      <c r="P17" s="16">
        <f t="shared" si="10"/>
        <v>1171012.3471903028</v>
      </c>
      <c r="Q17" s="16">
        <f t="shared" si="1"/>
        <v>23123425.457761336</v>
      </c>
      <c r="R17" s="17">
        <f t="shared" si="2"/>
        <v>5.0641819886475974E-2</v>
      </c>
    </row>
    <row r="18" spans="3:18" ht="49" thickTop="1" thickBot="1" x14ac:dyDescent="0.6">
      <c r="C18" s="12" t="s">
        <v>23</v>
      </c>
      <c r="D18" s="34">
        <v>50000</v>
      </c>
      <c r="H18" s="15">
        <f t="shared" si="3"/>
        <v>12</v>
      </c>
      <c r="I18" s="16">
        <f t="shared" si="4"/>
        <v>1641925.7837916613</v>
      </c>
      <c r="J18" s="16">
        <f t="shared" si="5"/>
        <v>85516.967905815691</v>
      </c>
      <c r="K18" s="16">
        <f t="shared" si="6"/>
        <v>1556408.8158858456</v>
      </c>
      <c r="L18" s="16">
        <f t="shared" si="7"/>
        <v>466922.64476575365</v>
      </c>
      <c r="M18" s="16">
        <f t="shared" si="8"/>
        <v>1089486.1711200918</v>
      </c>
      <c r="N18" s="16">
        <f t="shared" si="0"/>
        <v>0</v>
      </c>
      <c r="O18" s="16">
        <f t="shared" si="9"/>
        <v>326845.85133602755</v>
      </c>
      <c r="P18" s="16">
        <f t="shared" si="10"/>
        <v>1229562.9645498181</v>
      </c>
      <c r="Q18" s="16">
        <f t="shared" si="1"/>
        <v>24510830.985227019</v>
      </c>
      <c r="R18" s="17">
        <f t="shared" si="2"/>
        <v>5.0164066868679032E-2</v>
      </c>
    </row>
    <row r="19" spans="3:18" ht="49" thickTop="1" thickBot="1" x14ac:dyDescent="0.6">
      <c r="H19" s="15">
        <f t="shared" si="3"/>
        <v>13</v>
      </c>
      <c r="I19" s="16">
        <f t="shared" si="4"/>
        <v>1724022.0729812444</v>
      </c>
      <c r="J19" s="16">
        <f t="shared" si="5"/>
        <v>89792.816301106475</v>
      </c>
      <c r="K19" s="16">
        <f t="shared" si="6"/>
        <v>1634229.2566801379</v>
      </c>
      <c r="L19" s="16">
        <f t="shared" si="7"/>
        <v>490268.77700404136</v>
      </c>
      <c r="M19" s="16">
        <f t="shared" si="8"/>
        <v>1143960.4796760967</v>
      </c>
      <c r="N19" s="16">
        <f t="shared" si="0"/>
        <v>0</v>
      </c>
      <c r="O19" s="16">
        <f t="shared" si="9"/>
        <v>343188.14390282898</v>
      </c>
      <c r="P19" s="16">
        <f t="shared" si="10"/>
        <v>1291041.112777309</v>
      </c>
      <c r="Q19" s="16">
        <f t="shared" si="1"/>
        <v>25981480.844340641</v>
      </c>
      <c r="R19" s="17">
        <f t="shared" si="2"/>
        <v>4.9690820954823564E-2</v>
      </c>
    </row>
    <row r="20" spans="3:18" ht="49" thickTop="1" thickBot="1" x14ac:dyDescent="0.6">
      <c r="H20" s="15">
        <f t="shared" si="3"/>
        <v>14</v>
      </c>
      <c r="I20" s="16">
        <f t="shared" si="4"/>
        <v>1810223.1766303068</v>
      </c>
      <c r="J20" s="16">
        <f t="shared" si="5"/>
        <v>94282.457116161808</v>
      </c>
      <c r="K20" s="16">
        <f t="shared" si="6"/>
        <v>1715940.7195141451</v>
      </c>
      <c r="L20" s="16">
        <f t="shared" si="7"/>
        <v>514782.21585424349</v>
      </c>
      <c r="M20" s="16">
        <f t="shared" si="8"/>
        <v>1201158.5036599017</v>
      </c>
      <c r="N20" s="16">
        <f t="shared" si="0"/>
        <v>0</v>
      </c>
      <c r="O20" s="16">
        <f t="shared" si="9"/>
        <v>360347.55109797051</v>
      </c>
      <c r="P20" s="16">
        <f t="shared" si="10"/>
        <v>1355593.1684161746</v>
      </c>
      <c r="Q20" s="16">
        <f t="shared" si="1"/>
        <v>27540369.695001081</v>
      </c>
      <c r="R20" s="17">
        <f t="shared" si="2"/>
        <v>4.9222039625061081E-2</v>
      </c>
    </row>
    <row r="21" spans="3:18" ht="49" thickTop="1" thickBot="1" x14ac:dyDescent="0.6">
      <c r="D21" s="25"/>
      <c r="E21" s="23"/>
      <c r="H21" s="15">
        <f t="shared" si="3"/>
        <v>15</v>
      </c>
      <c r="I21" s="16">
        <f t="shared" si="4"/>
        <v>1900734.3354618221</v>
      </c>
      <c r="J21" s="16">
        <f t="shared" si="5"/>
        <v>98996.579971969899</v>
      </c>
      <c r="K21" s="16">
        <f t="shared" si="6"/>
        <v>1801737.7554898523</v>
      </c>
      <c r="L21" s="16">
        <f t="shared" si="7"/>
        <v>540521.32664695568</v>
      </c>
      <c r="M21" s="16">
        <f t="shared" si="8"/>
        <v>1261216.4288428966</v>
      </c>
      <c r="N21" s="16">
        <f t="shared" si="0"/>
        <v>0</v>
      </c>
      <c r="O21" s="16">
        <f t="shared" si="9"/>
        <v>378364.92865286896</v>
      </c>
      <c r="P21" s="16">
        <f t="shared" si="10"/>
        <v>1423372.8268369832</v>
      </c>
      <c r="Q21" s="16">
        <f t="shared" si="1"/>
        <v>29192791.876701146</v>
      </c>
      <c r="R21" s="17">
        <f t="shared" si="2"/>
        <v>4.8757680760673709E-2</v>
      </c>
    </row>
    <row r="22" spans="3:18" ht="49" thickTop="1" thickBot="1" x14ac:dyDescent="0.6">
      <c r="H22" s="15">
        <f t="shared" si="3"/>
        <v>16</v>
      </c>
      <c r="I22" s="16">
        <f t="shared" si="4"/>
        <v>1995771.0522349132</v>
      </c>
      <c r="J22" s="16">
        <f t="shared" si="5"/>
        <v>103946.4089705684</v>
      </c>
      <c r="K22" s="16">
        <f t="shared" si="6"/>
        <v>1891824.6432643449</v>
      </c>
      <c r="L22" s="16">
        <f t="shared" si="7"/>
        <v>567547.39297930349</v>
      </c>
      <c r="M22" s="16">
        <f t="shared" si="8"/>
        <v>1324277.2502850415</v>
      </c>
      <c r="N22" s="16">
        <f t="shared" si="0"/>
        <v>0</v>
      </c>
      <c r="O22" s="16">
        <f t="shared" si="9"/>
        <v>397283.17508551246</v>
      </c>
      <c r="P22" s="16">
        <f t="shared" si="10"/>
        <v>1494541.4681788324</v>
      </c>
      <c r="Q22" s="16">
        <f t="shared" si="1"/>
        <v>30944359.389303215</v>
      </c>
      <c r="R22" s="17">
        <f t="shared" si="2"/>
        <v>4.8297702640289999E-2</v>
      </c>
    </row>
    <row r="23" spans="3:18" ht="49" thickTop="1" thickBot="1" x14ac:dyDescent="0.6">
      <c r="H23" s="15">
        <f t="shared" si="3"/>
        <v>17</v>
      </c>
      <c r="I23" s="16">
        <f t="shared" si="4"/>
        <v>2095559.6048466589</v>
      </c>
      <c r="J23" s="16">
        <f t="shared" si="5"/>
        <v>109143.72941909682</v>
      </c>
      <c r="K23" s="16">
        <f t="shared" si="6"/>
        <v>1986415.875427562</v>
      </c>
      <c r="L23" s="16">
        <f t="shared" si="7"/>
        <v>595924.76262826857</v>
      </c>
      <c r="M23" s="16">
        <f t="shared" si="8"/>
        <v>1390491.1127992934</v>
      </c>
      <c r="N23" s="16">
        <f t="shared" si="0"/>
        <v>0</v>
      </c>
      <c r="O23" s="16">
        <f t="shared" si="9"/>
        <v>417147.33383978799</v>
      </c>
      <c r="P23" s="16">
        <f t="shared" si="10"/>
        <v>1569268.5415877742</v>
      </c>
      <c r="Q23" s="16">
        <f t="shared" si="1"/>
        <v>32801020.95266141</v>
      </c>
      <c r="R23" s="17">
        <f t="shared" si="2"/>
        <v>4.7842063936136318E-2</v>
      </c>
    </row>
    <row r="24" spans="3:18" ht="49" thickTop="1" thickBot="1" x14ac:dyDescent="0.6">
      <c r="C24" s="64" t="s">
        <v>24</v>
      </c>
      <c r="D24" s="65"/>
      <c r="H24" s="15">
        <f t="shared" si="3"/>
        <v>18</v>
      </c>
      <c r="I24" s="16">
        <f t="shared" si="4"/>
        <v>2200337.585088992</v>
      </c>
      <c r="J24" s="16">
        <f t="shared" si="5"/>
        <v>114600.91589005166</v>
      </c>
      <c r="K24" s="16">
        <f t="shared" si="6"/>
        <v>2085736.6691989403</v>
      </c>
      <c r="L24" s="16">
        <f t="shared" si="7"/>
        <v>625721.00075968204</v>
      </c>
      <c r="M24" s="16">
        <f t="shared" si="8"/>
        <v>1460015.6684392584</v>
      </c>
      <c r="N24" s="16">
        <f t="shared" si="0"/>
        <v>0</v>
      </c>
      <c r="O24" s="16">
        <f t="shared" si="9"/>
        <v>438004.70053177752</v>
      </c>
      <c r="P24" s="16">
        <f t="shared" si="10"/>
        <v>1647731.9686671628</v>
      </c>
      <c r="Q24" s="16">
        <f t="shared" si="1"/>
        <v>34769082.209821098</v>
      </c>
      <c r="R24" s="17">
        <f t="shared" si="2"/>
        <v>4.7390723710323705E-2</v>
      </c>
    </row>
    <row r="25" spans="3:18" ht="49" thickTop="1" thickBot="1" x14ac:dyDescent="0.6">
      <c r="C25" s="14" t="s">
        <v>25</v>
      </c>
      <c r="D25" s="18">
        <f>D6</f>
        <v>12000000</v>
      </c>
      <c r="H25" s="15">
        <f t="shared" si="3"/>
        <v>19</v>
      </c>
      <c r="I25" s="16">
        <f t="shared" si="4"/>
        <v>2310354.4643434417</v>
      </c>
      <c r="J25" s="16">
        <f t="shared" si="5"/>
        <v>120330.96168455425</v>
      </c>
      <c r="K25" s="16">
        <f t="shared" si="6"/>
        <v>2190023.5026588873</v>
      </c>
      <c r="L25" s="16">
        <f t="shared" si="7"/>
        <v>657007.05079766619</v>
      </c>
      <c r="M25" s="16">
        <f t="shared" si="8"/>
        <v>1533016.4518612211</v>
      </c>
      <c r="N25" s="16">
        <f t="shared" si="0"/>
        <v>0</v>
      </c>
      <c r="O25" s="16">
        <f t="shared" si="9"/>
        <v>459904.9355583663</v>
      </c>
      <c r="P25" s="16">
        <f t="shared" si="10"/>
        <v>1730118.5671005209</v>
      </c>
      <c r="Q25" s="16">
        <f t="shared" si="1"/>
        <v>36855227.142410368</v>
      </c>
      <c r="R25" s="17">
        <f t="shared" si="2"/>
        <v>4.6943641411169704E-2</v>
      </c>
    </row>
    <row r="26" spans="3:18" ht="49" thickTop="1" thickBot="1" x14ac:dyDescent="0.6">
      <c r="C26" s="14" t="s">
        <v>26</v>
      </c>
      <c r="D26" s="28">
        <f>D10</f>
        <v>0.06</v>
      </c>
      <c r="H26" s="15">
        <f t="shared" si="3"/>
        <v>20</v>
      </c>
      <c r="I26" s="16">
        <f t="shared" si="4"/>
        <v>2425872.1875606137</v>
      </c>
      <c r="J26" s="16">
        <f t="shared" si="5"/>
        <v>126347.50976878197</v>
      </c>
      <c r="K26" s="16">
        <f t="shared" si="6"/>
        <v>2299524.6777918315</v>
      </c>
      <c r="L26" s="16">
        <f t="shared" si="7"/>
        <v>689857.40333754942</v>
      </c>
      <c r="M26" s="16">
        <f t="shared" si="8"/>
        <v>1609667.2744542821</v>
      </c>
      <c r="N26" s="16">
        <f t="shared" si="0"/>
        <v>0</v>
      </c>
      <c r="O26" s="16">
        <f t="shared" si="9"/>
        <v>482900.1823362846</v>
      </c>
      <c r="P26" s="16">
        <f t="shared" si="10"/>
        <v>1816624.495455547</v>
      </c>
      <c r="Q26" s="16">
        <f t="shared" si="1"/>
        <v>39066540.770954989</v>
      </c>
      <c r="R26" s="17">
        <f t="shared" si="2"/>
        <v>4.6500776869554894E-2</v>
      </c>
    </row>
    <row r="27" spans="3:18" ht="49" thickTop="1" thickBot="1" x14ac:dyDescent="0.6">
      <c r="C27" s="14" t="s">
        <v>27</v>
      </c>
      <c r="D27" s="14">
        <f>D9</f>
        <v>25</v>
      </c>
      <c r="H27" s="15">
        <f t="shared" si="3"/>
        <v>21</v>
      </c>
      <c r="I27" s="16">
        <f t="shared" si="4"/>
        <v>2547165.7969386447</v>
      </c>
      <c r="J27" s="16">
        <f t="shared" si="5"/>
        <v>132664.88525722106</v>
      </c>
      <c r="K27" s="16">
        <f t="shared" si="6"/>
        <v>2414500.9116814239</v>
      </c>
      <c r="L27" s="16">
        <f t="shared" si="7"/>
        <v>724350.27350442717</v>
      </c>
      <c r="M27" s="16">
        <f t="shared" si="8"/>
        <v>1690150.6381769967</v>
      </c>
      <c r="N27" s="16">
        <f t="shared" si="0"/>
        <v>0</v>
      </c>
      <c r="O27" s="16">
        <f t="shared" si="9"/>
        <v>507045.19145309902</v>
      </c>
      <c r="P27" s="16">
        <f t="shared" si="10"/>
        <v>1907455.7202283249</v>
      </c>
      <c r="Q27" s="16">
        <f t="shared" si="1"/>
        <v>41410533.21721229</v>
      </c>
      <c r="R27" s="17">
        <f t="shared" si="2"/>
        <v>4.6062090295313822E-2</v>
      </c>
    </row>
    <row r="28" spans="3:18" ht="49" thickTop="1" thickBot="1" x14ac:dyDescent="0.6">
      <c r="C28" s="14" t="s">
        <v>28</v>
      </c>
      <c r="D28" s="29">
        <f>FV(D26,D27,0,-D25)</f>
        <v>51502448.63692186</v>
      </c>
      <c r="H28" s="15">
        <f t="shared" si="3"/>
        <v>22</v>
      </c>
      <c r="I28" s="16">
        <f t="shared" si="4"/>
        <v>2674524.0867855772</v>
      </c>
      <c r="J28" s="16">
        <f t="shared" si="5"/>
        <v>139298.12952008212</v>
      </c>
      <c r="K28" s="16">
        <f t="shared" si="6"/>
        <v>2535225.9572654953</v>
      </c>
      <c r="L28" s="16">
        <f t="shared" si="7"/>
        <v>760567.78717964853</v>
      </c>
      <c r="M28" s="16">
        <f t="shared" si="8"/>
        <v>1774658.1700858469</v>
      </c>
      <c r="N28" s="16">
        <f t="shared" si="0"/>
        <v>0</v>
      </c>
      <c r="O28" s="16">
        <f t="shared" si="9"/>
        <v>532397.4510257541</v>
      </c>
      <c r="P28" s="16">
        <f t="shared" si="10"/>
        <v>2002828.5062397411</v>
      </c>
      <c r="Q28" s="16">
        <f t="shared" si="1"/>
        <v>43895165.210245028</v>
      </c>
      <c r="R28" s="17">
        <f t="shared" si="2"/>
        <v>4.5627542273659914E-2</v>
      </c>
    </row>
    <row r="29" spans="3:18" ht="49" thickTop="1" thickBot="1" x14ac:dyDescent="0.6">
      <c r="H29" s="15">
        <f t="shared" si="3"/>
        <v>23</v>
      </c>
      <c r="I29" s="16">
        <f t="shared" si="4"/>
        <v>2808250.2911248561</v>
      </c>
      <c r="J29" s="16">
        <f t="shared" si="5"/>
        <v>146263.03599608623</v>
      </c>
      <c r="K29" s="16">
        <f t="shared" si="6"/>
        <v>2661987.2551287697</v>
      </c>
      <c r="L29" s="16">
        <f t="shared" si="7"/>
        <v>798596.17653863085</v>
      </c>
      <c r="M29" s="16">
        <f t="shared" si="8"/>
        <v>1863391.0785901388</v>
      </c>
      <c r="N29" s="16">
        <f t="shared" si="0"/>
        <v>0</v>
      </c>
      <c r="O29" s="16">
        <f t="shared" si="9"/>
        <v>559017.32357704162</v>
      </c>
      <c r="P29" s="16">
        <f t="shared" si="10"/>
        <v>2102969.9315517279</v>
      </c>
      <c r="Q29" s="16">
        <f t="shared" si="1"/>
        <v>46528875.122859731</v>
      </c>
      <c r="R29" s="17">
        <f t="shared" si="2"/>
        <v>4.5197093761644248E-2</v>
      </c>
    </row>
    <row r="30" spans="3:18" ht="49" thickTop="1" thickBot="1" x14ac:dyDescent="0.6">
      <c r="H30" s="15">
        <f t="shared" si="3"/>
        <v>24</v>
      </c>
      <c r="I30" s="16">
        <f t="shared" si="4"/>
        <v>2948662.8056810992</v>
      </c>
      <c r="J30" s="16">
        <f t="shared" si="5"/>
        <v>153576.18779589055</v>
      </c>
      <c r="K30" s="16">
        <f t="shared" si="6"/>
        <v>2795086.6178852087</v>
      </c>
      <c r="L30" s="16">
        <f t="shared" si="7"/>
        <v>838525.98536556261</v>
      </c>
      <c r="M30" s="16">
        <f t="shared" si="8"/>
        <v>1956560.6325196461</v>
      </c>
      <c r="N30" s="16">
        <f t="shared" si="0"/>
        <v>0</v>
      </c>
      <c r="O30" s="16">
        <f t="shared" si="9"/>
        <v>586968.18975589378</v>
      </c>
      <c r="P30" s="16">
        <f t="shared" si="10"/>
        <v>2208118.4281293149</v>
      </c>
      <c r="Q30" s="16">
        <f t="shared" si="1"/>
        <v>49320607.630231321</v>
      </c>
      <c r="R30" s="17">
        <f t="shared" si="2"/>
        <v>4.4770706084647616E-2</v>
      </c>
    </row>
    <row r="31" spans="3:18" ht="49" thickTop="1" thickBot="1" x14ac:dyDescent="0.6">
      <c r="C31" s="64" t="s">
        <v>29</v>
      </c>
      <c r="D31" s="65"/>
      <c r="H31" s="15">
        <f t="shared" si="3"/>
        <v>25</v>
      </c>
      <c r="I31" s="16">
        <f t="shared" si="4"/>
        <v>3096095.9459651541</v>
      </c>
      <c r="J31" s="16">
        <f t="shared" si="5"/>
        <v>161254.99718568509</v>
      </c>
      <c r="K31" s="16">
        <f t="shared" si="6"/>
        <v>2934840.9487794689</v>
      </c>
      <c r="L31" s="16">
        <f t="shared" si="7"/>
        <v>880452.28463384067</v>
      </c>
      <c r="M31" s="16">
        <f t="shared" si="8"/>
        <v>2054388.6641456282</v>
      </c>
      <c r="N31" s="16">
        <f t="shared" si="0"/>
        <v>369789.95954621304</v>
      </c>
      <c r="O31" s="16">
        <f t="shared" si="9"/>
        <v>505379.61137982452</v>
      </c>
      <c r="P31" s="16">
        <f t="shared" si="10"/>
        <v>2059671.3778534313</v>
      </c>
      <c r="Q31" s="16">
        <f t="shared" si="1"/>
        <v>52279844.088045202</v>
      </c>
      <c r="R31" s="17">
        <f t="shared" si="2"/>
        <v>3.9397045147738209E-2</v>
      </c>
    </row>
    <row r="32" spans="3:18" ht="49" thickTop="1" thickBot="1" x14ac:dyDescent="0.6">
      <c r="C32" s="14" t="s">
        <v>44</v>
      </c>
      <c r="D32" s="53">
        <f>SUM(R7:R95)/D9</f>
        <v>4.9608928641963194E-2</v>
      </c>
      <c r="H32" s="15" t="str">
        <f t="shared" si="3"/>
        <v>NA</v>
      </c>
      <c r="I32" s="16">
        <f t="shared" si="4"/>
        <v>0</v>
      </c>
      <c r="J32" s="16">
        <f t="shared" si="5"/>
        <v>0</v>
      </c>
      <c r="K32" s="16">
        <f t="shared" si="6"/>
        <v>0</v>
      </c>
      <c r="L32" s="16">
        <f t="shared" si="7"/>
        <v>0</v>
      </c>
      <c r="M32" s="16">
        <f t="shared" si="8"/>
        <v>0</v>
      </c>
      <c r="N32" s="16">
        <f t="shared" si="0"/>
        <v>0</v>
      </c>
      <c r="O32" s="16">
        <f t="shared" si="9"/>
        <v>0</v>
      </c>
      <c r="P32" s="16">
        <f t="shared" si="10"/>
        <v>0</v>
      </c>
      <c r="Q32" s="16">
        <f t="shared" si="1"/>
        <v>0</v>
      </c>
      <c r="R32" s="17">
        <f t="shared" si="2"/>
        <v>0</v>
      </c>
    </row>
    <row r="33" spans="3:18" ht="49" thickTop="1" thickBot="1" x14ac:dyDescent="0.6">
      <c r="H33" s="15" t="str">
        <f t="shared" si="3"/>
        <v>NA</v>
      </c>
      <c r="I33" s="16">
        <f t="shared" si="4"/>
        <v>0</v>
      </c>
      <c r="J33" s="16">
        <f t="shared" si="5"/>
        <v>0</v>
      </c>
      <c r="K33" s="16">
        <f t="shared" si="6"/>
        <v>0</v>
      </c>
      <c r="L33" s="16">
        <f t="shared" si="7"/>
        <v>0</v>
      </c>
      <c r="M33" s="16">
        <f t="shared" si="8"/>
        <v>0</v>
      </c>
      <c r="N33" s="16">
        <f t="shared" si="0"/>
        <v>0</v>
      </c>
      <c r="O33" s="16">
        <f t="shared" si="9"/>
        <v>0</v>
      </c>
      <c r="P33" s="16">
        <f t="shared" si="10"/>
        <v>0</v>
      </c>
      <c r="Q33" s="16">
        <f t="shared" si="1"/>
        <v>0</v>
      </c>
      <c r="R33" s="17">
        <f t="shared" si="2"/>
        <v>0</v>
      </c>
    </row>
    <row r="34" spans="3:18" ht="49" thickTop="1" thickBot="1" x14ac:dyDescent="0.6">
      <c r="D34" s="30"/>
      <c r="H34" s="15" t="str">
        <f t="shared" si="3"/>
        <v>NA</v>
      </c>
      <c r="I34" s="16">
        <f t="shared" si="4"/>
        <v>0</v>
      </c>
      <c r="J34" s="16">
        <f t="shared" si="5"/>
        <v>0</v>
      </c>
      <c r="K34" s="16">
        <f t="shared" si="6"/>
        <v>0</v>
      </c>
      <c r="L34" s="16">
        <f t="shared" si="7"/>
        <v>0</v>
      </c>
      <c r="M34" s="16">
        <f t="shared" si="8"/>
        <v>0</v>
      </c>
      <c r="N34" s="16">
        <f t="shared" si="0"/>
        <v>0</v>
      </c>
      <c r="O34" s="16">
        <f t="shared" si="9"/>
        <v>0</v>
      </c>
      <c r="P34" s="16">
        <f t="shared" si="10"/>
        <v>0</v>
      </c>
      <c r="Q34" s="16">
        <f t="shared" si="1"/>
        <v>0</v>
      </c>
      <c r="R34" s="17">
        <f t="shared" si="2"/>
        <v>0</v>
      </c>
    </row>
    <row r="35" spans="3:18" ht="49" thickTop="1" thickBot="1" x14ac:dyDescent="0.6">
      <c r="H35" s="15" t="str">
        <f t="shared" si="3"/>
        <v>NA</v>
      </c>
      <c r="I35" s="16">
        <f t="shared" si="4"/>
        <v>0</v>
      </c>
      <c r="J35" s="16">
        <f t="shared" si="5"/>
        <v>0</v>
      </c>
      <c r="K35" s="16">
        <f t="shared" si="6"/>
        <v>0</v>
      </c>
      <c r="L35" s="16">
        <f t="shared" si="7"/>
        <v>0</v>
      </c>
      <c r="M35" s="16">
        <f t="shared" si="8"/>
        <v>0</v>
      </c>
      <c r="N35" s="16">
        <f t="shared" si="0"/>
        <v>0</v>
      </c>
      <c r="O35" s="16">
        <f t="shared" si="9"/>
        <v>0</v>
      </c>
      <c r="P35" s="16">
        <f t="shared" si="10"/>
        <v>0</v>
      </c>
      <c r="Q35" s="16">
        <f t="shared" si="1"/>
        <v>0</v>
      </c>
      <c r="R35" s="17">
        <f t="shared" si="2"/>
        <v>0</v>
      </c>
    </row>
    <row r="36" spans="3:18" ht="49" thickTop="1" thickBot="1" x14ac:dyDescent="0.6">
      <c r="D36" s="54"/>
      <c r="H36" s="15" t="str">
        <f t="shared" si="3"/>
        <v>NA</v>
      </c>
      <c r="I36" s="16">
        <f t="shared" si="4"/>
        <v>0</v>
      </c>
      <c r="J36" s="16">
        <f t="shared" si="5"/>
        <v>0</v>
      </c>
      <c r="K36" s="16">
        <f t="shared" si="6"/>
        <v>0</v>
      </c>
      <c r="L36" s="16">
        <f t="shared" si="7"/>
        <v>0</v>
      </c>
      <c r="M36" s="16">
        <f t="shared" si="8"/>
        <v>0</v>
      </c>
      <c r="N36" s="16">
        <f t="shared" si="0"/>
        <v>0</v>
      </c>
      <c r="O36" s="16">
        <f t="shared" si="9"/>
        <v>0</v>
      </c>
      <c r="P36" s="16">
        <f t="shared" si="10"/>
        <v>0</v>
      </c>
      <c r="Q36" s="16">
        <f t="shared" si="1"/>
        <v>0</v>
      </c>
      <c r="R36" s="17">
        <f t="shared" si="2"/>
        <v>0</v>
      </c>
    </row>
    <row r="37" spans="3:18" ht="49" thickTop="1" thickBot="1" x14ac:dyDescent="0.6">
      <c r="C37" s="55" t="s">
        <v>68</v>
      </c>
      <c r="D37" s="54"/>
      <c r="H37" s="15" t="str">
        <f t="shared" si="3"/>
        <v>NA</v>
      </c>
      <c r="I37" s="16">
        <f t="shared" si="4"/>
        <v>0</v>
      </c>
      <c r="J37" s="16">
        <f t="shared" si="5"/>
        <v>0</v>
      </c>
      <c r="K37" s="16">
        <f t="shared" si="6"/>
        <v>0</v>
      </c>
      <c r="L37" s="16">
        <f t="shared" si="7"/>
        <v>0</v>
      </c>
      <c r="M37" s="16">
        <f t="shared" si="8"/>
        <v>0</v>
      </c>
      <c r="N37" s="16">
        <f t="shared" si="0"/>
        <v>0</v>
      </c>
      <c r="O37" s="16">
        <f t="shared" si="9"/>
        <v>0</v>
      </c>
      <c r="P37" s="16">
        <f t="shared" si="10"/>
        <v>0</v>
      </c>
      <c r="Q37" s="16">
        <f t="shared" si="1"/>
        <v>0</v>
      </c>
      <c r="R37" s="17">
        <f t="shared" si="2"/>
        <v>0</v>
      </c>
    </row>
    <row r="38" spans="3:18" ht="49" thickTop="1" thickBot="1" x14ac:dyDescent="0.6">
      <c r="D38" s="30"/>
      <c r="H38" s="15" t="str">
        <f t="shared" si="3"/>
        <v>NA</v>
      </c>
      <c r="I38" s="16">
        <f t="shared" si="4"/>
        <v>0</v>
      </c>
      <c r="J38" s="16">
        <f t="shared" si="5"/>
        <v>0</v>
      </c>
      <c r="K38" s="16">
        <f t="shared" si="6"/>
        <v>0</v>
      </c>
      <c r="L38" s="16">
        <f t="shared" si="7"/>
        <v>0</v>
      </c>
      <c r="M38" s="16">
        <f t="shared" si="8"/>
        <v>0</v>
      </c>
      <c r="N38" s="16">
        <f t="shared" si="0"/>
        <v>0</v>
      </c>
      <c r="O38" s="16">
        <f t="shared" si="9"/>
        <v>0</v>
      </c>
      <c r="P38" s="16">
        <f t="shared" si="10"/>
        <v>0</v>
      </c>
      <c r="Q38" s="16">
        <f t="shared" si="1"/>
        <v>0</v>
      </c>
      <c r="R38" s="17">
        <f t="shared" si="2"/>
        <v>0</v>
      </c>
    </row>
    <row r="39" spans="3:18" ht="49" thickTop="1" thickBot="1" x14ac:dyDescent="0.6">
      <c r="C39" s="63" t="s">
        <v>77</v>
      </c>
      <c r="D39" s="63"/>
      <c r="E39" s="63"/>
      <c r="H39" s="15" t="str">
        <f t="shared" si="3"/>
        <v>NA</v>
      </c>
      <c r="I39" s="16">
        <f t="shared" si="4"/>
        <v>0</v>
      </c>
      <c r="J39" s="16">
        <f t="shared" si="5"/>
        <v>0</v>
      </c>
      <c r="K39" s="16">
        <f t="shared" si="6"/>
        <v>0</v>
      </c>
      <c r="L39" s="16">
        <f t="shared" si="7"/>
        <v>0</v>
      </c>
      <c r="M39" s="16">
        <f t="shared" si="8"/>
        <v>0</v>
      </c>
      <c r="N39" s="16">
        <f t="shared" si="0"/>
        <v>0</v>
      </c>
      <c r="O39" s="16">
        <f t="shared" si="9"/>
        <v>0</v>
      </c>
      <c r="P39" s="16">
        <f t="shared" si="10"/>
        <v>0</v>
      </c>
      <c r="Q39" s="16">
        <f t="shared" si="1"/>
        <v>0</v>
      </c>
      <c r="R39" s="17">
        <f t="shared" si="2"/>
        <v>0</v>
      </c>
    </row>
    <row r="40" spans="3:18" ht="49" thickTop="1" thickBot="1" x14ac:dyDescent="0.6">
      <c r="C40" s="1" t="s">
        <v>69</v>
      </c>
      <c r="D40" s="59" t="s">
        <v>70</v>
      </c>
      <c r="E40" s="60"/>
      <c r="H40" s="15" t="str">
        <f t="shared" si="3"/>
        <v>NA</v>
      </c>
      <c r="I40" s="16">
        <f t="shared" si="4"/>
        <v>0</v>
      </c>
      <c r="J40" s="16">
        <f t="shared" si="5"/>
        <v>0</v>
      </c>
      <c r="K40" s="16">
        <f t="shared" si="6"/>
        <v>0</v>
      </c>
      <c r="L40" s="16">
        <f t="shared" si="7"/>
        <v>0</v>
      </c>
      <c r="M40" s="16">
        <f t="shared" si="8"/>
        <v>0</v>
      </c>
      <c r="N40" s="16">
        <f t="shared" si="0"/>
        <v>0</v>
      </c>
      <c r="O40" s="16">
        <f t="shared" si="9"/>
        <v>0</v>
      </c>
      <c r="P40" s="16">
        <f t="shared" si="10"/>
        <v>0</v>
      </c>
      <c r="Q40" s="16">
        <f t="shared" ref="Q40:Q71" si="11">IF(H40= "NA",0,Q39*(1+$R$5))</f>
        <v>0</v>
      </c>
      <c r="R40" s="17">
        <f t="shared" ref="R40:R71" si="12">IF(H40= "NA",0,(P40)/Q40)</f>
        <v>0</v>
      </c>
    </row>
    <row r="41" spans="3:18" ht="49" thickTop="1" thickBot="1" x14ac:dyDescent="0.6">
      <c r="C41" s="2" t="s">
        <v>71</v>
      </c>
      <c r="D41" s="59" t="s">
        <v>72</v>
      </c>
      <c r="E41" s="60"/>
      <c r="H41" s="15" t="str">
        <f t="shared" si="3"/>
        <v>NA</v>
      </c>
      <c r="I41" s="16">
        <f t="shared" si="4"/>
        <v>0</v>
      </c>
      <c r="J41" s="16">
        <f t="shared" si="5"/>
        <v>0</v>
      </c>
      <c r="K41" s="16">
        <f t="shared" si="6"/>
        <v>0</v>
      </c>
      <c r="L41" s="16">
        <f t="shared" si="7"/>
        <v>0</v>
      </c>
      <c r="M41" s="16">
        <f t="shared" si="8"/>
        <v>0</v>
      </c>
      <c r="N41" s="16">
        <f t="shared" si="0"/>
        <v>0</v>
      </c>
      <c r="O41" s="16">
        <f t="shared" si="9"/>
        <v>0</v>
      </c>
      <c r="P41" s="16">
        <f t="shared" si="10"/>
        <v>0</v>
      </c>
      <c r="Q41" s="16">
        <f t="shared" si="11"/>
        <v>0</v>
      </c>
      <c r="R41" s="17">
        <f t="shared" si="12"/>
        <v>0</v>
      </c>
    </row>
    <row r="42" spans="3:18" ht="49" thickTop="1" thickBot="1" x14ac:dyDescent="0.6">
      <c r="C42" s="1" t="s">
        <v>73</v>
      </c>
      <c r="D42" s="61" t="s">
        <v>74</v>
      </c>
      <c r="E42" s="62"/>
      <c r="H42" s="15" t="str">
        <f t="shared" si="3"/>
        <v>NA</v>
      </c>
      <c r="I42" s="16">
        <f t="shared" si="4"/>
        <v>0</v>
      </c>
      <c r="J42" s="16">
        <f t="shared" si="5"/>
        <v>0</v>
      </c>
      <c r="K42" s="16">
        <f t="shared" si="6"/>
        <v>0</v>
      </c>
      <c r="L42" s="16">
        <f t="shared" si="7"/>
        <v>0</v>
      </c>
      <c r="M42" s="16">
        <f t="shared" si="8"/>
        <v>0</v>
      </c>
      <c r="N42" s="16">
        <f t="shared" si="0"/>
        <v>0</v>
      </c>
      <c r="O42" s="16">
        <f t="shared" si="9"/>
        <v>0</v>
      </c>
      <c r="P42" s="16">
        <f t="shared" si="10"/>
        <v>0</v>
      </c>
      <c r="Q42" s="16">
        <f t="shared" si="11"/>
        <v>0</v>
      </c>
      <c r="R42" s="17">
        <f t="shared" si="12"/>
        <v>0</v>
      </c>
    </row>
    <row r="43" spans="3:18" ht="49" thickTop="1" thickBot="1" x14ac:dyDescent="0.6">
      <c r="C43" s="1" t="s">
        <v>75</v>
      </c>
      <c r="D43" s="59" t="s">
        <v>76</v>
      </c>
      <c r="E43" s="60"/>
      <c r="H43" s="15" t="str">
        <f t="shared" si="3"/>
        <v>NA</v>
      </c>
      <c r="I43" s="16">
        <f t="shared" si="4"/>
        <v>0</v>
      </c>
      <c r="J43" s="16">
        <f t="shared" si="5"/>
        <v>0</v>
      </c>
      <c r="K43" s="16">
        <f t="shared" si="6"/>
        <v>0</v>
      </c>
      <c r="L43" s="16">
        <f t="shared" si="7"/>
        <v>0</v>
      </c>
      <c r="M43" s="16">
        <f t="shared" si="8"/>
        <v>0</v>
      </c>
      <c r="N43" s="16">
        <f t="shared" si="0"/>
        <v>0</v>
      </c>
      <c r="O43" s="16">
        <f t="shared" si="9"/>
        <v>0</v>
      </c>
      <c r="P43" s="16">
        <f t="shared" si="10"/>
        <v>0</v>
      </c>
      <c r="Q43" s="16">
        <f t="shared" si="11"/>
        <v>0</v>
      </c>
      <c r="R43" s="17">
        <f t="shared" si="12"/>
        <v>0</v>
      </c>
    </row>
    <row r="44" spans="3:18" ht="49" thickTop="1" thickBot="1" x14ac:dyDescent="0.6">
      <c r="C44" s="73" t="s">
        <v>78</v>
      </c>
      <c r="D44" s="74" t="s">
        <v>80</v>
      </c>
      <c r="E44" s="74"/>
      <c r="H44" s="15" t="str">
        <f t="shared" si="3"/>
        <v>NA</v>
      </c>
      <c r="I44" s="16">
        <f t="shared" si="4"/>
        <v>0</v>
      </c>
      <c r="J44" s="16">
        <f t="shared" si="5"/>
        <v>0</v>
      </c>
      <c r="K44" s="16">
        <f t="shared" si="6"/>
        <v>0</v>
      </c>
      <c r="L44" s="16">
        <f t="shared" si="7"/>
        <v>0</v>
      </c>
      <c r="M44" s="16">
        <f t="shared" si="8"/>
        <v>0</v>
      </c>
      <c r="N44" s="16">
        <f t="shared" si="0"/>
        <v>0</v>
      </c>
      <c r="O44" s="16">
        <f t="shared" si="9"/>
        <v>0</v>
      </c>
      <c r="P44" s="16">
        <f t="shared" si="10"/>
        <v>0</v>
      </c>
      <c r="Q44" s="16">
        <f t="shared" si="11"/>
        <v>0</v>
      </c>
      <c r="R44" s="17">
        <f t="shared" si="12"/>
        <v>0</v>
      </c>
    </row>
    <row r="45" spans="3:18" ht="49" thickTop="1" thickBot="1" x14ac:dyDescent="0.6">
      <c r="C45" s="73" t="s">
        <v>79</v>
      </c>
      <c r="D45" s="74" t="s">
        <v>81</v>
      </c>
      <c r="E45" s="74"/>
      <c r="H45" s="15" t="str">
        <f t="shared" si="3"/>
        <v>NA</v>
      </c>
      <c r="I45" s="16">
        <f t="shared" si="4"/>
        <v>0</v>
      </c>
      <c r="J45" s="16">
        <f t="shared" si="5"/>
        <v>0</v>
      </c>
      <c r="K45" s="16">
        <f t="shared" si="6"/>
        <v>0</v>
      </c>
      <c r="L45" s="16">
        <f t="shared" si="7"/>
        <v>0</v>
      </c>
      <c r="M45" s="16">
        <f t="shared" si="8"/>
        <v>0</v>
      </c>
      <c r="N45" s="16">
        <f t="shared" si="0"/>
        <v>0</v>
      </c>
      <c r="O45" s="16">
        <f t="shared" si="9"/>
        <v>0</v>
      </c>
      <c r="P45" s="16">
        <f t="shared" si="10"/>
        <v>0</v>
      </c>
      <c r="Q45" s="16">
        <f t="shared" si="11"/>
        <v>0</v>
      </c>
      <c r="R45" s="17">
        <f t="shared" si="12"/>
        <v>0</v>
      </c>
    </row>
    <row r="46" spans="3:18" ht="49" thickTop="1" thickBot="1" x14ac:dyDescent="0.6">
      <c r="H46" s="15" t="str">
        <f t="shared" si="3"/>
        <v>NA</v>
      </c>
      <c r="I46" s="16">
        <f t="shared" si="4"/>
        <v>0</v>
      </c>
      <c r="J46" s="16">
        <f t="shared" si="5"/>
        <v>0</v>
      </c>
      <c r="K46" s="16">
        <f t="shared" si="6"/>
        <v>0</v>
      </c>
      <c r="L46" s="16">
        <f t="shared" si="7"/>
        <v>0</v>
      </c>
      <c r="M46" s="16">
        <f t="shared" si="8"/>
        <v>0</v>
      </c>
      <c r="N46" s="16">
        <f t="shared" si="0"/>
        <v>0</v>
      </c>
      <c r="O46" s="16">
        <f t="shared" si="9"/>
        <v>0</v>
      </c>
      <c r="P46" s="16">
        <f t="shared" si="10"/>
        <v>0</v>
      </c>
      <c r="Q46" s="16">
        <f t="shared" si="11"/>
        <v>0</v>
      </c>
      <c r="R46" s="17">
        <f t="shared" si="12"/>
        <v>0</v>
      </c>
    </row>
    <row r="47" spans="3:18" ht="49" thickTop="1" thickBot="1" x14ac:dyDescent="0.6">
      <c r="H47" s="15" t="str">
        <f t="shared" si="3"/>
        <v>NA</v>
      </c>
      <c r="I47" s="16">
        <f t="shared" si="4"/>
        <v>0</v>
      </c>
      <c r="J47" s="16">
        <f t="shared" si="5"/>
        <v>0</v>
      </c>
      <c r="K47" s="16">
        <f t="shared" si="6"/>
        <v>0</v>
      </c>
      <c r="L47" s="16">
        <f t="shared" si="7"/>
        <v>0</v>
      </c>
      <c r="M47" s="16">
        <f t="shared" si="8"/>
        <v>0</v>
      </c>
      <c r="N47" s="16">
        <f t="shared" si="0"/>
        <v>0</v>
      </c>
      <c r="O47" s="16">
        <f t="shared" si="9"/>
        <v>0</v>
      </c>
      <c r="P47" s="16">
        <f t="shared" si="10"/>
        <v>0</v>
      </c>
      <c r="Q47" s="16">
        <f t="shared" si="11"/>
        <v>0</v>
      </c>
      <c r="R47" s="17">
        <f t="shared" si="12"/>
        <v>0</v>
      </c>
    </row>
    <row r="48" spans="3:18" ht="49" thickTop="1" thickBot="1" x14ac:dyDescent="0.6">
      <c r="H48" s="15" t="str">
        <f t="shared" si="3"/>
        <v>NA</v>
      </c>
      <c r="I48" s="16">
        <f t="shared" si="4"/>
        <v>0</v>
      </c>
      <c r="J48" s="16">
        <f t="shared" si="5"/>
        <v>0</v>
      </c>
      <c r="K48" s="16">
        <f t="shared" si="6"/>
        <v>0</v>
      </c>
      <c r="L48" s="16">
        <f t="shared" si="7"/>
        <v>0</v>
      </c>
      <c r="M48" s="16">
        <f t="shared" si="8"/>
        <v>0</v>
      </c>
      <c r="N48" s="16">
        <f t="shared" si="0"/>
        <v>0</v>
      </c>
      <c r="O48" s="16">
        <f t="shared" si="9"/>
        <v>0</v>
      </c>
      <c r="P48" s="16">
        <f t="shared" si="10"/>
        <v>0</v>
      </c>
      <c r="Q48" s="16">
        <f t="shared" si="11"/>
        <v>0</v>
      </c>
      <c r="R48" s="17">
        <f t="shared" si="12"/>
        <v>0</v>
      </c>
    </row>
    <row r="49" spans="8:18" ht="49" thickTop="1" thickBot="1" x14ac:dyDescent="0.6">
      <c r="H49" s="15" t="str">
        <f t="shared" si="3"/>
        <v>NA</v>
      </c>
      <c r="I49" s="16">
        <f t="shared" si="4"/>
        <v>0</v>
      </c>
      <c r="J49" s="16">
        <f t="shared" si="5"/>
        <v>0</v>
      </c>
      <c r="K49" s="16">
        <f t="shared" si="6"/>
        <v>0</v>
      </c>
      <c r="L49" s="16">
        <f t="shared" si="7"/>
        <v>0</v>
      </c>
      <c r="M49" s="16">
        <f t="shared" si="8"/>
        <v>0</v>
      </c>
      <c r="N49" s="16">
        <f t="shared" si="0"/>
        <v>0</v>
      </c>
      <c r="O49" s="16">
        <f t="shared" si="9"/>
        <v>0</v>
      </c>
      <c r="P49" s="16">
        <f t="shared" si="10"/>
        <v>0</v>
      </c>
      <c r="Q49" s="16">
        <f t="shared" si="11"/>
        <v>0</v>
      </c>
      <c r="R49" s="17">
        <f t="shared" si="12"/>
        <v>0</v>
      </c>
    </row>
    <row r="50" spans="8:18" ht="49" thickTop="1" thickBot="1" x14ac:dyDescent="0.6">
      <c r="H50" s="15" t="str">
        <f t="shared" si="3"/>
        <v>NA</v>
      </c>
      <c r="I50" s="16">
        <f t="shared" si="4"/>
        <v>0</v>
      </c>
      <c r="J50" s="16">
        <f t="shared" si="5"/>
        <v>0</v>
      </c>
      <c r="K50" s="16">
        <f t="shared" si="6"/>
        <v>0</v>
      </c>
      <c r="L50" s="16">
        <f t="shared" si="7"/>
        <v>0</v>
      </c>
      <c r="M50" s="16">
        <f t="shared" si="8"/>
        <v>0</v>
      </c>
      <c r="N50" s="16">
        <f t="shared" si="0"/>
        <v>0</v>
      </c>
      <c r="O50" s="16">
        <f t="shared" si="9"/>
        <v>0</v>
      </c>
      <c r="P50" s="16">
        <f t="shared" si="10"/>
        <v>0</v>
      </c>
      <c r="Q50" s="16">
        <f t="shared" si="11"/>
        <v>0</v>
      </c>
      <c r="R50" s="17">
        <f t="shared" si="12"/>
        <v>0</v>
      </c>
    </row>
    <row r="51" spans="8:18" ht="49" thickTop="1" thickBot="1" x14ac:dyDescent="0.6">
      <c r="H51" s="15" t="str">
        <f t="shared" si="3"/>
        <v>NA</v>
      </c>
      <c r="I51" s="16">
        <f t="shared" si="4"/>
        <v>0</v>
      </c>
      <c r="J51" s="16">
        <f t="shared" si="5"/>
        <v>0</v>
      </c>
      <c r="K51" s="16">
        <f t="shared" si="6"/>
        <v>0</v>
      </c>
      <c r="L51" s="16">
        <f t="shared" si="7"/>
        <v>0</v>
      </c>
      <c r="M51" s="16">
        <f t="shared" si="8"/>
        <v>0</v>
      </c>
      <c r="N51" s="16">
        <f t="shared" si="0"/>
        <v>0</v>
      </c>
      <c r="O51" s="16">
        <f t="shared" si="9"/>
        <v>0</v>
      </c>
      <c r="P51" s="16">
        <f t="shared" si="10"/>
        <v>0</v>
      </c>
      <c r="Q51" s="16">
        <f t="shared" si="11"/>
        <v>0</v>
      </c>
      <c r="R51" s="17">
        <f t="shared" si="12"/>
        <v>0</v>
      </c>
    </row>
    <row r="52" spans="8:18" ht="49" thickTop="1" thickBot="1" x14ac:dyDescent="0.6">
      <c r="H52" s="15" t="str">
        <f t="shared" si="3"/>
        <v>NA</v>
      </c>
      <c r="I52" s="16">
        <f t="shared" si="4"/>
        <v>0</v>
      </c>
      <c r="J52" s="16">
        <f t="shared" si="5"/>
        <v>0</v>
      </c>
      <c r="K52" s="16">
        <f t="shared" si="6"/>
        <v>0</v>
      </c>
      <c r="L52" s="16">
        <f t="shared" si="7"/>
        <v>0</v>
      </c>
      <c r="M52" s="16">
        <f t="shared" si="8"/>
        <v>0</v>
      </c>
      <c r="N52" s="16">
        <f t="shared" si="0"/>
        <v>0</v>
      </c>
      <c r="O52" s="16">
        <f t="shared" si="9"/>
        <v>0</v>
      </c>
      <c r="P52" s="16">
        <f t="shared" si="10"/>
        <v>0</v>
      </c>
      <c r="Q52" s="16">
        <f t="shared" si="11"/>
        <v>0</v>
      </c>
      <c r="R52" s="17">
        <f t="shared" si="12"/>
        <v>0</v>
      </c>
    </row>
    <row r="53" spans="8:18" ht="49" thickTop="1" thickBot="1" x14ac:dyDescent="0.6">
      <c r="H53" s="15" t="str">
        <f t="shared" si="3"/>
        <v>NA</v>
      </c>
      <c r="I53" s="16">
        <f t="shared" si="4"/>
        <v>0</v>
      </c>
      <c r="J53" s="16">
        <f t="shared" si="5"/>
        <v>0</v>
      </c>
      <c r="K53" s="16">
        <f t="shared" si="6"/>
        <v>0</v>
      </c>
      <c r="L53" s="16">
        <f t="shared" si="7"/>
        <v>0</v>
      </c>
      <c r="M53" s="16">
        <f t="shared" si="8"/>
        <v>0</v>
      </c>
      <c r="N53" s="16">
        <f t="shared" si="0"/>
        <v>0</v>
      </c>
      <c r="O53" s="16">
        <f t="shared" si="9"/>
        <v>0</v>
      </c>
      <c r="P53" s="16">
        <f t="shared" si="10"/>
        <v>0</v>
      </c>
      <c r="Q53" s="16">
        <f t="shared" si="11"/>
        <v>0</v>
      </c>
      <c r="R53" s="17">
        <f t="shared" si="12"/>
        <v>0</v>
      </c>
    </row>
    <row r="54" spans="8:18" ht="49" thickTop="1" thickBot="1" x14ac:dyDescent="0.6">
      <c r="H54" s="15" t="str">
        <f t="shared" si="3"/>
        <v>NA</v>
      </c>
      <c r="I54" s="16">
        <f t="shared" si="4"/>
        <v>0</v>
      </c>
      <c r="J54" s="16">
        <f t="shared" si="5"/>
        <v>0</v>
      </c>
      <c r="K54" s="16">
        <f t="shared" si="6"/>
        <v>0</v>
      </c>
      <c r="L54" s="16">
        <f t="shared" si="7"/>
        <v>0</v>
      </c>
      <c r="M54" s="16">
        <f t="shared" si="8"/>
        <v>0</v>
      </c>
      <c r="N54" s="16">
        <f t="shared" si="0"/>
        <v>0</v>
      </c>
      <c r="O54" s="16">
        <f t="shared" si="9"/>
        <v>0</v>
      </c>
      <c r="P54" s="16">
        <f t="shared" si="10"/>
        <v>0</v>
      </c>
      <c r="Q54" s="16">
        <f t="shared" si="11"/>
        <v>0</v>
      </c>
      <c r="R54" s="17">
        <f t="shared" si="12"/>
        <v>0</v>
      </c>
    </row>
    <row r="55" spans="8:18" ht="49" thickTop="1" thickBot="1" x14ac:dyDescent="0.6">
      <c r="H55" s="15" t="str">
        <f t="shared" si="3"/>
        <v>NA</v>
      </c>
      <c r="I55" s="16">
        <f t="shared" si="4"/>
        <v>0</v>
      </c>
      <c r="J55" s="16">
        <f t="shared" si="5"/>
        <v>0</v>
      </c>
      <c r="K55" s="16">
        <f t="shared" si="6"/>
        <v>0</v>
      </c>
      <c r="L55" s="16">
        <f t="shared" si="7"/>
        <v>0</v>
      </c>
      <c r="M55" s="16">
        <f t="shared" si="8"/>
        <v>0</v>
      </c>
      <c r="N55" s="16">
        <f t="shared" si="0"/>
        <v>0</v>
      </c>
      <c r="O55" s="16">
        <f t="shared" si="9"/>
        <v>0</v>
      </c>
      <c r="P55" s="16">
        <f t="shared" si="10"/>
        <v>0</v>
      </c>
      <c r="Q55" s="16">
        <f t="shared" si="11"/>
        <v>0</v>
      </c>
      <c r="R55" s="17">
        <f t="shared" si="12"/>
        <v>0</v>
      </c>
    </row>
    <row r="56" spans="8:18" ht="49" thickTop="1" thickBot="1" x14ac:dyDescent="0.6">
      <c r="H56" s="15" t="str">
        <f t="shared" si="3"/>
        <v>NA</v>
      </c>
      <c r="I56" s="16">
        <f t="shared" si="4"/>
        <v>0</v>
      </c>
      <c r="J56" s="16">
        <f t="shared" si="5"/>
        <v>0</v>
      </c>
      <c r="K56" s="16">
        <f t="shared" si="6"/>
        <v>0</v>
      </c>
      <c r="L56" s="16">
        <f t="shared" si="7"/>
        <v>0</v>
      </c>
      <c r="M56" s="16">
        <f t="shared" si="8"/>
        <v>0</v>
      </c>
      <c r="N56" s="16">
        <f t="shared" si="0"/>
        <v>0</v>
      </c>
      <c r="O56" s="16">
        <f t="shared" si="9"/>
        <v>0</v>
      </c>
      <c r="P56" s="16">
        <f t="shared" si="10"/>
        <v>0</v>
      </c>
      <c r="Q56" s="16">
        <f t="shared" si="11"/>
        <v>0</v>
      </c>
      <c r="R56" s="17">
        <f t="shared" si="12"/>
        <v>0</v>
      </c>
    </row>
    <row r="57" spans="8:18" ht="49" thickTop="1" thickBot="1" x14ac:dyDescent="0.6">
      <c r="H57" s="15" t="str">
        <f t="shared" si="3"/>
        <v>NA</v>
      </c>
      <c r="I57" s="16">
        <f t="shared" si="4"/>
        <v>0</v>
      </c>
      <c r="J57" s="16">
        <f t="shared" si="5"/>
        <v>0</v>
      </c>
      <c r="K57" s="16">
        <f t="shared" si="6"/>
        <v>0</v>
      </c>
      <c r="L57" s="16">
        <f t="shared" si="7"/>
        <v>0</v>
      </c>
      <c r="M57" s="16">
        <f t="shared" si="8"/>
        <v>0</v>
      </c>
      <c r="N57" s="16">
        <f t="shared" si="0"/>
        <v>0</v>
      </c>
      <c r="O57" s="16">
        <f t="shared" si="9"/>
        <v>0</v>
      </c>
      <c r="P57" s="16">
        <f t="shared" si="10"/>
        <v>0</v>
      </c>
      <c r="Q57" s="16">
        <f t="shared" si="11"/>
        <v>0</v>
      </c>
      <c r="R57" s="17">
        <f t="shared" si="12"/>
        <v>0</v>
      </c>
    </row>
    <row r="58" spans="8:18" ht="49" thickTop="1" thickBot="1" x14ac:dyDescent="0.6">
      <c r="H58" s="15" t="str">
        <f t="shared" si="3"/>
        <v>NA</v>
      </c>
      <c r="I58" s="16">
        <f t="shared" si="4"/>
        <v>0</v>
      </c>
      <c r="J58" s="16">
        <f t="shared" si="5"/>
        <v>0</v>
      </c>
      <c r="K58" s="16">
        <f t="shared" si="6"/>
        <v>0</v>
      </c>
      <c r="L58" s="16">
        <f t="shared" si="7"/>
        <v>0</v>
      </c>
      <c r="M58" s="16">
        <f t="shared" si="8"/>
        <v>0</v>
      </c>
      <c r="N58" s="16">
        <f t="shared" si="0"/>
        <v>0</v>
      </c>
      <c r="O58" s="16">
        <f t="shared" si="9"/>
        <v>0</v>
      </c>
      <c r="P58" s="16">
        <f t="shared" si="10"/>
        <v>0</v>
      </c>
      <c r="Q58" s="16">
        <f t="shared" si="11"/>
        <v>0</v>
      </c>
      <c r="R58" s="17">
        <f t="shared" si="12"/>
        <v>0</v>
      </c>
    </row>
    <row r="59" spans="8:18" ht="49" thickTop="1" thickBot="1" x14ac:dyDescent="0.6">
      <c r="H59" s="15" t="str">
        <f t="shared" si="3"/>
        <v>NA</v>
      </c>
      <c r="I59" s="16">
        <f t="shared" si="4"/>
        <v>0</v>
      </c>
      <c r="J59" s="16">
        <f t="shared" si="5"/>
        <v>0</v>
      </c>
      <c r="K59" s="16">
        <f t="shared" si="6"/>
        <v>0</v>
      </c>
      <c r="L59" s="16">
        <f t="shared" si="7"/>
        <v>0</v>
      </c>
      <c r="M59" s="16">
        <f t="shared" si="8"/>
        <v>0</v>
      </c>
      <c r="N59" s="16">
        <f t="shared" si="0"/>
        <v>0</v>
      </c>
      <c r="O59" s="16">
        <f t="shared" si="9"/>
        <v>0</v>
      </c>
      <c r="P59" s="16">
        <f t="shared" si="10"/>
        <v>0</v>
      </c>
      <c r="Q59" s="16">
        <f t="shared" si="11"/>
        <v>0</v>
      </c>
      <c r="R59" s="17">
        <f t="shared" si="12"/>
        <v>0</v>
      </c>
    </row>
    <row r="60" spans="8:18" ht="49" thickTop="1" thickBot="1" x14ac:dyDescent="0.6">
      <c r="H60" s="15" t="str">
        <f t="shared" si="3"/>
        <v>NA</v>
      </c>
      <c r="I60" s="16">
        <f t="shared" si="4"/>
        <v>0</v>
      </c>
      <c r="J60" s="16">
        <f t="shared" si="5"/>
        <v>0</v>
      </c>
      <c r="K60" s="16">
        <f t="shared" si="6"/>
        <v>0</v>
      </c>
      <c r="L60" s="16">
        <f t="shared" si="7"/>
        <v>0</v>
      </c>
      <c r="M60" s="16">
        <f t="shared" si="8"/>
        <v>0</v>
      </c>
      <c r="N60" s="16">
        <f t="shared" si="0"/>
        <v>0</v>
      </c>
      <c r="O60" s="16">
        <f t="shared" si="9"/>
        <v>0</v>
      </c>
      <c r="P60" s="16">
        <f t="shared" si="10"/>
        <v>0</v>
      </c>
      <c r="Q60" s="16">
        <f t="shared" si="11"/>
        <v>0</v>
      </c>
      <c r="R60" s="17">
        <f t="shared" si="12"/>
        <v>0</v>
      </c>
    </row>
    <row r="61" spans="8:18" ht="49" thickTop="1" thickBot="1" x14ac:dyDescent="0.6">
      <c r="H61" s="15" t="str">
        <f t="shared" si="3"/>
        <v>NA</v>
      </c>
      <c r="I61" s="16">
        <f t="shared" si="4"/>
        <v>0</v>
      </c>
      <c r="J61" s="16">
        <f t="shared" si="5"/>
        <v>0</v>
      </c>
      <c r="K61" s="16">
        <f t="shared" si="6"/>
        <v>0</v>
      </c>
      <c r="L61" s="16">
        <f t="shared" si="7"/>
        <v>0</v>
      </c>
      <c r="M61" s="16">
        <f t="shared" si="8"/>
        <v>0</v>
      </c>
      <c r="N61" s="16">
        <f t="shared" si="0"/>
        <v>0</v>
      </c>
      <c r="O61" s="16">
        <f t="shared" si="9"/>
        <v>0</v>
      </c>
      <c r="P61" s="16">
        <f t="shared" si="10"/>
        <v>0</v>
      </c>
      <c r="Q61" s="16">
        <f t="shared" si="11"/>
        <v>0</v>
      </c>
      <c r="R61" s="17">
        <f t="shared" si="12"/>
        <v>0</v>
      </c>
    </row>
    <row r="62" spans="8:18" ht="49" thickTop="1" thickBot="1" x14ac:dyDescent="0.6">
      <c r="H62" s="15" t="str">
        <f t="shared" si="3"/>
        <v>NA</v>
      </c>
      <c r="I62" s="16">
        <f t="shared" si="4"/>
        <v>0</v>
      </c>
      <c r="J62" s="16">
        <f t="shared" si="5"/>
        <v>0</v>
      </c>
      <c r="K62" s="16">
        <f t="shared" si="6"/>
        <v>0</v>
      </c>
      <c r="L62" s="16">
        <f t="shared" si="7"/>
        <v>0</v>
      </c>
      <c r="M62" s="16">
        <f t="shared" si="8"/>
        <v>0</v>
      </c>
      <c r="N62" s="16">
        <f t="shared" si="0"/>
        <v>0</v>
      </c>
      <c r="O62" s="16">
        <f t="shared" si="9"/>
        <v>0</v>
      </c>
      <c r="P62" s="16">
        <f t="shared" si="10"/>
        <v>0</v>
      </c>
      <c r="Q62" s="16">
        <f t="shared" si="11"/>
        <v>0</v>
      </c>
      <c r="R62" s="17">
        <f t="shared" si="12"/>
        <v>0</v>
      </c>
    </row>
    <row r="63" spans="8:18" ht="49" thickTop="1" thickBot="1" x14ac:dyDescent="0.6">
      <c r="H63" s="15" t="str">
        <f t="shared" si="3"/>
        <v>NA</v>
      </c>
      <c r="I63" s="16">
        <f t="shared" si="4"/>
        <v>0</v>
      </c>
      <c r="J63" s="16">
        <f t="shared" si="5"/>
        <v>0</v>
      </c>
      <c r="K63" s="16">
        <f t="shared" si="6"/>
        <v>0</v>
      </c>
      <c r="L63" s="16">
        <f t="shared" si="7"/>
        <v>0</v>
      </c>
      <c r="M63" s="16">
        <f t="shared" si="8"/>
        <v>0</v>
      </c>
      <c r="N63" s="16">
        <f t="shared" si="0"/>
        <v>0</v>
      </c>
      <c r="O63" s="16">
        <f t="shared" si="9"/>
        <v>0</v>
      </c>
      <c r="P63" s="16">
        <f t="shared" si="10"/>
        <v>0</v>
      </c>
      <c r="Q63" s="16">
        <f t="shared" si="11"/>
        <v>0</v>
      </c>
      <c r="R63" s="17">
        <f t="shared" si="12"/>
        <v>0</v>
      </c>
    </row>
    <row r="64" spans="8:18" ht="49" thickTop="1" thickBot="1" x14ac:dyDescent="0.6">
      <c r="H64" s="15" t="str">
        <f t="shared" si="3"/>
        <v>NA</v>
      </c>
      <c r="I64" s="16">
        <f t="shared" si="4"/>
        <v>0</v>
      </c>
      <c r="J64" s="16">
        <f t="shared" si="5"/>
        <v>0</v>
      </c>
      <c r="K64" s="16">
        <f t="shared" si="6"/>
        <v>0</v>
      </c>
      <c r="L64" s="16">
        <f t="shared" si="7"/>
        <v>0</v>
      </c>
      <c r="M64" s="16">
        <f t="shared" si="8"/>
        <v>0</v>
      </c>
      <c r="N64" s="16">
        <f t="shared" si="0"/>
        <v>0</v>
      </c>
      <c r="O64" s="16">
        <f t="shared" si="9"/>
        <v>0</v>
      </c>
      <c r="P64" s="16">
        <f t="shared" si="10"/>
        <v>0</v>
      </c>
      <c r="Q64" s="16">
        <f t="shared" si="11"/>
        <v>0</v>
      </c>
      <c r="R64" s="17">
        <f t="shared" si="12"/>
        <v>0</v>
      </c>
    </row>
    <row r="65" spans="8:18" ht="49" thickTop="1" thickBot="1" x14ac:dyDescent="0.6">
      <c r="H65" s="15" t="str">
        <f t="shared" si="3"/>
        <v>NA</v>
      </c>
      <c r="I65" s="16">
        <f t="shared" si="4"/>
        <v>0</v>
      </c>
      <c r="J65" s="16">
        <f t="shared" si="5"/>
        <v>0</v>
      </c>
      <c r="K65" s="16">
        <f t="shared" si="6"/>
        <v>0</v>
      </c>
      <c r="L65" s="16">
        <f t="shared" si="7"/>
        <v>0</v>
      </c>
      <c r="M65" s="16">
        <f t="shared" si="8"/>
        <v>0</v>
      </c>
      <c r="N65" s="16">
        <f t="shared" si="0"/>
        <v>0</v>
      </c>
      <c r="O65" s="16">
        <f t="shared" si="9"/>
        <v>0</v>
      </c>
      <c r="P65" s="16">
        <f t="shared" si="10"/>
        <v>0</v>
      </c>
      <c r="Q65" s="16">
        <f t="shared" si="11"/>
        <v>0</v>
      </c>
      <c r="R65" s="17">
        <f t="shared" si="12"/>
        <v>0</v>
      </c>
    </row>
    <row r="66" spans="8:18" ht="49" thickTop="1" thickBot="1" x14ac:dyDescent="0.6">
      <c r="H66" s="15" t="str">
        <f t="shared" si="3"/>
        <v>NA</v>
      </c>
      <c r="I66" s="16">
        <f t="shared" si="4"/>
        <v>0</v>
      </c>
      <c r="J66" s="16">
        <f t="shared" si="5"/>
        <v>0</v>
      </c>
      <c r="K66" s="16">
        <f t="shared" si="6"/>
        <v>0</v>
      </c>
      <c r="L66" s="16">
        <f t="shared" si="7"/>
        <v>0</v>
      </c>
      <c r="M66" s="16">
        <f t="shared" si="8"/>
        <v>0</v>
      </c>
      <c r="N66" s="16">
        <f t="shared" si="0"/>
        <v>0</v>
      </c>
      <c r="O66" s="16">
        <f t="shared" si="9"/>
        <v>0</v>
      </c>
      <c r="P66" s="16">
        <f t="shared" si="10"/>
        <v>0</v>
      </c>
      <c r="Q66" s="16">
        <f t="shared" si="11"/>
        <v>0</v>
      </c>
      <c r="R66" s="17">
        <f t="shared" si="12"/>
        <v>0</v>
      </c>
    </row>
    <row r="67" spans="8:18" ht="49" thickTop="1" thickBot="1" x14ac:dyDescent="0.6">
      <c r="H67" s="15" t="str">
        <f t="shared" si="3"/>
        <v>NA</v>
      </c>
      <c r="I67" s="16">
        <f t="shared" si="4"/>
        <v>0</v>
      </c>
      <c r="J67" s="16">
        <f t="shared" si="5"/>
        <v>0</v>
      </c>
      <c r="K67" s="16">
        <f t="shared" si="6"/>
        <v>0</v>
      </c>
      <c r="L67" s="16">
        <f t="shared" si="7"/>
        <v>0</v>
      </c>
      <c r="M67" s="16">
        <f t="shared" si="8"/>
        <v>0</v>
      </c>
      <c r="N67" s="16">
        <f t="shared" si="0"/>
        <v>0</v>
      </c>
      <c r="O67" s="16">
        <f t="shared" si="9"/>
        <v>0</v>
      </c>
      <c r="P67" s="16">
        <f t="shared" si="10"/>
        <v>0</v>
      </c>
      <c r="Q67" s="16">
        <f t="shared" si="11"/>
        <v>0</v>
      </c>
      <c r="R67" s="17">
        <f t="shared" si="12"/>
        <v>0</v>
      </c>
    </row>
    <row r="68" spans="8:18" ht="49" thickTop="1" thickBot="1" x14ac:dyDescent="0.6">
      <c r="H68" s="15" t="str">
        <f t="shared" si="3"/>
        <v>NA</v>
      </c>
      <c r="I68" s="16">
        <f t="shared" si="4"/>
        <v>0</v>
      </c>
      <c r="J68" s="16">
        <f t="shared" si="5"/>
        <v>0</v>
      </c>
      <c r="K68" s="16">
        <f t="shared" si="6"/>
        <v>0</v>
      </c>
      <c r="L68" s="16">
        <f t="shared" si="7"/>
        <v>0</v>
      </c>
      <c r="M68" s="16">
        <f t="shared" si="8"/>
        <v>0</v>
      </c>
      <c r="N68" s="16">
        <f t="shared" si="0"/>
        <v>0</v>
      </c>
      <c r="O68" s="16">
        <f t="shared" si="9"/>
        <v>0</v>
      </c>
      <c r="P68" s="16">
        <f t="shared" si="10"/>
        <v>0</v>
      </c>
      <c r="Q68" s="16">
        <f t="shared" si="11"/>
        <v>0</v>
      </c>
      <c r="R68" s="17">
        <f t="shared" si="12"/>
        <v>0</v>
      </c>
    </row>
    <row r="69" spans="8:18" ht="49" thickTop="1" thickBot="1" x14ac:dyDescent="0.6">
      <c r="H69" s="15" t="str">
        <f t="shared" si="3"/>
        <v>NA</v>
      </c>
      <c r="I69" s="16">
        <f t="shared" si="4"/>
        <v>0</v>
      </c>
      <c r="J69" s="16">
        <f t="shared" si="5"/>
        <v>0</v>
      </c>
      <c r="K69" s="16">
        <f t="shared" si="6"/>
        <v>0</v>
      </c>
      <c r="L69" s="16">
        <f t="shared" si="7"/>
        <v>0</v>
      </c>
      <c r="M69" s="16">
        <f t="shared" si="8"/>
        <v>0</v>
      </c>
      <c r="N69" s="16">
        <f t="shared" si="0"/>
        <v>0</v>
      </c>
      <c r="O69" s="16">
        <f t="shared" si="9"/>
        <v>0</v>
      </c>
      <c r="P69" s="16">
        <f t="shared" si="10"/>
        <v>0</v>
      </c>
      <c r="Q69" s="16">
        <f t="shared" si="11"/>
        <v>0</v>
      </c>
      <c r="R69" s="17">
        <f t="shared" si="12"/>
        <v>0</v>
      </c>
    </row>
    <row r="70" spans="8:18" ht="49" thickTop="1" thickBot="1" x14ac:dyDescent="0.6">
      <c r="H70" s="15" t="str">
        <f t="shared" si="3"/>
        <v>NA</v>
      </c>
      <c r="I70" s="16">
        <f t="shared" si="4"/>
        <v>0</v>
      </c>
      <c r="J70" s="16">
        <f t="shared" si="5"/>
        <v>0</v>
      </c>
      <c r="K70" s="16">
        <f t="shared" si="6"/>
        <v>0</v>
      </c>
      <c r="L70" s="16">
        <f t="shared" si="7"/>
        <v>0</v>
      </c>
      <c r="M70" s="16">
        <f t="shared" si="8"/>
        <v>0</v>
      </c>
      <c r="N70" s="16">
        <f t="shared" si="0"/>
        <v>0</v>
      </c>
      <c r="O70" s="16">
        <f t="shared" si="9"/>
        <v>0</v>
      </c>
      <c r="P70" s="16">
        <f t="shared" si="10"/>
        <v>0</v>
      </c>
      <c r="Q70" s="16">
        <f t="shared" si="11"/>
        <v>0</v>
      </c>
      <c r="R70" s="17">
        <f t="shared" si="12"/>
        <v>0</v>
      </c>
    </row>
    <row r="71" spans="8:18" ht="49" thickTop="1" thickBot="1" x14ac:dyDescent="0.6">
      <c r="H71" s="15" t="str">
        <f t="shared" si="3"/>
        <v>NA</v>
      </c>
      <c r="I71" s="16">
        <f t="shared" si="4"/>
        <v>0</v>
      </c>
      <c r="J71" s="16">
        <f t="shared" si="5"/>
        <v>0</v>
      </c>
      <c r="K71" s="16">
        <f t="shared" si="6"/>
        <v>0</v>
      </c>
      <c r="L71" s="16">
        <f t="shared" si="7"/>
        <v>0</v>
      </c>
      <c r="M71" s="16">
        <f t="shared" si="8"/>
        <v>0</v>
      </c>
      <c r="N71" s="16">
        <f t="shared" si="0"/>
        <v>0</v>
      </c>
      <c r="O71" s="16">
        <f t="shared" si="9"/>
        <v>0</v>
      </c>
      <c r="P71" s="16">
        <f t="shared" si="10"/>
        <v>0</v>
      </c>
      <c r="Q71" s="16">
        <f t="shared" si="11"/>
        <v>0</v>
      </c>
      <c r="R71" s="17">
        <f t="shared" si="12"/>
        <v>0</v>
      </c>
    </row>
    <row r="72" spans="8:18" ht="49" thickTop="1" thickBot="1" x14ac:dyDescent="0.6">
      <c r="H72" s="15" t="str">
        <f t="shared" si="3"/>
        <v>NA</v>
      </c>
      <c r="I72" s="16">
        <f t="shared" si="4"/>
        <v>0</v>
      </c>
      <c r="J72" s="16">
        <f t="shared" si="5"/>
        <v>0</v>
      </c>
      <c r="K72" s="16">
        <f t="shared" si="6"/>
        <v>0</v>
      </c>
      <c r="L72" s="16">
        <f t="shared" si="7"/>
        <v>0</v>
      </c>
      <c r="M72" s="16">
        <f t="shared" si="8"/>
        <v>0</v>
      </c>
      <c r="N72" s="16">
        <f t="shared" ref="N72:N95" si="13">IF(H72= "NA",0,IF(M72&gt;2000000,M72*18%,0))</f>
        <v>0</v>
      </c>
      <c r="O72" s="16">
        <f t="shared" si="9"/>
        <v>0</v>
      </c>
      <c r="P72" s="16">
        <f t="shared" si="10"/>
        <v>0</v>
      </c>
      <c r="Q72" s="16">
        <f t="shared" ref="Q72:Q95" si="14">IF(H72= "NA",0,Q71*(1+$R$5))</f>
        <v>0</v>
      </c>
      <c r="R72" s="17">
        <f t="shared" ref="R72:R95" si="15">IF(H72= "NA",0,(P72)/Q72)</f>
        <v>0</v>
      </c>
    </row>
    <row r="73" spans="8:18" ht="49" thickTop="1" thickBot="1" x14ac:dyDescent="0.6">
      <c r="H73" s="15" t="str">
        <f t="shared" ref="H73:H95" si="16">IF(H72&lt;$D$9,H72+1, "NA")</f>
        <v>NA</v>
      </c>
      <c r="I73" s="16">
        <f t="shared" ref="I73:I95" si="17">IF(H73= "NA",0,I72*(1+$I$5))</f>
        <v>0</v>
      </c>
      <c r="J73" s="16">
        <f t="shared" ref="J73:J95" si="18">IF(H73= "NA",0,J72*(1+$K$5))</f>
        <v>0</v>
      </c>
      <c r="K73" s="16">
        <f t="shared" ref="K73:K95" si="19">IF(H73= "NA",0,I73-J73)</f>
        <v>0</v>
      </c>
      <c r="L73" s="16">
        <f t="shared" ref="L73:L95" si="20">IF(H73= "NA",0,K73*$M$5)</f>
        <v>0</v>
      </c>
      <c r="M73" s="16">
        <f t="shared" ref="M73:M95" si="21">IF(H73= "NA",0,K73-L73)</f>
        <v>0</v>
      </c>
      <c r="N73" s="16">
        <f t="shared" si="13"/>
        <v>0</v>
      </c>
      <c r="O73" s="16">
        <f t="shared" ref="O73:O95" si="22">IF(H73= "NA",0,(M73-N73)*$P$5)</f>
        <v>0</v>
      </c>
      <c r="P73" s="16">
        <f t="shared" ref="P73:P95" si="23">IF(H73= "NA",0,K73-O73-N73)</f>
        <v>0</v>
      </c>
      <c r="Q73" s="16">
        <f t="shared" si="14"/>
        <v>0</v>
      </c>
      <c r="R73" s="17">
        <f t="shared" si="15"/>
        <v>0</v>
      </c>
    </row>
    <row r="74" spans="8:18" ht="49" thickTop="1" thickBot="1" x14ac:dyDescent="0.6">
      <c r="H74" s="15" t="str">
        <f t="shared" si="16"/>
        <v>NA</v>
      </c>
      <c r="I74" s="16">
        <f t="shared" si="17"/>
        <v>0</v>
      </c>
      <c r="J74" s="16">
        <f t="shared" si="18"/>
        <v>0</v>
      </c>
      <c r="K74" s="16">
        <f t="shared" si="19"/>
        <v>0</v>
      </c>
      <c r="L74" s="16">
        <f t="shared" si="20"/>
        <v>0</v>
      </c>
      <c r="M74" s="16">
        <f t="shared" si="21"/>
        <v>0</v>
      </c>
      <c r="N74" s="16">
        <f t="shared" si="13"/>
        <v>0</v>
      </c>
      <c r="O74" s="16">
        <f t="shared" si="22"/>
        <v>0</v>
      </c>
      <c r="P74" s="16">
        <f t="shared" si="23"/>
        <v>0</v>
      </c>
      <c r="Q74" s="16">
        <f t="shared" si="14"/>
        <v>0</v>
      </c>
      <c r="R74" s="17">
        <f t="shared" si="15"/>
        <v>0</v>
      </c>
    </row>
    <row r="75" spans="8:18" ht="49" thickTop="1" thickBot="1" x14ac:dyDescent="0.6">
      <c r="H75" s="15" t="str">
        <f t="shared" si="16"/>
        <v>NA</v>
      </c>
      <c r="I75" s="16">
        <f t="shared" si="17"/>
        <v>0</v>
      </c>
      <c r="J75" s="16">
        <f t="shared" si="18"/>
        <v>0</v>
      </c>
      <c r="K75" s="16">
        <f t="shared" si="19"/>
        <v>0</v>
      </c>
      <c r="L75" s="16">
        <f t="shared" si="20"/>
        <v>0</v>
      </c>
      <c r="M75" s="16">
        <f t="shared" si="21"/>
        <v>0</v>
      </c>
      <c r="N75" s="16">
        <f t="shared" si="13"/>
        <v>0</v>
      </c>
      <c r="O75" s="16">
        <f t="shared" si="22"/>
        <v>0</v>
      </c>
      <c r="P75" s="16">
        <f t="shared" si="23"/>
        <v>0</v>
      </c>
      <c r="Q75" s="16">
        <f t="shared" si="14"/>
        <v>0</v>
      </c>
      <c r="R75" s="17">
        <f t="shared" si="15"/>
        <v>0</v>
      </c>
    </row>
    <row r="76" spans="8:18" ht="49" thickTop="1" thickBot="1" x14ac:dyDescent="0.6">
      <c r="H76" s="15" t="str">
        <f t="shared" si="16"/>
        <v>NA</v>
      </c>
      <c r="I76" s="16">
        <f t="shared" si="17"/>
        <v>0</v>
      </c>
      <c r="J76" s="16">
        <f t="shared" si="18"/>
        <v>0</v>
      </c>
      <c r="K76" s="16">
        <f t="shared" si="19"/>
        <v>0</v>
      </c>
      <c r="L76" s="16">
        <f t="shared" si="20"/>
        <v>0</v>
      </c>
      <c r="M76" s="16">
        <f t="shared" si="21"/>
        <v>0</v>
      </c>
      <c r="N76" s="16">
        <f t="shared" si="13"/>
        <v>0</v>
      </c>
      <c r="O76" s="16">
        <f t="shared" si="22"/>
        <v>0</v>
      </c>
      <c r="P76" s="16">
        <f t="shared" si="23"/>
        <v>0</v>
      </c>
      <c r="Q76" s="16">
        <f t="shared" si="14"/>
        <v>0</v>
      </c>
      <c r="R76" s="17">
        <f t="shared" si="15"/>
        <v>0</v>
      </c>
    </row>
    <row r="77" spans="8:18" ht="49" thickTop="1" thickBot="1" x14ac:dyDescent="0.6">
      <c r="H77" s="15" t="str">
        <f t="shared" si="16"/>
        <v>NA</v>
      </c>
      <c r="I77" s="16">
        <f t="shared" si="17"/>
        <v>0</v>
      </c>
      <c r="J77" s="16">
        <f t="shared" si="18"/>
        <v>0</v>
      </c>
      <c r="K77" s="16">
        <f t="shared" si="19"/>
        <v>0</v>
      </c>
      <c r="L77" s="16">
        <f t="shared" si="20"/>
        <v>0</v>
      </c>
      <c r="M77" s="16">
        <f t="shared" si="21"/>
        <v>0</v>
      </c>
      <c r="N77" s="16">
        <f t="shared" si="13"/>
        <v>0</v>
      </c>
      <c r="O77" s="16">
        <f t="shared" si="22"/>
        <v>0</v>
      </c>
      <c r="P77" s="16">
        <f t="shared" si="23"/>
        <v>0</v>
      </c>
      <c r="Q77" s="16">
        <f t="shared" si="14"/>
        <v>0</v>
      </c>
      <c r="R77" s="17">
        <f t="shared" si="15"/>
        <v>0</v>
      </c>
    </row>
    <row r="78" spans="8:18" ht="49" thickTop="1" thickBot="1" x14ac:dyDescent="0.6">
      <c r="H78" s="15" t="str">
        <f t="shared" si="16"/>
        <v>NA</v>
      </c>
      <c r="I78" s="16">
        <f t="shared" si="17"/>
        <v>0</v>
      </c>
      <c r="J78" s="16">
        <f t="shared" si="18"/>
        <v>0</v>
      </c>
      <c r="K78" s="16">
        <f t="shared" si="19"/>
        <v>0</v>
      </c>
      <c r="L78" s="16">
        <f t="shared" si="20"/>
        <v>0</v>
      </c>
      <c r="M78" s="16">
        <f t="shared" si="21"/>
        <v>0</v>
      </c>
      <c r="N78" s="16">
        <f t="shared" si="13"/>
        <v>0</v>
      </c>
      <c r="O78" s="16">
        <f t="shared" si="22"/>
        <v>0</v>
      </c>
      <c r="P78" s="16">
        <f t="shared" si="23"/>
        <v>0</v>
      </c>
      <c r="Q78" s="16">
        <f t="shared" si="14"/>
        <v>0</v>
      </c>
      <c r="R78" s="17">
        <f t="shared" si="15"/>
        <v>0</v>
      </c>
    </row>
    <row r="79" spans="8:18" ht="49" thickTop="1" thickBot="1" x14ac:dyDescent="0.6">
      <c r="H79" s="15" t="str">
        <f t="shared" si="16"/>
        <v>NA</v>
      </c>
      <c r="I79" s="16">
        <f t="shared" si="17"/>
        <v>0</v>
      </c>
      <c r="J79" s="16">
        <f t="shared" si="18"/>
        <v>0</v>
      </c>
      <c r="K79" s="16">
        <f t="shared" si="19"/>
        <v>0</v>
      </c>
      <c r="L79" s="16">
        <f t="shared" si="20"/>
        <v>0</v>
      </c>
      <c r="M79" s="16">
        <f t="shared" si="21"/>
        <v>0</v>
      </c>
      <c r="N79" s="16">
        <f t="shared" si="13"/>
        <v>0</v>
      </c>
      <c r="O79" s="16">
        <f t="shared" si="22"/>
        <v>0</v>
      </c>
      <c r="P79" s="16">
        <f t="shared" si="23"/>
        <v>0</v>
      </c>
      <c r="Q79" s="16">
        <f t="shared" si="14"/>
        <v>0</v>
      </c>
      <c r="R79" s="17">
        <f t="shared" si="15"/>
        <v>0</v>
      </c>
    </row>
    <row r="80" spans="8:18" ht="49" thickTop="1" thickBot="1" x14ac:dyDescent="0.6">
      <c r="H80" s="15" t="str">
        <f t="shared" si="16"/>
        <v>NA</v>
      </c>
      <c r="I80" s="16">
        <f t="shared" si="17"/>
        <v>0</v>
      </c>
      <c r="J80" s="16">
        <f t="shared" si="18"/>
        <v>0</v>
      </c>
      <c r="K80" s="16">
        <f t="shared" si="19"/>
        <v>0</v>
      </c>
      <c r="L80" s="16">
        <f t="shared" si="20"/>
        <v>0</v>
      </c>
      <c r="M80" s="16">
        <f t="shared" si="21"/>
        <v>0</v>
      </c>
      <c r="N80" s="16">
        <f t="shared" si="13"/>
        <v>0</v>
      </c>
      <c r="O80" s="16">
        <f t="shared" si="22"/>
        <v>0</v>
      </c>
      <c r="P80" s="16">
        <f t="shared" si="23"/>
        <v>0</v>
      </c>
      <c r="Q80" s="16">
        <f t="shared" si="14"/>
        <v>0</v>
      </c>
      <c r="R80" s="17">
        <f t="shared" si="15"/>
        <v>0</v>
      </c>
    </row>
    <row r="81" spans="8:18" ht="49" thickTop="1" thickBot="1" x14ac:dyDescent="0.6">
      <c r="H81" s="15" t="str">
        <f t="shared" si="16"/>
        <v>NA</v>
      </c>
      <c r="I81" s="16">
        <f t="shared" si="17"/>
        <v>0</v>
      </c>
      <c r="J81" s="16">
        <f t="shared" si="18"/>
        <v>0</v>
      </c>
      <c r="K81" s="16">
        <f t="shared" si="19"/>
        <v>0</v>
      </c>
      <c r="L81" s="16">
        <f t="shared" si="20"/>
        <v>0</v>
      </c>
      <c r="M81" s="16">
        <f t="shared" si="21"/>
        <v>0</v>
      </c>
      <c r="N81" s="16">
        <f t="shared" si="13"/>
        <v>0</v>
      </c>
      <c r="O81" s="16">
        <f t="shared" si="22"/>
        <v>0</v>
      </c>
      <c r="P81" s="16">
        <f t="shared" si="23"/>
        <v>0</v>
      </c>
      <c r="Q81" s="16">
        <f t="shared" si="14"/>
        <v>0</v>
      </c>
      <c r="R81" s="17">
        <f t="shared" si="15"/>
        <v>0</v>
      </c>
    </row>
    <row r="82" spans="8:18" ht="49" thickTop="1" thickBot="1" x14ac:dyDescent="0.6">
      <c r="H82" s="15" t="str">
        <f t="shared" si="16"/>
        <v>NA</v>
      </c>
      <c r="I82" s="16">
        <f t="shared" si="17"/>
        <v>0</v>
      </c>
      <c r="J82" s="16">
        <f t="shared" si="18"/>
        <v>0</v>
      </c>
      <c r="K82" s="16">
        <f t="shared" si="19"/>
        <v>0</v>
      </c>
      <c r="L82" s="16">
        <f t="shared" si="20"/>
        <v>0</v>
      </c>
      <c r="M82" s="16">
        <f t="shared" si="21"/>
        <v>0</v>
      </c>
      <c r="N82" s="16">
        <f t="shared" si="13"/>
        <v>0</v>
      </c>
      <c r="O82" s="16">
        <f t="shared" si="22"/>
        <v>0</v>
      </c>
      <c r="P82" s="16">
        <f t="shared" si="23"/>
        <v>0</v>
      </c>
      <c r="Q82" s="16">
        <f t="shared" si="14"/>
        <v>0</v>
      </c>
      <c r="R82" s="17">
        <f t="shared" si="15"/>
        <v>0</v>
      </c>
    </row>
    <row r="83" spans="8:18" ht="49" thickTop="1" thickBot="1" x14ac:dyDescent="0.6">
      <c r="H83" s="15" t="str">
        <f t="shared" si="16"/>
        <v>NA</v>
      </c>
      <c r="I83" s="16">
        <f t="shared" si="17"/>
        <v>0</v>
      </c>
      <c r="J83" s="16">
        <f t="shared" si="18"/>
        <v>0</v>
      </c>
      <c r="K83" s="16">
        <f t="shared" si="19"/>
        <v>0</v>
      </c>
      <c r="L83" s="16">
        <f t="shared" si="20"/>
        <v>0</v>
      </c>
      <c r="M83" s="16">
        <f t="shared" si="21"/>
        <v>0</v>
      </c>
      <c r="N83" s="16">
        <f t="shared" si="13"/>
        <v>0</v>
      </c>
      <c r="O83" s="16">
        <f t="shared" si="22"/>
        <v>0</v>
      </c>
      <c r="P83" s="16">
        <f t="shared" si="23"/>
        <v>0</v>
      </c>
      <c r="Q83" s="16">
        <f t="shared" si="14"/>
        <v>0</v>
      </c>
      <c r="R83" s="17">
        <f t="shared" si="15"/>
        <v>0</v>
      </c>
    </row>
    <row r="84" spans="8:18" ht="49" thickTop="1" thickBot="1" x14ac:dyDescent="0.6">
      <c r="H84" s="15" t="str">
        <f t="shared" si="16"/>
        <v>NA</v>
      </c>
      <c r="I84" s="16">
        <f t="shared" si="17"/>
        <v>0</v>
      </c>
      <c r="J84" s="16">
        <f t="shared" si="18"/>
        <v>0</v>
      </c>
      <c r="K84" s="16">
        <f t="shared" si="19"/>
        <v>0</v>
      </c>
      <c r="L84" s="16">
        <f t="shared" si="20"/>
        <v>0</v>
      </c>
      <c r="M84" s="16">
        <f t="shared" si="21"/>
        <v>0</v>
      </c>
      <c r="N84" s="16">
        <f t="shared" si="13"/>
        <v>0</v>
      </c>
      <c r="O84" s="16">
        <f t="shared" si="22"/>
        <v>0</v>
      </c>
      <c r="P84" s="16">
        <f t="shared" si="23"/>
        <v>0</v>
      </c>
      <c r="Q84" s="16">
        <f t="shared" si="14"/>
        <v>0</v>
      </c>
      <c r="R84" s="17">
        <f t="shared" si="15"/>
        <v>0</v>
      </c>
    </row>
    <row r="85" spans="8:18" ht="49" thickTop="1" thickBot="1" x14ac:dyDescent="0.6">
      <c r="H85" s="15" t="str">
        <f t="shared" si="16"/>
        <v>NA</v>
      </c>
      <c r="I85" s="16">
        <f t="shared" si="17"/>
        <v>0</v>
      </c>
      <c r="J85" s="16">
        <f t="shared" si="18"/>
        <v>0</v>
      </c>
      <c r="K85" s="16">
        <f t="shared" si="19"/>
        <v>0</v>
      </c>
      <c r="L85" s="16">
        <f t="shared" si="20"/>
        <v>0</v>
      </c>
      <c r="M85" s="16">
        <f t="shared" si="21"/>
        <v>0</v>
      </c>
      <c r="N85" s="16">
        <f t="shared" si="13"/>
        <v>0</v>
      </c>
      <c r="O85" s="16">
        <f t="shared" si="22"/>
        <v>0</v>
      </c>
      <c r="P85" s="16">
        <f t="shared" si="23"/>
        <v>0</v>
      </c>
      <c r="Q85" s="16">
        <f t="shared" si="14"/>
        <v>0</v>
      </c>
      <c r="R85" s="17">
        <f t="shared" si="15"/>
        <v>0</v>
      </c>
    </row>
    <row r="86" spans="8:18" ht="49" thickTop="1" thickBot="1" x14ac:dyDescent="0.6">
      <c r="H86" s="15" t="str">
        <f t="shared" si="16"/>
        <v>NA</v>
      </c>
      <c r="I86" s="16">
        <f t="shared" si="17"/>
        <v>0</v>
      </c>
      <c r="J86" s="16">
        <f t="shared" si="18"/>
        <v>0</v>
      </c>
      <c r="K86" s="16">
        <f t="shared" si="19"/>
        <v>0</v>
      </c>
      <c r="L86" s="16">
        <f t="shared" si="20"/>
        <v>0</v>
      </c>
      <c r="M86" s="16">
        <f t="shared" si="21"/>
        <v>0</v>
      </c>
      <c r="N86" s="16">
        <f t="shared" si="13"/>
        <v>0</v>
      </c>
      <c r="O86" s="16">
        <f t="shared" si="22"/>
        <v>0</v>
      </c>
      <c r="P86" s="16">
        <f t="shared" si="23"/>
        <v>0</v>
      </c>
      <c r="Q86" s="16">
        <f t="shared" si="14"/>
        <v>0</v>
      </c>
      <c r="R86" s="17">
        <f t="shared" si="15"/>
        <v>0</v>
      </c>
    </row>
    <row r="87" spans="8:18" ht="49" thickTop="1" thickBot="1" x14ac:dyDescent="0.6">
      <c r="H87" s="15" t="str">
        <f t="shared" si="16"/>
        <v>NA</v>
      </c>
      <c r="I87" s="16">
        <f t="shared" si="17"/>
        <v>0</v>
      </c>
      <c r="J87" s="16">
        <f t="shared" si="18"/>
        <v>0</v>
      </c>
      <c r="K87" s="16">
        <f t="shared" si="19"/>
        <v>0</v>
      </c>
      <c r="L87" s="16">
        <f t="shared" si="20"/>
        <v>0</v>
      </c>
      <c r="M87" s="16">
        <f t="shared" si="21"/>
        <v>0</v>
      </c>
      <c r="N87" s="16">
        <f t="shared" si="13"/>
        <v>0</v>
      </c>
      <c r="O87" s="16">
        <f t="shared" si="22"/>
        <v>0</v>
      </c>
      <c r="P87" s="16">
        <f t="shared" si="23"/>
        <v>0</v>
      </c>
      <c r="Q87" s="16">
        <f t="shared" si="14"/>
        <v>0</v>
      </c>
      <c r="R87" s="17">
        <f t="shared" si="15"/>
        <v>0</v>
      </c>
    </row>
    <row r="88" spans="8:18" ht="49" thickTop="1" thickBot="1" x14ac:dyDescent="0.6">
      <c r="H88" s="15" t="str">
        <f t="shared" si="16"/>
        <v>NA</v>
      </c>
      <c r="I88" s="16">
        <f t="shared" si="17"/>
        <v>0</v>
      </c>
      <c r="J88" s="16">
        <f t="shared" si="18"/>
        <v>0</v>
      </c>
      <c r="K88" s="16">
        <f t="shared" si="19"/>
        <v>0</v>
      </c>
      <c r="L88" s="16">
        <f t="shared" si="20"/>
        <v>0</v>
      </c>
      <c r="M88" s="16">
        <f t="shared" si="21"/>
        <v>0</v>
      </c>
      <c r="N88" s="16">
        <f t="shared" si="13"/>
        <v>0</v>
      </c>
      <c r="O88" s="16">
        <f t="shared" si="22"/>
        <v>0</v>
      </c>
      <c r="P88" s="16">
        <f t="shared" si="23"/>
        <v>0</v>
      </c>
      <c r="Q88" s="16">
        <f t="shared" si="14"/>
        <v>0</v>
      </c>
      <c r="R88" s="17">
        <f t="shared" si="15"/>
        <v>0</v>
      </c>
    </row>
    <row r="89" spans="8:18" ht="49" thickTop="1" thickBot="1" x14ac:dyDescent="0.6">
      <c r="H89" s="15" t="str">
        <f t="shared" si="16"/>
        <v>NA</v>
      </c>
      <c r="I89" s="16">
        <f t="shared" si="17"/>
        <v>0</v>
      </c>
      <c r="J89" s="16">
        <f t="shared" si="18"/>
        <v>0</v>
      </c>
      <c r="K89" s="16">
        <f t="shared" si="19"/>
        <v>0</v>
      </c>
      <c r="L89" s="16">
        <f t="shared" si="20"/>
        <v>0</v>
      </c>
      <c r="M89" s="16">
        <f t="shared" si="21"/>
        <v>0</v>
      </c>
      <c r="N89" s="16">
        <f t="shared" si="13"/>
        <v>0</v>
      </c>
      <c r="O89" s="16">
        <f t="shared" si="22"/>
        <v>0</v>
      </c>
      <c r="P89" s="16">
        <f t="shared" si="23"/>
        <v>0</v>
      </c>
      <c r="Q89" s="16">
        <f t="shared" si="14"/>
        <v>0</v>
      </c>
      <c r="R89" s="17">
        <f t="shared" si="15"/>
        <v>0</v>
      </c>
    </row>
    <row r="90" spans="8:18" ht="49" thickTop="1" thickBot="1" x14ac:dyDescent="0.6">
      <c r="H90" s="15" t="str">
        <f t="shared" si="16"/>
        <v>NA</v>
      </c>
      <c r="I90" s="16">
        <f t="shared" si="17"/>
        <v>0</v>
      </c>
      <c r="J90" s="16">
        <f t="shared" si="18"/>
        <v>0</v>
      </c>
      <c r="K90" s="16">
        <f t="shared" si="19"/>
        <v>0</v>
      </c>
      <c r="L90" s="16">
        <f t="shared" si="20"/>
        <v>0</v>
      </c>
      <c r="M90" s="16">
        <f t="shared" si="21"/>
        <v>0</v>
      </c>
      <c r="N90" s="16">
        <f t="shared" si="13"/>
        <v>0</v>
      </c>
      <c r="O90" s="16">
        <f t="shared" si="22"/>
        <v>0</v>
      </c>
      <c r="P90" s="16">
        <f t="shared" si="23"/>
        <v>0</v>
      </c>
      <c r="Q90" s="16">
        <f t="shared" si="14"/>
        <v>0</v>
      </c>
      <c r="R90" s="17">
        <f t="shared" si="15"/>
        <v>0</v>
      </c>
    </row>
    <row r="91" spans="8:18" ht="49" thickTop="1" thickBot="1" x14ac:dyDescent="0.6">
      <c r="H91" s="15" t="str">
        <f t="shared" si="16"/>
        <v>NA</v>
      </c>
      <c r="I91" s="16">
        <f t="shared" si="17"/>
        <v>0</v>
      </c>
      <c r="J91" s="16">
        <f t="shared" si="18"/>
        <v>0</v>
      </c>
      <c r="K91" s="16">
        <f t="shared" si="19"/>
        <v>0</v>
      </c>
      <c r="L91" s="16">
        <f t="shared" si="20"/>
        <v>0</v>
      </c>
      <c r="M91" s="16">
        <f t="shared" si="21"/>
        <v>0</v>
      </c>
      <c r="N91" s="16">
        <f t="shared" si="13"/>
        <v>0</v>
      </c>
      <c r="O91" s="16">
        <f t="shared" si="22"/>
        <v>0</v>
      </c>
      <c r="P91" s="16">
        <f t="shared" si="23"/>
        <v>0</v>
      </c>
      <c r="Q91" s="16">
        <f t="shared" si="14"/>
        <v>0</v>
      </c>
      <c r="R91" s="17">
        <f t="shared" si="15"/>
        <v>0</v>
      </c>
    </row>
    <row r="92" spans="8:18" ht="49" thickTop="1" thickBot="1" x14ac:dyDescent="0.6">
      <c r="H92" s="15" t="str">
        <f t="shared" si="16"/>
        <v>NA</v>
      </c>
      <c r="I92" s="16">
        <f t="shared" si="17"/>
        <v>0</v>
      </c>
      <c r="J92" s="16">
        <f t="shared" si="18"/>
        <v>0</v>
      </c>
      <c r="K92" s="16">
        <f t="shared" si="19"/>
        <v>0</v>
      </c>
      <c r="L92" s="16">
        <f t="shared" si="20"/>
        <v>0</v>
      </c>
      <c r="M92" s="16">
        <f t="shared" si="21"/>
        <v>0</v>
      </c>
      <c r="N92" s="16">
        <f t="shared" si="13"/>
        <v>0</v>
      </c>
      <c r="O92" s="16">
        <f t="shared" si="22"/>
        <v>0</v>
      </c>
      <c r="P92" s="16">
        <f t="shared" si="23"/>
        <v>0</v>
      </c>
      <c r="Q92" s="16">
        <f t="shared" si="14"/>
        <v>0</v>
      </c>
      <c r="R92" s="17">
        <f t="shared" si="15"/>
        <v>0</v>
      </c>
    </row>
    <row r="93" spans="8:18" ht="49" thickTop="1" thickBot="1" x14ac:dyDescent="0.6">
      <c r="H93" s="15" t="str">
        <f t="shared" si="16"/>
        <v>NA</v>
      </c>
      <c r="I93" s="16">
        <f t="shared" si="17"/>
        <v>0</v>
      </c>
      <c r="J93" s="16">
        <f t="shared" si="18"/>
        <v>0</v>
      </c>
      <c r="K93" s="16">
        <f t="shared" si="19"/>
        <v>0</v>
      </c>
      <c r="L93" s="16">
        <f t="shared" si="20"/>
        <v>0</v>
      </c>
      <c r="M93" s="16">
        <f t="shared" si="21"/>
        <v>0</v>
      </c>
      <c r="N93" s="16">
        <f t="shared" si="13"/>
        <v>0</v>
      </c>
      <c r="O93" s="16">
        <f t="shared" si="22"/>
        <v>0</v>
      </c>
      <c r="P93" s="16">
        <f t="shared" si="23"/>
        <v>0</v>
      </c>
      <c r="Q93" s="16">
        <f t="shared" si="14"/>
        <v>0</v>
      </c>
      <c r="R93" s="17">
        <f t="shared" si="15"/>
        <v>0</v>
      </c>
    </row>
    <row r="94" spans="8:18" ht="49" thickTop="1" thickBot="1" x14ac:dyDescent="0.6">
      <c r="H94" s="15" t="str">
        <f t="shared" si="16"/>
        <v>NA</v>
      </c>
      <c r="I94" s="16">
        <f t="shared" si="17"/>
        <v>0</v>
      </c>
      <c r="J94" s="16">
        <f t="shared" si="18"/>
        <v>0</v>
      </c>
      <c r="K94" s="16">
        <f t="shared" si="19"/>
        <v>0</v>
      </c>
      <c r="L94" s="16">
        <f t="shared" si="20"/>
        <v>0</v>
      </c>
      <c r="M94" s="16">
        <f t="shared" si="21"/>
        <v>0</v>
      </c>
      <c r="N94" s="16">
        <f t="shared" si="13"/>
        <v>0</v>
      </c>
      <c r="O94" s="16">
        <f t="shared" si="22"/>
        <v>0</v>
      </c>
      <c r="P94" s="16">
        <f t="shared" si="23"/>
        <v>0</v>
      </c>
      <c r="Q94" s="16">
        <f t="shared" si="14"/>
        <v>0</v>
      </c>
      <c r="R94" s="17">
        <f t="shared" si="15"/>
        <v>0</v>
      </c>
    </row>
    <row r="95" spans="8:18" ht="49" thickTop="1" thickBot="1" x14ac:dyDescent="0.6">
      <c r="H95" s="15" t="str">
        <f t="shared" si="16"/>
        <v>NA</v>
      </c>
      <c r="I95" s="16">
        <f t="shared" si="17"/>
        <v>0</v>
      </c>
      <c r="J95" s="16">
        <f t="shared" si="18"/>
        <v>0</v>
      </c>
      <c r="K95" s="16">
        <f t="shared" si="19"/>
        <v>0</v>
      </c>
      <c r="L95" s="16">
        <f t="shared" si="20"/>
        <v>0</v>
      </c>
      <c r="M95" s="16">
        <f t="shared" si="21"/>
        <v>0</v>
      </c>
      <c r="N95" s="16">
        <f t="shared" si="13"/>
        <v>0</v>
      </c>
      <c r="O95" s="16">
        <f t="shared" si="22"/>
        <v>0</v>
      </c>
      <c r="P95" s="16">
        <f t="shared" si="23"/>
        <v>0</v>
      </c>
      <c r="Q95" s="16">
        <f t="shared" si="14"/>
        <v>0</v>
      </c>
      <c r="R95" s="17">
        <f t="shared" si="15"/>
        <v>0</v>
      </c>
    </row>
    <row r="96" spans="8:18" ht="48" thickTop="1" x14ac:dyDescent="0.55000000000000004"/>
  </sheetData>
  <sheetProtection algorithmName="SHA-512" hashValue="07y9J2WB3ZHYQCyHzC0QB/1w+DJtCYRTn4ktKZ9HXO6auwlnnsIbkeNwIxZ+F/mZhuiK1qQKZlwoynrR9oloZQ==" saltValue="pMuy1Vv9xDLhGcUNjaoLsQ==" spinCount="100000" sheet="1" objects="1" scenarios="1"/>
  <mergeCells count="10">
    <mergeCell ref="D44:E44"/>
    <mergeCell ref="D45:E45"/>
    <mergeCell ref="D42:E42"/>
    <mergeCell ref="D43:E43"/>
    <mergeCell ref="C39:E39"/>
    <mergeCell ref="C5:D5"/>
    <mergeCell ref="C31:D31"/>
    <mergeCell ref="C24:D24"/>
    <mergeCell ref="D40:E40"/>
    <mergeCell ref="D41:E41"/>
  </mergeCells>
  <conditionalFormatting sqref="C41:D41">
    <cfRule type="cellIs" dxfId="3" priority="1" operator="equal">
      <formula>"NOT ADVISABLE TO BUY"</formula>
    </cfRule>
    <cfRule type="cellIs" dxfId="2" priority="2" operator="equal">
      <formula>"ADVISABLE TO BUY"</formula>
    </cfRule>
  </conditionalFormatting>
  <hyperlinks>
    <hyperlink ref="D41" r:id="rId1" xr:uid="{84FB04E3-C8F9-1E46-A2B7-3CA4AB859696}"/>
    <hyperlink ref="D40" r:id="rId2" xr:uid="{37DD7566-8788-394B-918D-49C336899A3D}"/>
    <hyperlink ref="D42" r:id="rId3" xr:uid="{75B1762C-7147-7447-AB38-7D4CE6B591F5}"/>
    <hyperlink ref="D43" r:id="rId4" xr:uid="{FBB21C7C-9F23-1C45-81AA-D9000478835B}"/>
    <hyperlink ref="D44" r:id="rId5" xr:uid="{48E73D8C-D10B-544D-A753-C9B5002577BF}"/>
    <hyperlink ref="D45" r:id="rId6" xr:uid="{1336B59C-6191-C549-873F-7E74DFA75A24}"/>
  </hyperlinks>
  <pageMargins left="0.7" right="0.7" top="0.75" bottom="0.75" header="0.3" footer="0.3"/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4BB11-1F07-EF41-BD56-287FB3AFB47B}">
  <dimension ref="C4:Q96"/>
  <sheetViews>
    <sheetView showGridLines="0" topLeftCell="A10" zoomScale="40" workbookViewId="0">
      <selection activeCell="E22" sqref="E22"/>
    </sheetView>
  </sheetViews>
  <sheetFormatPr baseColWidth="10" defaultRowHeight="47" x14ac:dyDescent="0.55000000000000004"/>
  <cols>
    <col min="1" max="2" width="10.83203125" style="3"/>
    <col min="3" max="3" width="129.5" style="3" customWidth="1"/>
    <col min="4" max="5" width="80.83203125" style="3" customWidth="1"/>
    <col min="6" max="7" width="10.83203125" style="3"/>
    <col min="8" max="8" width="48.1640625" style="3" customWidth="1"/>
    <col min="9" max="9" width="70.83203125" style="3" bestFit="1" customWidth="1"/>
    <col min="10" max="10" width="56" style="3" customWidth="1"/>
    <col min="11" max="11" width="57.1640625" style="3" customWidth="1"/>
    <col min="12" max="12" width="59.1640625" style="3" customWidth="1"/>
    <col min="13" max="13" width="58.83203125" style="3" bestFit="1" customWidth="1"/>
    <col min="14" max="14" width="52.5" style="3" customWidth="1"/>
    <col min="15" max="15" width="70.5" style="3" bestFit="1" customWidth="1"/>
    <col min="16" max="16" width="66.1640625" style="3" customWidth="1"/>
    <col min="17" max="17" width="61.83203125" style="3" customWidth="1"/>
    <col min="18" max="18" width="50.83203125" style="3" customWidth="1"/>
    <col min="19" max="16384" width="10.83203125" style="3"/>
  </cols>
  <sheetData>
    <row r="4" spans="3:17" ht="48" thickBot="1" x14ac:dyDescent="0.6"/>
    <row r="5" spans="3:17" ht="49" thickTop="1" thickBot="1" x14ac:dyDescent="0.6">
      <c r="C5" s="63" t="s">
        <v>47</v>
      </c>
      <c r="D5" s="63"/>
      <c r="E5" s="5"/>
      <c r="H5" s="6" t="s">
        <v>1</v>
      </c>
      <c r="I5" s="9">
        <f>D12</f>
        <v>0</v>
      </c>
      <c r="J5" s="6" t="s">
        <v>2</v>
      </c>
      <c r="K5" s="13">
        <v>0.05</v>
      </c>
      <c r="L5" s="9" t="s">
        <v>3</v>
      </c>
      <c r="M5" s="9">
        <v>0.3</v>
      </c>
      <c r="N5" s="9" t="s">
        <v>4</v>
      </c>
      <c r="O5" s="11">
        <v>0.3</v>
      </c>
      <c r="P5" s="12" t="s">
        <v>0</v>
      </c>
      <c r="Q5" s="9">
        <f>D10</f>
        <v>0.06</v>
      </c>
    </row>
    <row r="6" spans="3:17" ht="49" thickTop="1" thickBot="1" x14ac:dyDescent="0.6">
      <c r="C6" s="14" t="s">
        <v>25</v>
      </c>
      <c r="D6" s="34">
        <v>3600000</v>
      </c>
      <c r="H6" s="4" t="s">
        <v>5</v>
      </c>
      <c r="I6" s="4" t="s">
        <v>6</v>
      </c>
      <c r="J6" s="4" t="s">
        <v>7</v>
      </c>
      <c r="K6" s="4" t="s">
        <v>8</v>
      </c>
      <c r="L6" s="4" t="s">
        <v>9</v>
      </c>
      <c r="M6" s="4" t="s">
        <v>10</v>
      </c>
      <c r="N6" s="4" t="s">
        <v>11</v>
      </c>
      <c r="O6" s="4" t="s">
        <v>12</v>
      </c>
      <c r="P6" s="4" t="s">
        <v>13</v>
      </c>
      <c r="Q6" s="4" t="s">
        <v>46</v>
      </c>
    </row>
    <row r="7" spans="3:17" ht="49" thickTop="1" thickBot="1" x14ac:dyDescent="0.6">
      <c r="C7" s="14" t="s">
        <v>17</v>
      </c>
      <c r="D7" s="33">
        <v>7.5999999999999998E-2</v>
      </c>
      <c r="H7" s="15">
        <v>1</v>
      </c>
      <c r="I7" s="16">
        <f>D11*12</f>
        <v>360000</v>
      </c>
      <c r="J7" s="16">
        <f>D19</f>
        <v>10000</v>
      </c>
      <c r="K7" s="16">
        <f>I7-J7</f>
        <v>350000</v>
      </c>
      <c r="L7" s="16">
        <f>K7*$M$5</f>
        <v>105000</v>
      </c>
      <c r="M7" s="16">
        <f>K7-L7</f>
        <v>245000</v>
      </c>
      <c r="N7" s="16">
        <f>M7*$O$5</f>
        <v>73500</v>
      </c>
      <c r="O7" s="16">
        <f>K7-N7</f>
        <v>276500</v>
      </c>
      <c r="P7" s="16">
        <f>D13</f>
        <v>3897600</v>
      </c>
      <c r="Q7" s="17">
        <f>(O7)/P7</f>
        <v>7.0941091954022983E-2</v>
      </c>
    </row>
    <row r="8" spans="3:17" ht="49" thickTop="1" thickBot="1" x14ac:dyDescent="0.6">
      <c r="C8" s="14" t="s">
        <v>16</v>
      </c>
      <c r="D8" s="57">
        <f>D6*D7</f>
        <v>273600</v>
      </c>
      <c r="H8" s="15">
        <f>IF(H7&lt;$D$9,H7+1, "NA")</f>
        <v>2</v>
      </c>
      <c r="I8" s="16">
        <f>IF(H8= "NA",0,I7*(1+$I$5))</f>
        <v>360000</v>
      </c>
      <c r="J8" s="16">
        <f>IF(H8= "NA",0,J7*(1+$K$5))</f>
        <v>10500</v>
      </c>
      <c r="K8" s="16">
        <f>IF(H8= "NA",0,I8-J8)</f>
        <v>349500</v>
      </c>
      <c r="L8" s="16">
        <f>IF(H8= "NA",0,K8*$M$5)</f>
        <v>104850</v>
      </c>
      <c r="M8" s="16">
        <f>IF(H8= "NA",0,K8-L8)</f>
        <v>244650</v>
      </c>
      <c r="N8" s="16">
        <f>IF(H8= "NA",0,M8*$O$5)</f>
        <v>73395</v>
      </c>
      <c r="O8" s="16">
        <f>IF(H8= "NA",0,K8-N8)</f>
        <v>276105</v>
      </c>
      <c r="P8" s="16">
        <f t="shared" ref="P8:P39" si="0">IF(H8= "NA",0,P7*(1+$Q$5))</f>
        <v>4131456</v>
      </c>
      <c r="Q8" s="17">
        <f>IF(H8= "NA",0,(O8)/P8)</f>
        <v>6.682995050655266E-2</v>
      </c>
    </row>
    <row r="9" spans="3:17" ht="49" thickTop="1" thickBot="1" x14ac:dyDescent="0.6">
      <c r="C9" s="14" t="s">
        <v>54</v>
      </c>
      <c r="D9" s="32">
        <v>20</v>
      </c>
      <c r="H9" s="15">
        <f t="shared" ref="H9:H72" si="1">IF(H8&lt;$D$9,H8+1, "NA")</f>
        <v>3</v>
      </c>
      <c r="I9" s="16">
        <f t="shared" ref="I9:I72" si="2">IF(H9= "NA",0,I8*(1+$I$5))</f>
        <v>360000</v>
      </c>
      <c r="J9" s="16">
        <f t="shared" ref="J9:J72" si="3">IF(H9= "NA",0,J8*(1+$K$5))</f>
        <v>11025</v>
      </c>
      <c r="K9" s="16">
        <f t="shared" ref="K9:K72" si="4">IF(H9= "NA",0,I9-J9)</f>
        <v>348975</v>
      </c>
      <c r="L9" s="16">
        <f t="shared" ref="L9:L72" si="5">IF(H9= "NA",0,K9*$M$5)</f>
        <v>104692.5</v>
      </c>
      <c r="M9" s="16">
        <f t="shared" ref="M9:M72" si="6">IF(H9= "NA",0,K9-L9)</f>
        <v>244282.5</v>
      </c>
      <c r="N9" s="16">
        <f t="shared" ref="N9:N72" si="7">IF(H9= "NA",0,M9*$O$5)</f>
        <v>73284.75</v>
      </c>
      <c r="O9" s="16">
        <f t="shared" ref="O9:O72" si="8">IF(H9= "NA",0,K9-N9)</f>
        <v>275690.25</v>
      </c>
      <c r="P9" s="16">
        <f t="shared" si="0"/>
        <v>4379343.3600000003</v>
      </c>
      <c r="Q9" s="17">
        <f t="shared" ref="Q9:Q72" si="9">IF(H9= "NA",0,(O9)/P9)</f>
        <v>6.2952417140454589E-2</v>
      </c>
    </row>
    <row r="10" spans="3:17" ht="49" thickTop="1" thickBot="1" x14ac:dyDescent="0.6">
      <c r="C10" s="14" t="s">
        <v>62</v>
      </c>
      <c r="D10" s="33">
        <v>0.06</v>
      </c>
      <c r="H10" s="15">
        <f t="shared" si="1"/>
        <v>4</v>
      </c>
      <c r="I10" s="16">
        <f t="shared" si="2"/>
        <v>360000</v>
      </c>
      <c r="J10" s="16">
        <f t="shared" si="3"/>
        <v>11576.25</v>
      </c>
      <c r="K10" s="16">
        <f t="shared" si="4"/>
        <v>348423.75</v>
      </c>
      <c r="L10" s="16">
        <f t="shared" si="5"/>
        <v>104527.125</v>
      </c>
      <c r="M10" s="16">
        <f t="shared" si="6"/>
        <v>243896.625</v>
      </c>
      <c r="N10" s="16">
        <f t="shared" si="7"/>
        <v>73168.987500000003</v>
      </c>
      <c r="O10" s="16">
        <f t="shared" si="8"/>
        <v>275254.76250000001</v>
      </c>
      <c r="P10" s="16">
        <f t="shared" si="0"/>
        <v>4642103.961600001</v>
      </c>
      <c r="Q10" s="17">
        <f t="shared" si="9"/>
        <v>5.9295260247710507E-2</v>
      </c>
    </row>
    <row r="11" spans="3:17" ht="49" thickTop="1" thickBot="1" x14ac:dyDescent="0.6">
      <c r="C11" s="14" t="s">
        <v>21</v>
      </c>
      <c r="D11" s="34">
        <v>30000</v>
      </c>
      <c r="E11" s="19">
        <f>D11*12/D6</f>
        <v>0.1</v>
      </c>
      <c r="H11" s="15">
        <f t="shared" si="1"/>
        <v>5</v>
      </c>
      <c r="I11" s="16">
        <f>IF(H11= "NA",0,I10*(1+$I$5))+1200*12</f>
        <v>374400</v>
      </c>
      <c r="J11" s="16">
        <f t="shared" si="3"/>
        <v>12155.0625</v>
      </c>
      <c r="K11" s="16">
        <f t="shared" si="4"/>
        <v>362244.9375</v>
      </c>
      <c r="L11" s="16">
        <f t="shared" si="5"/>
        <v>108673.48125</v>
      </c>
      <c r="M11" s="16">
        <f t="shared" si="6"/>
        <v>253571.45624999999</v>
      </c>
      <c r="N11" s="16">
        <f t="shared" si="7"/>
        <v>76071.436874999999</v>
      </c>
      <c r="O11" s="16">
        <f t="shared" si="8"/>
        <v>286173.50062499999</v>
      </c>
      <c r="P11" s="16">
        <f t="shared" si="0"/>
        <v>4920630.1992960013</v>
      </c>
      <c r="Q11" s="17">
        <f t="shared" si="9"/>
        <v>5.8157896251976642E-2</v>
      </c>
    </row>
    <row r="12" spans="3:17" ht="49" thickTop="1" thickBot="1" x14ac:dyDescent="0.6">
      <c r="C12" s="20" t="s">
        <v>22</v>
      </c>
      <c r="D12" s="35">
        <v>0</v>
      </c>
      <c r="H12" s="15">
        <f t="shared" si="1"/>
        <v>6</v>
      </c>
      <c r="I12" s="16">
        <f t="shared" si="2"/>
        <v>374400</v>
      </c>
      <c r="J12" s="16">
        <f t="shared" si="3"/>
        <v>12762.815625000001</v>
      </c>
      <c r="K12" s="16">
        <f t="shared" si="4"/>
        <v>361637.18437500001</v>
      </c>
      <c r="L12" s="16">
        <f t="shared" si="5"/>
        <v>108491.15531250001</v>
      </c>
      <c r="M12" s="16">
        <f t="shared" si="6"/>
        <v>253146.02906249999</v>
      </c>
      <c r="N12" s="16">
        <f t="shared" si="7"/>
        <v>75943.808718749991</v>
      </c>
      <c r="O12" s="16">
        <f t="shared" si="8"/>
        <v>285693.37565625005</v>
      </c>
      <c r="P12" s="16">
        <f t="shared" si="0"/>
        <v>5215868.0112537621</v>
      </c>
      <c r="Q12" s="17">
        <f t="shared" si="9"/>
        <v>5.4773889032436733E-2</v>
      </c>
    </row>
    <row r="13" spans="3:17" ht="49" thickTop="1" thickBot="1" x14ac:dyDescent="0.6">
      <c r="C13" s="42" t="s">
        <v>55</v>
      </c>
      <c r="D13" s="18">
        <f>SUM(D6+D8+D20)</f>
        <v>3897600</v>
      </c>
      <c r="E13" s="23"/>
      <c r="H13" s="15">
        <f t="shared" si="1"/>
        <v>7</v>
      </c>
      <c r="I13" s="16">
        <f t="shared" si="2"/>
        <v>374400</v>
      </c>
      <c r="J13" s="16">
        <f t="shared" si="3"/>
        <v>13400.956406250001</v>
      </c>
      <c r="K13" s="16">
        <f t="shared" si="4"/>
        <v>360999.04359374999</v>
      </c>
      <c r="L13" s="16">
        <f t="shared" si="5"/>
        <v>108299.71307812499</v>
      </c>
      <c r="M13" s="16">
        <f t="shared" si="6"/>
        <v>252699.33051562501</v>
      </c>
      <c r="N13" s="16">
        <f t="shared" si="7"/>
        <v>75809.799154687498</v>
      </c>
      <c r="O13" s="16">
        <f t="shared" si="8"/>
        <v>285189.24443906249</v>
      </c>
      <c r="P13" s="16">
        <f t="shared" si="0"/>
        <v>5528820.0919289878</v>
      </c>
      <c r="Q13" s="17">
        <f t="shared" si="9"/>
        <v>5.1582297795398309E-2</v>
      </c>
    </row>
    <row r="14" spans="3:17" ht="49" thickTop="1" thickBot="1" x14ac:dyDescent="0.6">
      <c r="E14" s="51"/>
      <c r="H14" s="15">
        <f t="shared" si="1"/>
        <v>8</v>
      </c>
      <c r="I14" s="16">
        <f t="shared" si="2"/>
        <v>374400</v>
      </c>
      <c r="J14" s="16">
        <f t="shared" si="3"/>
        <v>14071.004226562502</v>
      </c>
      <c r="K14" s="16">
        <f t="shared" si="4"/>
        <v>360328.99577343749</v>
      </c>
      <c r="L14" s="16">
        <f t="shared" si="5"/>
        <v>108098.69873203125</v>
      </c>
      <c r="M14" s="16">
        <f t="shared" si="6"/>
        <v>252230.29704140624</v>
      </c>
      <c r="N14" s="16">
        <f t="shared" si="7"/>
        <v>75669.089112421876</v>
      </c>
      <c r="O14" s="16">
        <f t="shared" si="8"/>
        <v>284659.90666101559</v>
      </c>
      <c r="P14" s="16">
        <f t="shared" si="0"/>
        <v>5860549.2974447273</v>
      </c>
      <c r="Q14" s="17">
        <f t="shared" si="9"/>
        <v>4.857222287766283E-2</v>
      </c>
    </row>
    <row r="15" spans="3:17" ht="49" thickTop="1" thickBot="1" x14ac:dyDescent="0.6">
      <c r="H15" s="15">
        <f t="shared" si="1"/>
        <v>9</v>
      </c>
      <c r="I15" s="16">
        <f>IF(H15= "NA",0,I14*(1+$I$5))+1200*12</f>
        <v>388800</v>
      </c>
      <c r="J15" s="16">
        <f t="shared" si="3"/>
        <v>14774.554437890627</v>
      </c>
      <c r="K15" s="16">
        <f t="shared" si="4"/>
        <v>374025.44556210935</v>
      </c>
      <c r="L15" s="16">
        <f t="shared" si="5"/>
        <v>112207.6336686328</v>
      </c>
      <c r="M15" s="16">
        <f t="shared" si="6"/>
        <v>261817.81189347655</v>
      </c>
      <c r="N15" s="16">
        <f t="shared" si="7"/>
        <v>78545.343568042968</v>
      </c>
      <c r="O15" s="16">
        <f t="shared" si="8"/>
        <v>295480.10199406638</v>
      </c>
      <c r="P15" s="16">
        <f t="shared" si="0"/>
        <v>6212182.2552914117</v>
      </c>
      <c r="Q15" s="17">
        <f t="shared" si="9"/>
        <v>4.7564622197357839E-2</v>
      </c>
    </row>
    <row r="16" spans="3:17" ht="49" thickTop="1" thickBot="1" x14ac:dyDescent="0.6">
      <c r="H16" s="15">
        <f t="shared" si="1"/>
        <v>10</v>
      </c>
      <c r="I16" s="16">
        <f t="shared" si="2"/>
        <v>388800</v>
      </c>
      <c r="J16" s="16">
        <f t="shared" si="3"/>
        <v>15513.28215978516</v>
      </c>
      <c r="K16" s="16">
        <f t="shared" si="4"/>
        <v>373286.71784021484</v>
      </c>
      <c r="L16" s="16">
        <f t="shared" si="5"/>
        <v>111986.01535206445</v>
      </c>
      <c r="M16" s="16">
        <f t="shared" si="6"/>
        <v>261300.70248815039</v>
      </c>
      <c r="N16" s="16">
        <f t="shared" si="7"/>
        <v>78390.210746445111</v>
      </c>
      <c r="O16" s="16">
        <f t="shared" si="8"/>
        <v>294896.50709376973</v>
      </c>
      <c r="P16" s="16">
        <f t="shared" si="0"/>
        <v>6584913.1906088963</v>
      </c>
      <c r="Q16" s="17">
        <f t="shared" si="9"/>
        <v>4.4783659033552289E-2</v>
      </c>
    </row>
    <row r="17" spans="3:17" ht="49" thickTop="1" thickBot="1" x14ac:dyDescent="0.6">
      <c r="H17" s="15">
        <f t="shared" si="1"/>
        <v>11</v>
      </c>
      <c r="I17" s="16">
        <f t="shared" si="2"/>
        <v>388800</v>
      </c>
      <c r="J17" s="16">
        <f t="shared" si="3"/>
        <v>16288.946267774418</v>
      </c>
      <c r="K17" s="16">
        <f t="shared" si="4"/>
        <v>372511.05373222555</v>
      </c>
      <c r="L17" s="16">
        <f t="shared" si="5"/>
        <v>111753.31611966767</v>
      </c>
      <c r="M17" s="16">
        <f t="shared" si="6"/>
        <v>260757.73761255789</v>
      </c>
      <c r="N17" s="16">
        <f t="shared" si="7"/>
        <v>78227.321283767364</v>
      </c>
      <c r="O17" s="16">
        <f t="shared" si="8"/>
        <v>294283.73244845821</v>
      </c>
      <c r="P17" s="16">
        <f t="shared" si="0"/>
        <v>6980007.9820454307</v>
      </c>
      <c r="Q17" s="17">
        <f t="shared" si="9"/>
        <v>4.2160944973908314E-2</v>
      </c>
    </row>
    <row r="18" spans="3:17" ht="49" thickTop="1" thickBot="1" x14ac:dyDescent="0.6">
      <c r="C18" s="56"/>
      <c r="D18" s="56"/>
      <c r="H18" s="15">
        <f t="shared" si="1"/>
        <v>12</v>
      </c>
      <c r="I18" s="16">
        <f t="shared" si="2"/>
        <v>388800</v>
      </c>
      <c r="J18" s="16">
        <f t="shared" si="3"/>
        <v>17103.393581163138</v>
      </c>
      <c r="K18" s="16">
        <f t="shared" si="4"/>
        <v>371696.60641883686</v>
      </c>
      <c r="L18" s="16">
        <f t="shared" si="5"/>
        <v>111508.98192565105</v>
      </c>
      <c r="M18" s="16">
        <f t="shared" si="6"/>
        <v>260187.62449318581</v>
      </c>
      <c r="N18" s="16">
        <f t="shared" si="7"/>
        <v>78056.287347955746</v>
      </c>
      <c r="O18" s="16">
        <f t="shared" si="8"/>
        <v>293640.31907088112</v>
      </c>
      <c r="P18" s="16">
        <f t="shared" si="0"/>
        <v>7398808.4609681573</v>
      </c>
      <c r="Q18" s="17">
        <f t="shared" si="9"/>
        <v>3.9687514634276312E-2</v>
      </c>
    </row>
    <row r="19" spans="3:17" ht="49" thickTop="1" thickBot="1" x14ac:dyDescent="0.6">
      <c r="C19" s="14" t="s">
        <v>23</v>
      </c>
      <c r="D19" s="34">
        <v>10000</v>
      </c>
      <c r="H19" s="15">
        <f t="shared" si="1"/>
        <v>13</v>
      </c>
      <c r="I19" s="16">
        <f>IF(H19= "NA",0,I18*(1+$I$5))+1200*12</f>
        <v>403200</v>
      </c>
      <c r="J19" s="16">
        <f t="shared" si="3"/>
        <v>17958.563260221297</v>
      </c>
      <c r="K19" s="16">
        <f t="shared" si="4"/>
        <v>385241.43673977873</v>
      </c>
      <c r="L19" s="16">
        <f t="shared" si="5"/>
        <v>115572.43102193362</v>
      </c>
      <c r="M19" s="16">
        <f t="shared" si="6"/>
        <v>269669.00571784511</v>
      </c>
      <c r="N19" s="16">
        <f t="shared" si="7"/>
        <v>80900.701715353527</v>
      </c>
      <c r="O19" s="16">
        <f t="shared" si="8"/>
        <v>304340.7350244252</v>
      </c>
      <c r="P19" s="16">
        <f t="shared" si="0"/>
        <v>7842736.9686262468</v>
      </c>
      <c r="Q19" s="17">
        <f t="shared" si="9"/>
        <v>3.8805424208652795E-2</v>
      </c>
    </row>
    <row r="20" spans="3:17" ht="49" thickTop="1" thickBot="1" x14ac:dyDescent="0.6">
      <c r="C20" s="14" t="s">
        <v>64</v>
      </c>
      <c r="D20" s="58">
        <v>24000</v>
      </c>
      <c r="H20" s="15">
        <f t="shared" si="1"/>
        <v>14</v>
      </c>
      <c r="I20" s="16">
        <f t="shared" si="2"/>
        <v>403200</v>
      </c>
      <c r="J20" s="16">
        <f t="shared" si="3"/>
        <v>18856.491423232364</v>
      </c>
      <c r="K20" s="16">
        <f t="shared" si="4"/>
        <v>384343.50857676764</v>
      </c>
      <c r="L20" s="16">
        <f t="shared" si="5"/>
        <v>115303.05257303029</v>
      </c>
      <c r="M20" s="16">
        <f t="shared" si="6"/>
        <v>269040.45600373734</v>
      </c>
      <c r="N20" s="16">
        <f t="shared" si="7"/>
        <v>80712.136801121203</v>
      </c>
      <c r="O20" s="16">
        <f t="shared" si="8"/>
        <v>303631.37177564646</v>
      </c>
      <c r="P20" s="16">
        <f t="shared" si="0"/>
        <v>8313301.1867438219</v>
      </c>
      <c r="Q20" s="17">
        <f t="shared" si="9"/>
        <v>3.6523562054964313E-2</v>
      </c>
    </row>
    <row r="21" spans="3:17" ht="49" thickTop="1" thickBot="1" x14ac:dyDescent="0.6">
      <c r="D21" s="25"/>
      <c r="E21" s="23"/>
      <c r="H21" s="15">
        <f t="shared" si="1"/>
        <v>15</v>
      </c>
      <c r="I21" s="16">
        <f t="shared" si="2"/>
        <v>403200</v>
      </c>
      <c r="J21" s="16">
        <f t="shared" si="3"/>
        <v>19799.315994393983</v>
      </c>
      <c r="K21" s="16">
        <f t="shared" si="4"/>
        <v>383400.68400560599</v>
      </c>
      <c r="L21" s="16">
        <f t="shared" si="5"/>
        <v>115020.20520168179</v>
      </c>
      <c r="M21" s="16">
        <f t="shared" si="6"/>
        <v>268380.47880392417</v>
      </c>
      <c r="N21" s="16">
        <f t="shared" si="7"/>
        <v>80514.143641177245</v>
      </c>
      <c r="O21" s="16">
        <f t="shared" si="8"/>
        <v>302886.54036442877</v>
      </c>
      <c r="P21" s="16">
        <f t="shared" si="0"/>
        <v>8812099.2579484526</v>
      </c>
      <c r="Q21" s="17">
        <f t="shared" si="9"/>
        <v>3.4371666897785702E-2</v>
      </c>
    </row>
    <row r="22" spans="3:17" ht="49" thickTop="1" thickBot="1" x14ac:dyDescent="0.6">
      <c r="H22" s="15">
        <f t="shared" si="1"/>
        <v>16</v>
      </c>
      <c r="I22" s="16">
        <f t="shared" si="2"/>
        <v>403200</v>
      </c>
      <c r="J22" s="16">
        <f t="shared" si="3"/>
        <v>20789.281794113682</v>
      </c>
      <c r="K22" s="16">
        <f t="shared" si="4"/>
        <v>382410.71820588631</v>
      </c>
      <c r="L22" s="16">
        <f t="shared" si="5"/>
        <v>114723.2154617659</v>
      </c>
      <c r="M22" s="16">
        <f t="shared" si="6"/>
        <v>267687.50274412043</v>
      </c>
      <c r="N22" s="16">
        <f t="shared" si="7"/>
        <v>80306.250823236129</v>
      </c>
      <c r="O22" s="16">
        <f t="shared" si="8"/>
        <v>302104.46738265018</v>
      </c>
      <c r="P22" s="16">
        <f t="shared" si="0"/>
        <v>9340825.2134253606</v>
      </c>
      <c r="Q22" s="17">
        <f t="shared" si="9"/>
        <v>3.2342374520448379E-2</v>
      </c>
    </row>
    <row r="23" spans="3:17" ht="49" thickTop="1" thickBot="1" x14ac:dyDescent="0.6">
      <c r="H23" s="15">
        <f t="shared" si="1"/>
        <v>17</v>
      </c>
      <c r="I23" s="16">
        <f>IF(H23= "NA",0,I22*(1+$I$5))+1200*12</f>
        <v>417600</v>
      </c>
      <c r="J23" s="16">
        <f t="shared" si="3"/>
        <v>21828.745883819367</v>
      </c>
      <c r="K23" s="16">
        <f t="shared" si="4"/>
        <v>395771.25411618064</v>
      </c>
      <c r="L23" s="16">
        <f t="shared" si="5"/>
        <v>118731.37623485419</v>
      </c>
      <c r="M23" s="16">
        <f t="shared" si="6"/>
        <v>277039.87788132648</v>
      </c>
      <c r="N23" s="16">
        <f t="shared" si="7"/>
        <v>83111.963364397947</v>
      </c>
      <c r="O23" s="16">
        <f t="shared" si="8"/>
        <v>312659.29075178271</v>
      </c>
      <c r="P23" s="16">
        <f t="shared" si="0"/>
        <v>9901274.7262308821</v>
      </c>
      <c r="Q23" s="17">
        <f t="shared" si="9"/>
        <v>3.157768059131541E-2</v>
      </c>
    </row>
    <row r="24" spans="3:17" ht="49" thickTop="1" thickBot="1" x14ac:dyDescent="0.6">
      <c r="C24" s="26" t="s">
        <v>24</v>
      </c>
      <c r="D24" s="27"/>
      <c r="H24" s="15">
        <f t="shared" si="1"/>
        <v>18</v>
      </c>
      <c r="I24" s="16">
        <f t="shared" si="2"/>
        <v>417600</v>
      </c>
      <c r="J24" s="16">
        <f t="shared" si="3"/>
        <v>22920.183178010335</v>
      </c>
      <c r="K24" s="16">
        <f t="shared" si="4"/>
        <v>394679.81682198966</v>
      </c>
      <c r="L24" s="16">
        <f t="shared" si="5"/>
        <v>118403.9450465969</v>
      </c>
      <c r="M24" s="16">
        <f t="shared" si="6"/>
        <v>276275.87177539279</v>
      </c>
      <c r="N24" s="16">
        <f t="shared" si="7"/>
        <v>82882.761532617835</v>
      </c>
      <c r="O24" s="16">
        <f t="shared" si="8"/>
        <v>311797.05528937181</v>
      </c>
      <c r="P24" s="16">
        <f t="shared" si="0"/>
        <v>10495351.209804736</v>
      </c>
      <c r="Q24" s="17">
        <f t="shared" si="9"/>
        <v>2.9708110672665402E-2</v>
      </c>
    </row>
    <row r="25" spans="3:17" ht="49" thickTop="1" thickBot="1" x14ac:dyDescent="0.6">
      <c r="C25" s="14" t="s">
        <v>25</v>
      </c>
      <c r="D25" s="18">
        <f>D6</f>
        <v>3600000</v>
      </c>
      <c r="H25" s="15">
        <f t="shared" si="1"/>
        <v>19</v>
      </c>
      <c r="I25" s="16">
        <f t="shared" si="2"/>
        <v>417600</v>
      </c>
      <c r="J25" s="16">
        <f t="shared" si="3"/>
        <v>24066.192336910852</v>
      </c>
      <c r="K25" s="16">
        <f t="shared" si="4"/>
        <v>393533.80766308913</v>
      </c>
      <c r="L25" s="16">
        <f t="shared" si="5"/>
        <v>118060.14229892673</v>
      </c>
      <c r="M25" s="16">
        <f t="shared" si="6"/>
        <v>275473.66536416241</v>
      </c>
      <c r="N25" s="16">
        <f t="shared" si="7"/>
        <v>82642.099609248718</v>
      </c>
      <c r="O25" s="16">
        <f t="shared" si="8"/>
        <v>310891.70805384044</v>
      </c>
      <c r="P25" s="16">
        <f t="shared" si="0"/>
        <v>11125072.282393022</v>
      </c>
      <c r="Q25" s="17">
        <f t="shared" si="9"/>
        <v>2.7945140504468446E-2</v>
      </c>
    </row>
    <row r="26" spans="3:17" ht="49" thickTop="1" thickBot="1" x14ac:dyDescent="0.6">
      <c r="C26" s="14" t="s">
        <v>26</v>
      </c>
      <c r="D26" s="28">
        <f>D10</f>
        <v>0.06</v>
      </c>
      <c r="H26" s="15">
        <f t="shared" si="1"/>
        <v>20</v>
      </c>
      <c r="I26" s="16">
        <f t="shared" si="2"/>
        <v>417600</v>
      </c>
      <c r="J26" s="16">
        <f t="shared" si="3"/>
        <v>25269.501953756397</v>
      </c>
      <c r="K26" s="16">
        <f t="shared" si="4"/>
        <v>392330.49804624362</v>
      </c>
      <c r="L26" s="16">
        <f t="shared" si="5"/>
        <v>117699.14941387308</v>
      </c>
      <c r="M26" s="16">
        <f t="shared" si="6"/>
        <v>274631.34863237053</v>
      </c>
      <c r="N26" s="16">
        <f t="shared" si="7"/>
        <v>82389.40458971115</v>
      </c>
      <c r="O26" s="16">
        <f t="shared" si="8"/>
        <v>309941.09345653246</v>
      </c>
      <c r="P26" s="16">
        <f t="shared" si="0"/>
        <v>11792576.619336603</v>
      </c>
      <c r="Q26" s="17">
        <f t="shared" si="9"/>
        <v>2.6282728826905712E-2</v>
      </c>
    </row>
    <row r="27" spans="3:17" ht="49" thickTop="1" thickBot="1" x14ac:dyDescent="0.6">
      <c r="C27" s="14" t="s">
        <v>27</v>
      </c>
      <c r="D27" s="14">
        <f>D9</f>
        <v>20</v>
      </c>
      <c r="H27" s="15" t="str">
        <f t="shared" si="1"/>
        <v>NA</v>
      </c>
      <c r="I27" s="16">
        <f t="shared" si="2"/>
        <v>0</v>
      </c>
      <c r="J27" s="16">
        <f t="shared" si="3"/>
        <v>0</v>
      </c>
      <c r="K27" s="16">
        <f t="shared" si="4"/>
        <v>0</v>
      </c>
      <c r="L27" s="16">
        <f t="shared" si="5"/>
        <v>0</v>
      </c>
      <c r="M27" s="16">
        <f t="shared" si="6"/>
        <v>0</v>
      </c>
      <c r="N27" s="16">
        <f t="shared" si="7"/>
        <v>0</v>
      </c>
      <c r="O27" s="16">
        <f t="shared" si="8"/>
        <v>0</v>
      </c>
      <c r="P27" s="16">
        <f t="shared" si="0"/>
        <v>0</v>
      </c>
      <c r="Q27" s="17">
        <f t="shared" si="9"/>
        <v>0</v>
      </c>
    </row>
    <row r="28" spans="3:17" ht="49" thickTop="1" thickBot="1" x14ac:dyDescent="0.6">
      <c r="C28" s="14" t="s">
        <v>28</v>
      </c>
      <c r="D28" s="29">
        <f>FV(D26,D27,0,-D25)</f>
        <v>11545687.699966254</v>
      </c>
      <c r="H28" s="15" t="str">
        <f t="shared" si="1"/>
        <v>NA</v>
      </c>
      <c r="I28" s="16">
        <f t="shared" si="2"/>
        <v>0</v>
      </c>
      <c r="J28" s="16">
        <f t="shared" si="3"/>
        <v>0</v>
      </c>
      <c r="K28" s="16">
        <f t="shared" si="4"/>
        <v>0</v>
      </c>
      <c r="L28" s="16">
        <f t="shared" si="5"/>
        <v>0</v>
      </c>
      <c r="M28" s="16">
        <f t="shared" si="6"/>
        <v>0</v>
      </c>
      <c r="N28" s="16">
        <f t="shared" si="7"/>
        <v>0</v>
      </c>
      <c r="O28" s="16">
        <f t="shared" si="8"/>
        <v>0</v>
      </c>
      <c r="P28" s="16">
        <f t="shared" si="0"/>
        <v>0</v>
      </c>
      <c r="Q28" s="17">
        <f t="shared" si="9"/>
        <v>0</v>
      </c>
    </row>
    <row r="29" spans="3:17" ht="49" thickTop="1" thickBot="1" x14ac:dyDescent="0.6">
      <c r="H29" s="15" t="str">
        <f t="shared" si="1"/>
        <v>NA</v>
      </c>
      <c r="I29" s="16">
        <f t="shared" si="2"/>
        <v>0</v>
      </c>
      <c r="J29" s="16">
        <f t="shared" si="3"/>
        <v>0</v>
      </c>
      <c r="K29" s="16">
        <f t="shared" si="4"/>
        <v>0</v>
      </c>
      <c r="L29" s="16">
        <f t="shared" si="5"/>
        <v>0</v>
      </c>
      <c r="M29" s="16">
        <f t="shared" si="6"/>
        <v>0</v>
      </c>
      <c r="N29" s="16">
        <f t="shared" si="7"/>
        <v>0</v>
      </c>
      <c r="O29" s="16">
        <f t="shared" si="8"/>
        <v>0</v>
      </c>
      <c r="P29" s="16">
        <f t="shared" si="0"/>
        <v>0</v>
      </c>
      <c r="Q29" s="17">
        <f t="shared" si="9"/>
        <v>0</v>
      </c>
    </row>
    <row r="30" spans="3:17" ht="49" thickTop="1" thickBot="1" x14ac:dyDescent="0.6">
      <c r="H30" s="15" t="str">
        <f t="shared" si="1"/>
        <v>NA</v>
      </c>
      <c r="I30" s="16">
        <f t="shared" si="2"/>
        <v>0</v>
      </c>
      <c r="J30" s="16">
        <f t="shared" si="3"/>
        <v>0</v>
      </c>
      <c r="K30" s="16">
        <f t="shared" si="4"/>
        <v>0</v>
      </c>
      <c r="L30" s="16">
        <f t="shared" si="5"/>
        <v>0</v>
      </c>
      <c r="M30" s="16">
        <f t="shared" si="6"/>
        <v>0</v>
      </c>
      <c r="N30" s="16">
        <f t="shared" si="7"/>
        <v>0</v>
      </c>
      <c r="O30" s="16">
        <f t="shared" si="8"/>
        <v>0</v>
      </c>
      <c r="P30" s="16">
        <f t="shared" si="0"/>
        <v>0</v>
      </c>
      <c r="Q30" s="17">
        <f t="shared" si="9"/>
        <v>0</v>
      </c>
    </row>
    <row r="31" spans="3:17" ht="49" thickTop="1" thickBot="1" x14ac:dyDescent="0.6">
      <c r="C31" s="4" t="s">
        <v>29</v>
      </c>
      <c r="D31" s="4"/>
      <c r="H31" s="15" t="str">
        <f t="shared" si="1"/>
        <v>NA</v>
      </c>
      <c r="I31" s="16">
        <f t="shared" si="2"/>
        <v>0</v>
      </c>
      <c r="J31" s="16">
        <f t="shared" si="3"/>
        <v>0</v>
      </c>
      <c r="K31" s="16">
        <f t="shared" si="4"/>
        <v>0</v>
      </c>
      <c r="L31" s="16">
        <f t="shared" si="5"/>
        <v>0</v>
      </c>
      <c r="M31" s="16">
        <f t="shared" si="6"/>
        <v>0</v>
      </c>
      <c r="N31" s="16">
        <f t="shared" si="7"/>
        <v>0</v>
      </c>
      <c r="O31" s="16">
        <f t="shared" si="8"/>
        <v>0</v>
      </c>
      <c r="P31" s="16">
        <f t="shared" si="0"/>
        <v>0</v>
      </c>
      <c r="Q31" s="17">
        <f t="shared" si="9"/>
        <v>0</v>
      </c>
    </row>
    <row r="32" spans="3:17" ht="49" thickTop="1" thickBot="1" x14ac:dyDescent="0.6">
      <c r="C32" s="14" t="s">
        <v>44</v>
      </c>
      <c r="D32" s="28">
        <f>SUM(Q7:Q95)/D9</f>
        <v>4.5242922746125819E-2</v>
      </c>
      <c r="H32" s="15" t="str">
        <f t="shared" si="1"/>
        <v>NA</v>
      </c>
      <c r="I32" s="16">
        <f t="shared" si="2"/>
        <v>0</v>
      </c>
      <c r="J32" s="16">
        <f t="shared" si="3"/>
        <v>0</v>
      </c>
      <c r="K32" s="16">
        <f t="shared" si="4"/>
        <v>0</v>
      </c>
      <c r="L32" s="16">
        <f t="shared" si="5"/>
        <v>0</v>
      </c>
      <c r="M32" s="16">
        <f t="shared" si="6"/>
        <v>0</v>
      </c>
      <c r="N32" s="16">
        <f t="shared" si="7"/>
        <v>0</v>
      </c>
      <c r="O32" s="16">
        <f t="shared" si="8"/>
        <v>0</v>
      </c>
      <c r="P32" s="16">
        <f t="shared" si="0"/>
        <v>0</v>
      </c>
      <c r="Q32" s="17">
        <f t="shared" si="9"/>
        <v>0</v>
      </c>
    </row>
    <row r="33" spans="3:17" ht="49" thickTop="1" thickBot="1" x14ac:dyDescent="0.6">
      <c r="H33" s="15" t="str">
        <f t="shared" si="1"/>
        <v>NA</v>
      </c>
      <c r="I33" s="16">
        <f t="shared" si="2"/>
        <v>0</v>
      </c>
      <c r="J33" s="16">
        <f t="shared" si="3"/>
        <v>0</v>
      </c>
      <c r="K33" s="16">
        <f t="shared" si="4"/>
        <v>0</v>
      </c>
      <c r="L33" s="16">
        <f t="shared" si="5"/>
        <v>0</v>
      </c>
      <c r="M33" s="16">
        <f t="shared" si="6"/>
        <v>0</v>
      </c>
      <c r="N33" s="16">
        <f t="shared" si="7"/>
        <v>0</v>
      </c>
      <c r="O33" s="16">
        <f t="shared" si="8"/>
        <v>0</v>
      </c>
      <c r="P33" s="16">
        <f t="shared" si="0"/>
        <v>0</v>
      </c>
      <c r="Q33" s="17">
        <f t="shared" si="9"/>
        <v>0</v>
      </c>
    </row>
    <row r="34" spans="3:17" ht="49" thickTop="1" thickBot="1" x14ac:dyDescent="0.6">
      <c r="D34" s="30"/>
      <c r="H34" s="15" t="str">
        <f t="shared" si="1"/>
        <v>NA</v>
      </c>
      <c r="I34" s="16">
        <f t="shared" si="2"/>
        <v>0</v>
      </c>
      <c r="J34" s="16">
        <f t="shared" si="3"/>
        <v>0</v>
      </c>
      <c r="K34" s="16">
        <f t="shared" si="4"/>
        <v>0</v>
      </c>
      <c r="L34" s="16">
        <f t="shared" si="5"/>
        <v>0</v>
      </c>
      <c r="M34" s="16">
        <f t="shared" si="6"/>
        <v>0</v>
      </c>
      <c r="N34" s="16">
        <f t="shared" si="7"/>
        <v>0</v>
      </c>
      <c r="O34" s="16">
        <f t="shared" si="8"/>
        <v>0</v>
      </c>
      <c r="P34" s="16">
        <f t="shared" si="0"/>
        <v>0</v>
      </c>
      <c r="Q34" s="17">
        <f t="shared" si="9"/>
        <v>0</v>
      </c>
    </row>
    <row r="35" spans="3:17" ht="49" thickTop="1" thickBot="1" x14ac:dyDescent="0.6">
      <c r="H35" s="15" t="str">
        <f t="shared" si="1"/>
        <v>NA</v>
      </c>
      <c r="I35" s="16">
        <f t="shared" si="2"/>
        <v>0</v>
      </c>
      <c r="J35" s="16">
        <f t="shared" si="3"/>
        <v>0</v>
      </c>
      <c r="K35" s="16">
        <f t="shared" si="4"/>
        <v>0</v>
      </c>
      <c r="L35" s="16">
        <f t="shared" si="5"/>
        <v>0</v>
      </c>
      <c r="M35" s="16">
        <f t="shared" si="6"/>
        <v>0</v>
      </c>
      <c r="N35" s="16">
        <f t="shared" si="7"/>
        <v>0</v>
      </c>
      <c r="O35" s="16">
        <f t="shared" si="8"/>
        <v>0</v>
      </c>
      <c r="P35" s="16">
        <f t="shared" si="0"/>
        <v>0</v>
      </c>
      <c r="Q35" s="17">
        <f t="shared" si="9"/>
        <v>0</v>
      </c>
    </row>
    <row r="36" spans="3:17" ht="49" thickTop="1" thickBot="1" x14ac:dyDescent="0.6">
      <c r="C36" s="63" t="s">
        <v>77</v>
      </c>
      <c r="D36" s="63"/>
      <c r="E36" s="63"/>
      <c r="H36" s="15" t="str">
        <f t="shared" si="1"/>
        <v>NA</v>
      </c>
      <c r="I36" s="16">
        <f t="shared" si="2"/>
        <v>0</v>
      </c>
      <c r="J36" s="16">
        <f t="shared" si="3"/>
        <v>0</v>
      </c>
      <c r="K36" s="16">
        <f t="shared" si="4"/>
        <v>0</v>
      </c>
      <c r="L36" s="16">
        <f t="shared" si="5"/>
        <v>0</v>
      </c>
      <c r="M36" s="16">
        <f t="shared" si="6"/>
        <v>0</v>
      </c>
      <c r="N36" s="16">
        <f t="shared" si="7"/>
        <v>0</v>
      </c>
      <c r="O36" s="16">
        <f t="shared" si="8"/>
        <v>0</v>
      </c>
      <c r="P36" s="16">
        <f t="shared" si="0"/>
        <v>0</v>
      </c>
      <c r="Q36" s="17">
        <f t="shared" si="9"/>
        <v>0</v>
      </c>
    </row>
    <row r="37" spans="3:17" ht="49" thickTop="1" thickBot="1" x14ac:dyDescent="0.6">
      <c r="C37" s="1" t="s">
        <v>69</v>
      </c>
      <c r="D37" s="59" t="s">
        <v>70</v>
      </c>
      <c r="E37" s="60"/>
      <c r="H37" s="15" t="str">
        <f t="shared" si="1"/>
        <v>NA</v>
      </c>
      <c r="I37" s="16">
        <f t="shared" si="2"/>
        <v>0</v>
      </c>
      <c r="J37" s="16">
        <f t="shared" si="3"/>
        <v>0</v>
      </c>
      <c r="K37" s="16">
        <f t="shared" si="4"/>
        <v>0</v>
      </c>
      <c r="L37" s="16">
        <f t="shared" si="5"/>
        <v>0</v>
      </c>
      <c r="M37" s="16">
        <f t="shared" si="6"/>
        <v>0</v>
      </c>
      <c r="N37" s="16">
        <f t="shared" si="7"/>
        <v>0</v>
      </c>
      <c r="O37" s="16">
        <f t="shared" si="8"/>
        <v>0</v>
      </c>
      <c r="P37" s="16">
        <f t="shared" si="0"/>
        <v>0</v>
      </c>
      <c r="Q37" s="17">
        <f t="shared" si="9"/>
        <v>0</v>
      </c>
    </row>
    <row r="38" spans="3:17" ht="49" thickTop="1" thickBot="1" x14ac:dyDescent="0.6">
      <c r="C38" s="2" t="s">
        <v>71</v>
      </c>
      <c r="D38" s="59" t="s">
        <v>72</v>
      </c>
      <c r="E38" s="60"/>
      <c r="H38" s="15" t="str">
        <f t="shared" si="1"/>
        <v>NA</v>
      </c>
      <c r="I38" s="16">
        <f t="shared" si="2"/>
        <v>0</v>
      </c>
      <c r="J38" s="16">
        <f t="shared" si="3"/>
        <v>0</v>
      </c>
      <c r="K38" s="16">
        <f t="shared" si="4"/>
        <v>0</v>
      </c>
      <c r="L38" s="16">
        <f t="shared" si="5"/>
        <v>0</v>
      </c>
      <c r="M38" s="16">
        <f t="shared" si="6"/>
        <v>0</v>
      </c>
      <c r="N38" s="16">
        <f t="shared" si="7"/>
        <v>0</v>
      </c>
      <c r="O38" s="16">
        <f t="shared" si="8"/>
        <v>0</v>
      </c>
      <c r="P38" s="16">
        <f t="shared" si="0"/>
        <v>0</v>
      </c>
      <c r="Q38" s="17">
        <f t="shared" si="9"/>
        <v>0</v>
      </c>
    </row>
    <row r="39" spans="3:17" ht="49" thickTop="1" thickBot="1" x14ac:dyDescent="0.6">
      <c r="C39" s="1" t="s">
        <v>73</v>
      </c>
      <c r="D39" s="61" t="s">
        <v>74</v>
      </c>
      <c r="E39" s="62"/>
      <c r="H39" s="15" t="str">
        <f t="shared" si="1"/>
        <v>NA</v>
      </c>
      <c r="I39" s="16">
        <f t="shared" si="2"/>
        <v>0</v>
      </c>
      <c r="J39" s="16">
        <f t="shared" si="3"/>
        <v>0</v>
      </c>
      <c r="K39" s="16">
        <f t="shared" si="4"/>
        <v>0</v>
      </c>
      <c r="L39" s="16">
        <f t="shared" si="5"/>
        <v>0</v>
      </c>
      <c r="M39" s="16">
        <f t="shared" si="6"/>
        <v>0</v>
      </c>
      <c r="N39" s="16">
        <f t="shared" si="7"/>
        <v>0</v>
      </c>
      <c r="O39" s="16">
        <f t="shared" si="8"/>
        <v>0</v>
      </c>
      <c r="P39" s="16">
        <f t="shared" si="0"/>
        <v>0</v>
      </c>
      <c r="Q39" s="17">
        <f t="shared" si="9"/>
        <v>0</v>
      </c>
    </row>
    <row r="40" spans="3:17" ht="49" thickTop="1" thickBot="1" x14ac:dyDescent="0.6">
      <c r="C40" s="1" t="s">
        <v>75</v>
      </c>
      <c r="D40" s="59" t="s">
        <v>76</v>
      </c>
      <c r="E40" s="60"/>
      <c r="H40" s="15" t="str">
        <f t="shared" si="1"/>
        <v>NA</v>
      </c>
      <c r="I40" s="16">
        <f t="shared" si="2"/>
        <v>0</v>
      </c>
      <c r="J40" s="16">
        <f t="shared" si="3"/>
        <v>0</v>
      </c>
      <c r="K40" s="16">
        <f t="shared" si="4"/>
        <v>0</v>
      </c>
      <c r="L40" s="16">
        <f t="shared" si="5"/>
        <v>0</v>
      </c>
      <c r="M40" s="16">
        <f t="shared" si="6"/>
        <v>0</v>
      </c>
      <c r="N40" s="16">
        <f t="shared" si="7"/>
        <v>0</v>
      </c>
      <c r="O40" s="16">
        <f t="shared" si="8"/>
        <v>0</v>
      </c>
      <c r="P40" s="16">
        <f t="shared" ref="P40:P71" si="10">IF(H40= "NA",0,P39*(1+$Q$5))</f>
        <v>0</v>
      </c>
      <c r="Q40" s="17">
        <f t="shared" si="9"/>
        <v>0</v>
      </c>
    </row>
    <row r="41" spans="3:17" ht="49" thickTop="1" thickBot="1" x14ac:dyDescent="0.6">
      <c r="C41" s="73" t="s">
        <v>78</v>
      </c>
      <c r="D41" s="74" t="s">
        <v>80</v>
      </c>
      <c r="E41" s="74"/>
      <c r="H41" s="15" t="str">
        <f t="shared" si="1"/>
        <v>NA</v>
      </c>
      <c r="I41" s="16">
        <f t="shared" si="2"/>
        <v>0</v>
      </c>
      <c r="J41" s="16">
        <f t="shared" si="3"/>
        <v>0</v>
      </c>
      <c r="K41" s="16">
        <f t="shared" si="4"/>
        <v>0</v>
      </c>
      <c r="L41" s="16">
        <f t="shared" si="5"/>
        <v>0</v>
      </c>
      <c r="M41" s="16">
        <f t="shared" si="6"/>
        <v>0</v>
      </c>
      <c r="N41" s="16">
        <f t="shared" si="7"/>
        <v>0</v>
      </c>
      <c r="O41" s="16">
        <f t="shared" si="8"/>
        <v>0</v>
      </c>
      <c r="P41" s="16">
        <f t="shared" si="10"/>
        <v>0</v>
      </c>
      <c r="Q41" s="17">
        <f t="shared" si="9"/>
        <v>0</v>
      </c>
    </row>
    <row r="42" spans="3:17" ht="49" thickTop="1" thickBot="1" x14ac:dyDescent="0.6">
      <c r="C42" s="73" t="s">
        <v>79</v>
      </c>
      <c r="D42" s="74" t="s">
        <v>81</v>
      </c>
      <c r="E42" s="74"/>
      <c r="H42" s="15" t="str">
        <f t="shared" si="1"/>
        <v>NA</v>
      </c>
      <c r="I42" s="16">
        <f t="shared" si="2"/>
        <v>0</v>
      </c>
      <c r="J42" s="16">
        <f t="shared" si="3"/>
        <v>0</v>
      </c>
      <c r="K42" s="16">
        <f t="shared" si="4"/>
        <v>0</v>
      </c>
      <c r="L42" s="16">
        <f t="shared" si="5"/>
        <v>0</v>
      </c>
      <c r="M42" s="16">
        <f t="shared" si="6"/>
        <v>0</v>
      </c>
      <c r="N42" s="16">
        <f t="shared" si="7"/>
        <v>0</v>
      </c>
      <c r="O42" s="16">
        <f t="shared" si="8"/>
        <v>0</v>
      </c>
      <c r="P42" s="16">
        <f t="shared" si="10"/>
        <v>0</v>
      </c>
      <c r="Q42" s="17">
        <f t="shared" si="9"/>
        <v>0</v>
      </c>
    </row>
    <row r="43" spans="3:17" ht="49" thickTop="1" thickBot="1" x14ac:dyDescent="0.6">
      <c r="H43" s="15" t="str">
        <f t="shared" si="1"/>
        <v>NA</v>
      </c>
      <c r="I43" s="16">
        <f t="shared" si="2"/>
        <v>0</v>
      </c>
      <c r="J43" s="16">
        <f t="shared" si="3"/>
        <v>0</v>
      </c>
      <c r="K43" s="16">
        <f t="shared" si="4"/>
        <v>0</v>
      </c>
      <c r="L43" s="16">
        <f t="shared" si="5"/>
        <v>0</v>
      </c>
      <c r="M43" s="16">
        <f t="shared" si="6"/>
        <v>0</v>
      </c>
      <c r="N43" s="16">
        <f t="shared" si="7"/>
        <v>0</v>
      </c>
      <c r="O43" s="16">
        <f t="shared" si="8"/>
        <v>0</v>
      </c>
      <c r="P43" s="16">
        <f t="shared" si="10"/>
        <v>0</v>
      </c>
      <c r="Q43" s="17">
        <f t="shared" si="9"/>
        <v>0</v>
      </c>
    </row>
    <row r="44" spans="3:17" ht="49" thickTop="1" thickBot="1" x14ac:dyDescent="0.6">
      <c r="H44" s="15" t="str">
        <f t="shared" si="1"/>
        <v>NA</v>
      </c>
      <c r="I44" s="16">
        <f t="shared" si="2"/>
        <v>0</v>
      </c>
      <c r="J44" s="16">
        <f t="shared" si="3"/>
        <v>0</v>
      </c>
      <c r="K44" s="16">
        <f t="shared" si="4"/>
        <v>0</v>
      </c>
      <c r="L44" s="16">
        <f t="shared" si="5"/>
        <v>0</v>
      </c>
      <c r="M44" s="16">
        <f t="shared" si="6"/>
        <v>0</v>
      </c>
      <c r="N44" s="16">
        <f t="shared" si="7"/>
        <v>0</v>
      </c>
      <c r="O44" s="16">
        <f t="shared" si="8"/>
        <v>0</v>
      </c>
      <c r="P44" s="16">
        <f t="shared" si="10"/>
        <v>0</v>
      </c>
      <c r="Q44" s="17">
        <f t="shared" si="9"/>
        <v>0</v>
      </c>
    </row>
    <row r="45" spans="3:17" ht="49" thickTop="1" thickBot="1" x14ac:dyDescent="0.6">
      <c r="H45" s="15" t="str">
        <f t="shared" si="1"/>
        <v>NA</v>
      </c>
      <c r="I45" s="16">
        <f t="shared" si="2"/>
        <v>0</v>
      </c>
      <c r="J45" s="16">
        <f t="shared" si="3"/>
        <v>0</v>
      </c>
      <c r="K45" s="16">
        <f t="shared" si="4"/>
        <v>0</v>
      </c>
      <c r="L45" s="16">
        <f t="shared" si="5"/>
        <v>0</v>
      </c>
      <c r="M45" s="16">
        <f t="shared" si="6"/>
        <v>0</v>
      </c>
      <c r="N45" s="16">
        <f t="shared" si="7"/>
        <v>0</v>
      </c>
      <c r="O45" s="16">
        <f t="shared" si="8"/>
        <v>0</v>
      </c>
      <c r="P45" s="16">
        <f t="shared" si="10"/>
        <v>0</v>
      </c>
      <c r="Q45" s="17">
        <f t="shared" si="9"/>
        <v>0</v>
      </c>
    </row>
    <row r="46" spans="3:17" ht="49" thickTop="1" thickBot="1" x14ac:dyDescent="0.6">
      <c r="H46" s="15" t="str">
        <f t="shared" si="1"/>
        <v>NA</v>
      </c>
      <c r="I46" s="16">
        <f t="shared" si="2"/>
        <v>0</v>
      </c>
      <c r="J46" s="16">
        <f t="shared" si="3"/>
        <v>0</v>
      </c>
      <c r="K46" s="16">
        <f t="shared" si="4"/>
        <v>0</v>
      </c>
      <c r="L46" s="16">
        <f t="shared" si="5"/>
        <v>0</v>
      </c>
      <c r="M46" s="16">
        <f t="shared" si="6"/>
        <v>0</v>
      </c>
      <c r="N46" s="16">
        <f t="shared" si="7"/>
        <v>0</v>
      </c>
      <c r="O46" s="16">
        <f t="shared" si="8"/>
        <v>0</v>
      </c>
      <c r="P46" s="16">
        <f t="shared" si="10"/>
        <v>0</v>
      </c>
      <c r="Q46" s="17">
        <f t="shared" si="9"/>
        <v>0</v>
      </c>
    </row>
    <row r="47" spans="3:17" ht="49" thickTop="1" thickBot="1" x14ac:dyDescent="0.6">
      <c r="H47" s="15" t="str">
        <f t="shared" si="1"/>
        <v>NA</v>
      </c>
      <c r="I47" s="16">
        <f t="shared" si="2"/>
        <v>0</v>
      </c>
      <c r="J47" s="16">
        <f t="shared" si="3"/>
        <v>0</v>
      </c>
      <c r="K47" s="16">
        <f t="shared" si="4"/>
        <v>0</v>
      </c>
      <c r="L47" s="16">
        <f t="shared" si="5"/>
        <v>0</v>
      </c>
      <c r="M47" s="16">
        <f t="shared" si="6"/>
        <v>0</v>
      </c>
      <c r="N47" s="16">
        <f t="shared" si="7"/>
        <v>0</v>
      </c>
      <c r="O47" s="16">
        <f t="shared" si="8"/>
        <v>0</v>
      </c>
      <c r="P47" s="16">
        <f t="shared" si="10"/>
        <v>0</v>
      </c>
      <c r="Q47" s="17">
        <f t="shared" si="9"/>
        <v>0</v>
      </c>
    </row>
    <row r="48" spans="3:17" ht="49" thickTop="1" thickBot="1" x14ac:dyDescent="0.6">
      <c r="H48" s="15" t="str">
        <f t="shared" si="1"/>
        <v>NA</v>
      </c>
      <c r="I48" s="16">
        <f t="shared" si="2"/>
        <v>0</v>
      </c>
      <c r="J48" s="16">
        <f t="shared" si="3"/>
        <v>0</v>
      </c>
      <c r="K48" s="16">
        <f t="shared" si="4"/>
        <v>0</v>
      </c>
      <c r="L48" s="16">
        <f t="shared" si="5"/>
        <v>0</v>
      </c>
      <c r="M48" s="16">
        <f t="shared" si="6"/>
        <v>0</v>
      </c>
      <c r="N48" s="16">
        <f t="shared" si="7"/>
        <v>0</v>
      </c>
      <c r="O48" s="16">
        <f t="shared" si="8"/>
        <v>0</v>
      </c>
      <c r="P48" s="16">
        <f t="shared" si="10"/>
        <v>0</v>
      </c>
      <c r="Q48" s="17">
        <f t="shared" si="9"/>
        <v>0</v>
      </c>
    </row>
    <row r="49" spans="8:17" ht="49" thickTop="1" thickBot="1" x14ac:dyDescent="0.6">
      <c r="H49" s="15" t="str">
        <f t="shared" si="1"/>
        <v>NA</v>
      </c>
      <c r="I49" s="16">
        <f t="shared" si="2"/>
        <v>0</v>
      </c>
      <c r="J49" s="16">
        <f t="shared" si="3"/>
        <v>0</v>
      </c>
      <c r="K49" s="16">
        <f t="shared" si="4"/>
        <v>0</v>
      </c>
      <c r="L49" s="16">
        <f t="shared" si="5"/>
        <v>0</v>
      </c>
      <c r="M49" s="16">
        <f t="shared" si="6"/>
        <v>0</v>
      </c>
      <c r="N49" s="16">
        <f t="shared" si="7"/>
        <v>0</v>
      </c>
      <c r="O49" s="16">
        <f t="shared" si="8"/>
        <v>0</v>
      </c>
      <c r="P49" s="16">
        <f t="shared" si="10"/>
        <v>0</v>
      </c>
      <c r="Q49" s="17">
        <f t="shared" si="9"/>
        <v>0</v>
      </c>
    </row>
    <row r="50" spans="8:17" ht="49" thickTop="1" thickBot="1" x14ac:dyDescent="0.6">
      <c r="H50" s="15" t="str">
        <f t="shared" si="1"/>
        <v>NA</v>
      </c>
      <c r="I50" s="16">
        <f t="shared" si="2"/>
        <v>0</v>
      </c>
      <c r="J50" s="16">
        <f t="shared" si="3"/>
        <v>0</v>
      </c>
      <c r="K50" s="16">
        <f t="shared" si="4"/>
        <v>0</v>
      </c>
      <c r="L50" s="16">
        <f t="shared" si="5"/>
        <v>0</v>
      </c>
      <c r="M50" s="16">
        <f t="shared" si="6"/>
        <v>0</v>
      </c>
      <c r="N50" s="16">
        <f t="shared" si="7"/>
        <v>0</v>
      </c>
      <c r="O50" s="16">
        <f t="shared" si="8"/>
        <v>0</v>
      </c>
      <c r="P50" s="16">
        <f t="shared" si="10"/>
        <v>0</v>
      </c>
      <c r="Q50" s="17">
        <f t="shared" si="9"/>
        <v>0</v>
      </c>
    </row>
    <row r="51" spans="8:17" ht="49" thickTop="1" thickBot="1" x14ac:dyDescent="0.6">
      <c r="H51" s="15" t="str">
        <f t="shared" si="1"/>
        <v>NA</v>
      </c>
      <c r="I51" s="16">
        <f t="shared" si="2"/>
        <v>0</v>
      </c>
      <c r="J51" s="16">
        <f t="shared" si="3"/>
        <v>0</v>
      </c>
      <c r="K51" s="16">
        <f t="shared" si="4"/>
        <v>0</v>
      </c>
      <c r="L51" s="16">
        <f t="shared" si="5"/>
        <v>0</v>
      </c>
      <c r="M51" s="16">
        <f t="shared" si="6"/>
        <v>0</v>
      </c>
      <c r="N51" s="16">
        <f t="shared" si="7"/>
        <v>0</v>
      </c>
      <c r="O51" s="16">
        <f t="shared" si="8"/>
        <v>0</v>
      </c>
      <c r="P51" s="16">
        <f t="shared" si="10"/>
        <v>0</v>
      </c>
      <c r="Q51" s="17">
        <f t="shared" si="9"/>
        <v>0</v>
      </c>
    </row>
    <row r="52" spans="8:17" ht="49" thickTop="1" thickBot="1" x14ac:dyDescent="0.6">
      <c r="H52" s="15" t="str">
        <f t="shared" si="1"/>
        <v>NA</v>
      </c>
      <c r="I52" s="16">
        <f t="shared" si="2"/>
        <v>0</v>
      </c>
      <c r="J52" s="16">
        <f t="shared" si="3"/>
        <v>0</v>
      </c>
      <c r="K52" s="16">
        <f t="shared" si="4"/>
        <v>0</v>
      </c>
      <c r="L52" s="16">
        <f t="shared" si="5"/>
        <v>0</v>
      </c>
      <c r="M52" s="16">
        <f t="shared" si="6"/>
        <v>0</v>
      </c>
      <c r="N52" s="16">
        <f t="shared" si="7"/>
        <v>0</v>
      </c>
      <c r="O52" s="16">
        <f t="shared" si="8"/>
        <v>0</v>
      </c>
      <c r="P52" s="16">
        <f t="shared" si="10"/>
        <v>0</v>
      </c>
      <c r="Q52" s="17">
        <f t="shared" si="9"/>
        <v>0</v>
      </c>
    </row>
    <row r="53" spans="8:17" ht="49" thickTop="1" thickBot="1" x14ac:dyDescent="0.6">
      <c r="H53" s="15" t="str">
        <f t="shared" si="1"/>
        <v>NA</v>
      </c>
      <c r="I53" s="16">
        <f t="shared" si="2"/>
        <v>0</v>
      </c>
      <c r="J53" s="16">
        <f t="shared" si="3"/>
        <v>0</v>
      </c>
      <c r="K53" s="16">
        <f t="shared" si="4"/>
        <v>0</v>
      </c>
      <c r="L53" s="16">
        <f t="shared" si="5"/>
        <v>0</v>
      </c>
      <c r="M53" s="16">
        <f t="shared" si="6"/>
        <v>0</v>
      </c>
      <c r="N53" s="16">
        <f t="shared" si="7"/>
        <v>0</v>
      </c>
      <c r="O53" s="16">
        <f t="shared" si="8"/>
        <v>0</v>
      </c>
      <c r="P53" s="16">
        <f t="shared" si="10"/>
        <v>0</v>
      </c>
      <c r="Q53" s="17">
        <f t="shared" si="9"/>
        <v>0</v>
      </c>
    </row>
    <row r="54" spans="8:17" ht="49" thickTop="1" thickBot="1" x14ac:dyDescent="0.6">
      <c r="H54" s="15" t="str">
        <f t="shared" si="1"/>
        <v>NA</v>
      </c>
      <c r="I54" s="16">
        <f t="shared" si="2"/>
        <v>0</v>
      </c>
      <c r="J54" s="16">
        <f t="shared" si="3"/>
        <v>0</v>
      </c>
      <c r="K54" s="16">
        <f t="shared" si="4"/>
        <v>0</v>
      </c>
      <c r="L54" s="16">
        <f t="shared" si="5"/>
        <v>0</v>
      </c>
      <c r="M54" s="16">
        <f t="shared" si="6"/>
        <v>0</v>
      </c>
      <c r="N54" s="16">
        <f t="shared" si="7"/>
        <v>0</v>
      </c>
      <c r="O54" s="16">
        <f t="shared" si="8"/>
        <v>0</v>
      </c>
      <c r="P54" s="16">
        <f t="shared" si="10"/>
        <v>0</v>
      </c>
      <c r="Q54" s="17">
        <f t="shared" si="9"/>
        <v>0</v>
      </c>
    </row>
    <row r="55" spans="8:17" ht="49" thickTop="1" thickBot="1" x14ac:dyDescent="0.6">
      <c r="H55" s="15" t="str">
        <f t="shared" si="1"/>
        <v>NA</v>
      </c>
      <c r="I55" s="16">
        <f t="shared" si="2"/>
        <v>0</v>
      </c>
      <c r="J55" s="16">
        <f t="shared" si="3"/>
        <v>0</v>
      </c>
      <c r="K55" s="16">
        <f t="shared" si="4"/>
        <v>0</v>
      </c>
      <c r="L55" s="16">
        <f t="shared" si="5"/>
        <v>0</v>
      </c>
      <c r="M55" s="16">
        <f t="shared" si="6"/>
        <v>0</v>
      </c>
      <c r="N55" s="16">
        <f t="shared" si="7"/>
        <v>0</v>
      </c>
      <c r="O55" s="16">
        <f t="shared" si="8"/>
        <v>0</v>
      </c>
      <c r="P55" s="16">
        <f t="shared" si="10"/>
        <v>0</v>
      </c>
      <c r="Q55" s="17">
        <f t="shared" si="9"/>
        <v>0</v>
      </c>
    </row>
    <row r="56" spans="8:17" ht="49" thickTop="1" thickBot="1" x14ac:dyDescent="0.6">
      <c r="H56" s="15" t="str">
        <f t="shared" si="1"/>
        <v>NA</v>
      </c>
      <c r="I56" s="16">
        <f t="shared" si="2"/>
        <v>0</v>
      </c>
      <c r="J56" s="16">
        <f t="shared" si="3"/>
        <v>0</v>
      </c>
      <c r="K56" s="16">
        <f t="shared" si="4"/>
        <v>0</v>
      </c>
      <c r="L56" s="16">
        <f t="shared" si="5"/>
        <v>0</v>
      </c>
      <c r="M56" s="16">
        <f t="shared" si="6"/>
        <v>0</v>
      </c>
      <c r="N56" s="16">
        <f t="shared" si="7"/>
        <v>0</v>
      </c>
      <c r="O56" s="16">
        <f t="shared" si="8"/>
        <v>0</v>
      </c>
      <c r="P56" s="16">
        <f t="shared" si="10"/>
        <v>0</v>
      </c>
      <c r="Q56" s="17">
        <f t="shared" si="9"/>
        <v>0</v>
      </c>
    </row>
    <row r="57" spans="8:17" ht="49" thickTop="1" thickBot="1" x14ac:dyDescent="0.6">
      <c r="H57" s="15" t="str">
        <f t="shared" si="1"/>
        <v>NA</v>
      </c>
      <c r="I57" s="16">
        <f t="shared" si="2"/>
        <v>0</v>
      </c>
      <c r="J57" s="16">
        <f t="shared" si="3"/>
        <v>0</v>
      </c>
      <c r="K57" s="16">
        <f t="shared" si="4"/>
        <v>0</v>
      </c>
      <c r="L57" s="16">
        <f t="shared" si="5"/>
        <v>0</v>
      </c>
      <c r="M57" s="16">
        <f t="shared" si="6"/>
        <v>0</v>
      </c>
      <c r="N57" s="16">
        <f t="shared" si="7"/>
        <v>0</v>
      </c>
      <c r="O57" s="16">
        <f t="shared" si="8"/>
        <v>0</v>
      </c>
      <c r="P57" s="16">
        <f t="shared" si="10"/>
        <v>0</v>
      </c>
      <c r="Q57" s="17">
        <f t="shared" si="9"/>
        <v>0</v>
      </c>
    </row>
    <row r="58" spans="8:17" ht="49" thickTop="1" thickBot="1" x14ac:dyDescent="0.6">
      <c r="H58" s="15" t="str">
        <f t="shared" si="1"/>
        <v>NA</v>
      </c>
      <c r="I58" s="16">
        <f t="shared" si="2"/>
        <v>0</v>
      </c>
      <c r="J58" s="16">
        <f t="shared" si="3"/>
        <v>0</v>
      </c>
      <c r="K58" s="16">
        <f t="shared" si="4"/>
        <v>0</v>
      </c>
      <c r="L58" s="16">
        <f t="shared" si="5"/>
        <v>0</v>
      </c>
      <c r="M58" s="16">
        <f t="shared" si="6"/>
        <v>0</v>
      </c>
      <c r="N58" s="16">
        <f t="shared" si="7"/>
        <v>0</v>
      </c>
      <c r="O58" s="16">
        <f t="shared" si="8"/>
        <v>0</v>
      </c>
      <c r="P58" s="16">
        <f t="shared" si="10"/>
        <v>0</v>
      </c>
      <c r="Q58" s="17">
        <f t="shared" si="9"/>
        <v>0</v>
      </c>
    </row>
    <row r="59" spans="8:17" ht="49" thickTop="1" thickBot="1" x14ac:dyDescent="0.6">
      <c r="H59" s="15" t="str">
        <f t="shared" si="1"/>
        <v>NA</v>
      </c>
      <c r="I59" s="16">
        <f t="shared" si="2"/>
        <v>0</v>
      </c>
      <c r="J59" s="16">
        <f t="shared" si="3"/>
        <v>0</v>
      </c>
      <c r="K59" s="16">
        <f t="shared" si="4"/>
        <v>0</v>
      </c>
      <c r="L59" s="16">
        <f t="shared" si="5"/>
        <v>0</v>
      </c>
      <c r="M59" s="16">
        <f t="shared" si="6"/>
        <v>0</v>
      </c>
      <c r="N59" s="16">
        <f t="shared" si="7"/>
        <v>0</v>
      </c>
      <c r="O59" s="16">
        <f t="shared" si="8"/>
        <v>0</v>
      </c>
      <c r="P59" s="16">
        <f t="shared" si="10"/>
        <v>0</v>
      </c>
      <c r="Q59" s="17">
        <f t="shared" si="9"/>
        <v>0</v>
      </c>
    </row>
    <row r="60" spans="8:17" ht="49" thickTop="1" thickBot="1" x14ac:dyDescent="0.6">
      <c r="H60" s="15" t="str">
        <f t="shared" si="1"/>
        <v>NA</v>
      </c>
      <c r="I60" s="16">
        <f t="shared" si="2"/>
        <v>0</v>
      </c>
      <c r="J60" s="16">
        <f t="shared" si="3"/>
        <v>0</v>
      </c>
      <c r="K60" s="16">
        <f t="shared" si="4"/>
        <v>0</v>
      </c>
      <c r="L60" s="16">
        <f t="shared" si="5"/>
        <v>0</v>
      </c>
      <c r="M60" s="16">
        <f t="shared" si="6"/>
        <v>0</v>
      </c>
      <c r="N60" s="16">
        <f t="shared" si="7"/>
        <v>0</v>
      </c>
      <c r="O60" s="16">
        <f t="shared" si="8"/>
        <v>0</v>
      </c>
      <c r="P60" s="16">
        <f t="shared" si="10"/>
        <v>0</v>
      </c>
      <c r="Q60" s="17">
        <f t="shared" si="9"/>
        <v>0</v>
      </c>
    </row>
    <row r="61" spans="8:17" ht="49" thickTop="1" thickBot="1" x14ac:dyDescent="0.6">
      <c r="H61" s="15" t="str">
        <f t="shared" si="1"/>
        <v>NA</v>
      </c>
      <c r="I61" s="16">
        <f t="shared" si="2"/>
        <v>0</v>
      </c>
      <c r="J61" s="16">
        <f t="shared" si="3"/>
        <v>0</v>
      </c>
      <c r="K61" s="16">
        <f t="shared" si="4"/>
        <v>0</v>
      </c>
      <c r="L61" s="16">
        <f t="shared" si="5"/>
        <v>0</v>
      </c>
      <c r="M61" s="16">
        <f t="shared" si="6"/>
        <v>0</v>
      </c>
      <c r="N61" s="16">
        <f t="shared" si="7"/>
        <v>0</v>
      </c>
      <c r="O61" s="16">
        <f t="shared" si="8"/>
        <v>0</v>
      </c>
      <c r="P61" s="16">
        <f t="shared" si="10"/>
        <v>0</v>
      </c>
      <c r="Q61" s="17">
        <f t="shared" si="9"/>
        <v>0</v>
      </c>
    </row>
    <row r="62" spans="8:17" ht="49" thickTop="1" thickBot="1" x14ac:dyDescent="0.6">
      <c r="H62" s="15" t="str">
        <f t="shared" si="1"/>
        <v>NA</v>
      </c>
      <c r="I62" s="16">
        <f t="shared" si="2"/>
        <v>0</v>
      </c>
      <c r="J62" s="16">
        <f t="shared" si="3"/>
        <v>0</v>
      </c>
      <c r="K62" s="16">
        <f t="shared" si="4"/>
        <v>0</v>
      </c>
      <c r="L62" s="16">
        <f t="shared" si="5"/>
        <v>0</v>
      </c>
      <c r="M62" s="16">
        <f t="shared" si="6"/>
        <v>0</v>
      </c>
      <c r="N62" s="16">
        <f t="shared" si="7"/>
        <v>0</v>
      </c>
      <c r="O62" s="16">
        <f t="shared" si="8"/>
        <v>0</v>
      </c>
      <c r="P62" s="16">
        <f t="shared" si="10"/>
        <v>0</v>
      </c>
      <c r="Q62" s="17">
        <f t="shared" si="9"/>
        <v>0</v>
      </c>
    </row>
    <row r="63" spans="8:17" ht="49" thickTop="1" thickBot="1" x14ac:dyDescent="0.6">
      <c r="H63" s="15" t="str">
        <f t="shared" si="1"/>
        <v>NA</v>
      </c>
      <c r="I63" s="16">
        <f t="shared" si="2"/>
        <v>0</v>
      </c>
      <c r="J63" s="16">
        <f t="shared" si="3"/>
        <v>0</v>
      </c>
      <c r="K63" s="16">
        <f t="shared" si="4"/>
        <v>0</v>
      </c>
      <c r="L63" s="16">
        <f t="shared" si="5"/>
        <v>0</v>
      </c>
      <c r="M63" s="16">
        <f t="shared" si="6"/>
        <v>0</v>
      </c>
      <c r="N63" s="16">
        <f t="shared" si="7"/>
        <v>0</v>
      </c>
      <c r="O63" s="16">
        <f t="shared" si="8"/>
        <v>0</v>
      </c>
      <c r="P63" s="16">
        <f t="shared" si="10"/>
        <v>0</v>
      </c>
      <c r="Q63" s="17">
        <f t="shared" si="9"/>
        <v>0</v>
      </c>
    </row>
    <row r="64" spans="8:17" ht="49" thickTop="1" thickBot="1" x14ac:dyDescent="0.6">
      <c r="H64" s="15" t="str">
        <f t="shared" si="1"/>
        <v>NA</v>
      </c>
      <c r="I64" s="16">
        <f t="shared" si="2"/>
        <v>0</v>
      </c>
      <c r="J64" s="16">
        <f t="shared" si="3"/>
        <v>0</v>
      </c>
      <c r="K64" s="16">
        <f t="shared" si="4"/>
        <v>0</v>
      </c>
      <c r="L64" s="16">
        <f t="shared" si="5"/>
        <v>0</v>
      </c>
      <c r="M64" s="16">
        <f t="shared" si="6"/>
        <v>0</v>
      </c>
      <c r="N64" s="16">
        <f t="shared" si="7"/>
        <v>0</v>
      </c>
      <c r="O64" s="16">
        <f t="shared" si="8"/>
        <v>0</v>
      </c>
      <c r="P64" s="16">
        <f t="shared" si="10"/>
        <v>0</v>
      </c>
      <c r="Q64" s="17">
        <f t="shared" si="9"/>
        <v>0</v>
      </c>
    </row>
    <row r="65" spans="8:17" ht="49" thickTop="1" thickBot="1" x14ac:dyDescent="0.6">
      <c r="H65" s="15" t="str">
        <f t="shared" si="1"/>
        <v>NA</v>
      </c>
      <c r="I65" s="16">
        <f t="shared" si="2"/>
        <v>0</v>
      </c>
      <c r="J65" s="16">
        <f t="shared" si="3"/>
        <v>0</v>
      </c>
      <c r="K65" s="16">
        <f t="shared" si="4"/>
        <v>0</v>
      </c>
      <c r="L65" s="16">
        <f t="shared" si="5"/>
        <v>0</v>
      </c>
      <c r="M65" s="16">
        <f t="shared" si="6"/>
        <v>0</v>
      </c>
      <c r="N65" s="16">
        <f t="shared" si="7"/>
        <v>0</v>
      </c>
      <c r="O65" s="16">
        <f t="shared" si="8"/>
        <v>0</v>
      </c>
      <c r="P65" s="16">
        <f t="shared" si="10"/>
        <v>0</v>
      </c>
      <c r="Q65" s="17">
        <f t="shared" si="9"/>
        <v>0</v>
      </c>
    </row>
    <row r="66" spans="8:17" ht="49" thickTop="1" thickBot="1" x14ac:dyDescent="0.6">
      <c r="H66" s="15" t="str">
        <f t="shared" si="1"/>
        <v>NA</v>
      </c>
      <c r="I66" s="16">
        <f t="shared" si="2"/>
        <v>0</v>
      </c>
      <c r="J66" s="16">
        <f t="shared" si="3"/>
        <v>0</v>
      </c>
      <c r="K66" s="16">
        <f t="shared" si="4"/>
        <v>0</v>
      </c>
      <c r="L66" s="16">
        <f t="shared" si="5"/>
        <v>0</v>
      </c>
      <c r="M66" s="16">
        <f t="shared" si="6"/>
        <v>0</v>
      </c>
      <c r="N66" s="16">
        <f t="shared" si="7"/>
        <v>0</v>
      </c>
      <c r="O66" s="16">
        <f t="shared" si="8"/>
        <v>0</v>
      </c>
      <c r="P66" s="16">
        <f t="shared" si="10"/>
        <v>0</v>
      </c>
      <c r="Q66" s="17">
        <f t="shared" si="9"/>
        <v>0</v>
      </c>
    </row>
    <row r="67" spans="8:17" ht="49" thickTop="1" thickBot="1" x14ac:dyDescent="0.6">
      <c r="H67" s="15" t="str">
        <f t="shared" si="1"/>
        <v>NA</v>
      </c>
      <c r="I67" s="16">
        <f t="shared" si="2"/>
        <v>0</v>
      </c>
      <c r="J67" s="16">
        <f t="shared" si="3"/>
        <v>0</v>
      </c>
      <c r="K67" s="16">
        <f t="shared" si="4"/>
        <v>0</v>
      </c>
      <c r="L67" s="16">
        <f t="shared" si="5"/>
        <v>0</v>
      </c>
      <c r="M67" s="16">
        <f t="shared" si="6"/>
        <v>0</v>
      </c>
      <c r="N67" s="16">
        <f t="shared" si="7"/>
        <v>0</v>
      </c>
      <c r="O67" s="16">
        <f t="shared" si="8"/>
        <v>0</v>
      </c>
      <c r="P67" s="16">
        <f t="shared" si="10"/>
        <v>0</v>
      </c>
      <c r="Q67" s="17">
        <f t="shared" si="9"/>
        <v>0</v>
      </c>
    </row>
    <row r="68" spans="8:17" ht="49" thickTop="1" thickBot="1" x14ac:dyDescent="0.6">
      <c r="H68" s="15" t="str">
        <f t="shared" si="1"/>
        <v>NA</v>
      </c>
      <c r="I68" s="16">
        <f t="shared" si="2"/>
        <v>0</v>
      </c>
      <c r="J68" s="16">
        <f t="shared" si="3"/>
        <v>0</v>
      </c>
      <c r="K68" s="16">
        <f t="shared" si="4"/>
        <v>0</v>
      </c>
      <c r="L68" s="16">
        <f t="shared" si="5"/>
        <v>0</v>
      </c>
      <c r="M68" s="16">
        <f t="shared" si="6"/>
        <v>0</v>
      </c>
      <c r="N68" s="16">
        <f t="shared" si="7"/>
        <v>0</v>
      </c>
      <c r="O68" s="16">
        <f t="shared" si="8"/>
        <v>0</v>
      </c>
      <c r="P68" s="16">
        <f t="shared" si="10"/>
        <v>0</v>
      </c>
      <c r="Q68" s="17">
        <f t="shared" si="9"/>
        <v>0</v>
      </c>
    </row>
    <row r="69" spans="8:17" ht="49" thickTop="1" thickBot="1" x14ac:dyDescent="0.6">
      <c r="H69" s="15" t="str">
        <f t="shared" si="1"/>
        <v>NA</v>
      </c>
      <c r="I69" s="16">
        <f t="shared" si="2"/>
        <v>0</v>
      </c>
      <c r="J69" s="16">
        <f t="shared" si="3"/>
        <v>0</v>
      </c>
      <c r="K69" s="16">
        <f t="shared" si="4"/>
        <v>0</v>
      </c>
      <c r="L69" s="16">
        <f t="shared" si="5"/>
        <v>0</v>
      </c>
      <c r="M69" s="16">
        <f t="shared" si="6"/>
        <v>0</v>
      </c>
      <c r="N69" s="16">
        <f t="shared" si="7"/>
        <v>0</v>
      </c>
      <c r="O69" s="16">
        <f t="shared" si="8"/>
        <v>0</v>
      </c>
      <c r="P69" s="16">
        <f t="shared" si="10"/>
        <v>0</v>
      </c>
      <c r="Q69" s="17">
        <f t="shared" si="9"/>
        <v>0</v>
      </c>
    </row>
    <row r="70" spans="8:17" ht="49" thickTop="1" thickBot="1" x14ac:dyDescent="0.6">
      <c r="H70" s="15" t="str">
        <f t="shared" si="1"/>
        <v>NA</v>
      </c>
      <c r="I70" s="16">
        <f t="shared" si="2"/>
        <v>0</v>
      </c>
      <c r="J70" s="16">
        <f t="shared" si="3"/>
        <v>0</v>
      </c>
      <c r="K70" s="16">
        <f t="shared" si="4"/>
        <v>0</v>
      </c>
      <c r="L70" s="16">
        <f t="shared" si="5"/>
        <v>0</v>
      </c>
      <c r="M70" s="16">
        <f t="shared" si="6"/>
        <v>0</v>
      </c>
      <c r="N70" s="16">
        <f t="shared" si="7"/>
        <v>0</v>
      </c>
      <c r="O70" s="16">
        <f t="shared" si="8"/>
        <v>0</v>
      </c>
      <c r="P70" s="16">
        <f t="shared" si="10"/>
        <v>0</v>
      </c>
      <c r="Q70" s="17">
        <f t="shared" si="9"/>
        <v>0</v>
      </c>
    </row>
    <row r="71" spans="8:17" ht="49" thickTop="1" thickBot="1" x14ac:dyDescent="0.6">
      <c r="H71" s="15" t="str">
        <f t="shared" si="1"/>
        <v>NA</v>
      </c>
      <c r="I71" s="16">
        <f t="shared" si="2"/>
        <v>0</v>
      </c>
      <c r="J71" s="16">
        <f t="shared" si="3"/>
        <v>0</v>
      </c>
      <c r="K71" s="16">
        <f t="shared" si="4"/>
        <v>0</v>
      </c>
      <c r="L71" s="16">
        <f t="shared" si="5"/>
        <v>0</v>
      </c>
      <c r="M71" s="16">
        <f t="shared" si="6"/>
        <v>0</v>
      </c>
      <c r="N71" s="16">
        <f t="shared" si="7"/>
        <v>0</v>
      </c>
      <c r="O71" s="16">
        <f t="shared" si="8"/>
        <v>0</v>
      </c>
      <c r="P71" s="16">
        <f t="shared" si="10"/>
        <v>0</v>
      </c>
      <c r="Q71" s="17">
        <f t="shared" si="9"/>
        <v>0</v>
      </c>
    </row>
    <row r="72" spans="8:17" ht="49" thickTop="1" thickBot="1" x14ac:dyDescent="0.6">
      <c r="H72" s="15" t="str">
        <f t="shared" si="1"/>
        <v>NA</v>
      </c>
      <c r="I72" s="16">
        <f t="shared" si="2"/>
        <v>0</v>
      </c>
      <c r="J72" s="16">
        <f t="shared" si="3"/>
        <v>0</v>
      </c>
      <c r="K72" s="16">
        <f t="shared" si="4"/>
        <v>0</v>
      </c>
      <c r="L72" s="16">
        <f t="shared" si="5"/>
        <v>0</v>
      </c>
      <c r="M72" s="16">
        <f t="shared" si="6"/>
        <v>0</v>
      </c>
      <c r="N72" s="16">
        <f t="shared" si="7"/>
        <v>0</v>
      </c>
      <c r="O72" s="16">
        <f t="shared" si="8"/>
        <v>0</v>
      </c>
      <c r="P72" s="16">
        <f t="shared" ref="P72:P95" si="11">IF(H72= "NA",0,P71*(1+$Q$5))</f>
        <v>0</v>
      </c>
      <c r="Q72" s="17">
        <f t="shared" si="9"/>
        <v>0</v>
      </c>
    </row>
    <row r="73" spans="8:17" ht="49" thickTop="1" thickBot="1" x14ac:dyDescent="0.6">
      <c r="H73" s="15" t="str">
        <f t="shared" ref="H73:H95" si="12">IF(H72&lt;$D$9,H72+1, "NA")</f>
        <v>NA</v>
      </c>
      <c r="I73" s="16">
        <f t="shared" ref="I73:I95" si="13">IF(H73= "NA",0,I72*(1+$I$5))</f>
        <v>0</v>
      </c>
      <c r="J73" s="16">
        <f t="shared" ref="J73:J95" si="14">IF(H73= "NA",0,J72*(1+$K$5))</f>
        <v>0</v>
      </c>
      <c r="K73" s="16">
        <f t="shared" ref="K73:K95" si="15">IF(H73= "NA",0,I73-J73)</f>
        <v>0</v>
      </c>
      <c r="L73" s="16">
        <f t="shared" ref="L73:L95" si="16">IF(H73= "NA",0,K73*$M$5)</f>
        <v>0</v>
      </c>
      <c r="M73" s="16">
        <f t="shared" ref="M73:M95" si="17">IF(H73= "NA",0,K73-L73)</f>
        <v>0</v>
      </c>
      <c r="N73" s="16">
        <f t="shared" ref="N73:N95" si="18">IF(H73= "NA",0,M73*$O$5)</f>
        <v>0</v>
      </c>
      <c r="O73" s="16">
        <f t="shared" ref="O73:O95" si="19">IF(H73= "NA",0,K73-N73)</f>
        <v>0</v>
      </c>
      <c r="P73" s="16">
        <f t="shared" si="11"/>
        <v>0</v>
      </c>
      <c r="Q73" s="17">
        <f t="shared" ref="Q73:Q95" si="20">IF(H73= "NA",0,(O73)/P73)</f>
        <v>0</v>
      </c>
    </row>
    <row r="74" spans="8:17" ht="49" thickTop="1" thickBot="1" x14ac:dyDescent="0.6">
      <c r="H74" s="15" t="str">
        <f t="shared" si="12"/>
        <v>NA</v>
      </c>
      <c r="I74" s="16">
        <f t="shared" si="13"/>
        <v>0</v>
      </c>
      <c r="J74" s="16">
        <f t="shared" si="14"/>
        <v>0</v>
      </c>
      <c r="K74" s="16">
        <f t="shared" si="15"/>
        <v>0</v>
      </c>
      <c r="L74" s="16">
        <f t="shared" si="16"/>
        <v>0</v>
      </c>
      <c r="M74" s="16">
        <f t="shared" si="17"/>
        <v>0</v>
      </c>
      <c r="N74" s="16">
        <f t="shared" si="18"/>
        <v>0</v>
      </c>
      <c r="O74" s="16">
        <f t="shared" si="19"/>
        <v>0</v>
      </c>
      <c r="P74" s="16">
        <f t="shared" si="11"/>
        <v>0</v>
      </c>
      <c r="Q74" s="17">
        <f t="shared" si="20"/>
        <v>0</v>
      </c>
    </row>
    <row r="75" spans="8:17" ht="49" thickTop="1" thickBot="1" x14ac:dyDescent="0.6">
      <c r="H75" s="15" t="str">
        <f t="shared" si="12"/>
        <v>NA</v>
      </c>
      <c r="I75" s="16">
        <f t="shared" si="13"/>
        <v>0</v>
      </c>
      <c r="J75" s="16">
        <f t="shared" si="14"/>
        <v>0</v>
      </c>
      <c r="K75" s="16">
        <f t="shared" si="15"/>
        <v>0</v>
      </c>
      <c r="L75" s="16">
        <f t="shared" si="16"/>
        <v>0</v>
      </c>
      <c r="M75" s="16">
        <f t="shared" si="17"/>
        <v>0</v>
      </c>
      <c r="N75" s="16">
        <f t="shared" si="18"/>
        <v>0</v>
      </c>
      <c r="O75" s="16">
        <f t="shared" si="19"/>
        <v>0</v>
      </c>
      <c r="P75" s="16">
        <f t="shared" si="11"/>
        <v>0</v>
      </c>
      <c r="Q75" s="17">
        <f t="shared" si="20"/>
        <v>0</v>
      </c>
    </row>
    <row r="76" spans="8:17" ht="49" thickTop="1" thickBot="1" x14ac:dyDescent="0.6">
      <c r="H76" s="15" t="str">
        <f t="shared" si="12"/>
        <v>NA</v>
      </c>
      <c r="I76" s="16">
        <f t="shared" si="13"/>
        <v>0</v>
      </c>
      <c r="J76" s="16">
        <f t="shared" si="14"/>
        <v>0</v>
      </c>
      <c r="K76" s="16">
        <f t="shared" si="15"/>
        <v>0</v>
      </c>
      <c r="L76" s="16">
        <f t="shared" si="16"/>
        <v>0</v>
      </c>
      <c r="M76" s="16">
        <f t="shared" si="17"/>
        <v>0</v>
      </c>
      <c r="N76" s="16">
        <f t="shared" si="18"/>
        <v>0</v>
      </c>
      <c r="O76" s="16">
        <f t="shared" si="19"/>
        <v>0</v>
      </c>
      <c r="P76" s="16">
        <f t="shared" si="11"/>
        <v>0</v>
      </c>
      <c r="Q76" s="17">
        <f t="shared" si="20"/>
        <v>0</v>
      </c>
    </row>
    <row r="77" spans="8:17" ht="49" thickTop="1" thickBot="1" x14ac:dyDescent="0.6">
      <c r="H77" s="15" t="str">
        <f t="shared" si="12"/>
        <v>NA</v>
      </c>
      <c r="I77" s="16">
        <f t="shared" si="13"/>
        <v>0</v>
      </c>
      <c r="J77" s="16">
        <f t="shared" si="14"/>
        <v>0</v>
      </c>
      <c r="K77" s="16">
        <f t="shared" si="15"/>
        <v>0</v>
      </c>
      <c r="L77" s="16">
        <f t="shared" si="16"/>
        <v>0</v>
      </c>
      <c r="M77" s="16">
        <f t="shared" si="17"/>
        <v>0</v>
      </c>
      <c r="N77" s="16">
        <f t="shared" si="18"/>
        <v>0</v>
      </c>
      <c r="O77" s="16">
        <f t="shared" si="19"/>
        <v>0</v>
      </c>
      <c r="P77" s="16">
        <f t="shared" si="11"/>
        <v>0</v>
      </c>
      <c r="Q77" s="17">
        <f t="shared" si="20"/>
        <v>0</v>
      </c>
    </row>
    <row r="78" spans="8:17" ht="49" thickTop="1" thickBot="1" x14ac:dyDescent="0.6">
      <c r="H78" s="15" t="str">
        <f t="shared" si="12"/>
        <v>NA</v>
      </c>
      <c r="I78" s="16">
        <f t="shared" si="13"/>
        <v>0</v>
      </c>
      <c r="J78" s="16">
        <f t="shared" si="14"/>
        <v>0</v>
      </c>
      <c r="K78" s="16">
        <f t="shared" si="15"/>
        <v>0</v>
      </c>
      <c r="L78" s="16">
        <f t="shared" si="16"/>
        <v>0</v>
      </c>
      <c r="M78" s="16">
        <f t="shared" si="17"/>
        <v>0</v>
      </c>
      <c r="N78" s="16">
        <f t="shared" si="18"/>
        <v>0</v>
      </c>
      <c r="O78" s="16">
        <f t="shared" si="19"/>
        <v>0</v>
      </c>
      <c r="P78" s="16">
        <f t="shared" si="11"/>
        <v>0</v>
      </c>
      <c r="Q78" s="17">
        <f t="shared" si="20"/>
        <v>0</v>
      </c>
    </row>
    <row r="79" spans="8:17" ht="49" thickTop="1" thickBot="1" x14ac:dyDescent="0.6">
      <c r="H79" s="15" t="str">
        <f t="shared" si="12"/>
        <v>NA</v>
      </c>
      <c r="I79" s="16">
        <f t="shared" si="13"/>
        <v>0</v>
      </c>
      <c r="J79" s="16">
        <f t="shared" si="14"/>
        <v>0</v>
      </c>
      <c r="K79" s="16">
        <f t="shared" si="15"/>
        <v>0</v>
      </c>
      <c r="L79" s="16">
        <f t="shared" si="16"/>
        <v>0</v>
      </c>
      <c r="M79" s="16">
        <f t="shared" si="17"/>
        <v>0</v>
      </c>
      <c r="N79" s="16">
        <f t="shared" si="18"/>
        <v>0</v>
      </c>
      <c r="O79" s="16">
        <f t="shared" si="19"/>
        <v>0</v>
      </c>
      <c r="P79" s="16">
        <f t="shared" si="11"/>
        <v>0</v>
      </c>
      <c r="Q79" s="17">
        <f t="shared" si="20"/>
        <v>0</v>
      </c>
    </row>
    <row r="80" spans="8:17" ht="49" thickTop="1" thickBot="1" x14ac:dyDescent="0.6">
      <c r="H80" s="15" t="str">
        <f t="shared" si="12"/>
        <v>NA</v>
      </c>
      <c r="I80" s="16">
        <f t="shared" si="13"/>
        <v>0</v>
      </c>
      <c r="J80" s="16">
        <f t="shared" si="14"/>
        <v>0</v>
      </c>
      <c r="K80" s="16">
        <f t="shared" si="15"/>
        <v>0</v>
      </c>
      <c r="L80" s="16">
        <f t="shared" si="16"/>
        <v>0</v>
      </c>
      <c r="M80" s="16">
        <f t="shared" si="17"/>
        <v>0</v>
      </c>
      <c r="N80" s="16">
        <f t="shared" si="18"/>
        <v>0</v>
      </c>
      <c r="O80" s="16">
        <f t="shared" si="19"/>
        <v>0</v>
      </c>
      <c r="P80" s="16">
        <f t="shared" si="11"/>
        <v>0</v>
      </c>
      <c r="Q80" s="17">
        <f t="shared" si="20"/>
        <v>0</v>
      </c>
    </row>
    <row r="81" spans="8:17" ht="49" thickTop="1" thickBot="1" x14ac:dyDescent="0.6">
      <c r="H81" s="15" t="str">
        <f t="shared" si="12"/>
        <v>NA</v>
      </c>
      <c r="I81" s="16">
        <f t="shared" si="13"/>
        <v>0</v>
      </c>
      <c r="J81" s="16">
        <f t="shared" si="14"/>
        <v>0</v>
      </c>
      <c r="K81" s="16">
        <f t="shared" si="15"/>
        <v>0</v>
      </c>
      <c r="L81" s="16">
        <f t="shared" si="16"/>
        <v>0</v>
      </c>
      <c r="M81" s="16">
        <f t="shared" si="17"/>
        <v>0</v>
      </c>
      <c r="N81" s="16">
        <f t="shared" si="18"/>
        <v>0</v>
      </c>
      <c r="O81" s="16">
        <f t="shared" si="19"/>
        <v>0</v>
      </c>
      <c r="P81" s="16">
        <f t="shared" si="11"/>
        <v>0</v>
      </c>
      <c r="Q81" s="17">
        <f t="shared" si="20"/>
        <v>0</v>
      </c>
    </row>
    <row r="82" spans="8:17" ht="49" thickTop="1" thickBot="1" x14ac:dyDescent="0.6">
      <c r="H82" s="15" t="str">
        <f t="shared" si="12"/>
        <v>NA</v>
      </c>
      <c r="I82" s="16">
        <f t="shared" si="13"/>
        <v>0</v>
      </c>
      <c r="J82" s="16">
        <f t="shared" si="14"/>
        <v>0</v>
      </c>
      <c r="K82" s="16">
        <f t="shared" si="15"/>
        <v>0</v>
      </c>
      <c r="L82" s="16">
        <f t="shared" si="16"/>
        <v>0</v>
      </c>
      <c r="M82" s="16">
        <f t="shared" si="17"/>
        <v>0</v>
      </c>
      <c r="N82" s="16">
        <f t="shared" si="18"/>
        <v>0</v>
      </c>
      <c r="O82" s="16">
        <f t="shared" si="19"/>
        <v>0</v>
      </c>
      <c r="P82" s="16">
        <f t="shared" si="11"/>
        <v>0</v>
      </c>
      <c r="Q82" s="17">
        <f t="shared" si="20"/>
        <v>0</v>
      </c>
    </row>
    <row r="83" spans="8:17" ht="49" thickTop="1" thickBot="1" x14ac:dyDescent="0.6">
      <c r="H83" s="15" t="str">
        <f t="shared" si="12"/>
        <v>NA</v>
      </c>
      <c r="I83" s="16">
        <f t="shared" si="13"/>
        <v>0</v>
      </c>
      <c r="J83" s="16">
        <f t="shared" si="14"/>
        <v>0</v>
      </c>
      <c r="K83" s="16">
        <f t="shared" si="15"/>
        <v>0</v>
      </c>
      <c r="L83" s="16">
        <f t="shared" si="16"/>
        <v>0</v>
      </c>
      <c r="M83" s="16">
        <f t="shared" si="17"/>
        <v>0</v>
      </c>
      <c r="N83" s="16">
        <f t="shared" si="18"/>
        <v>0</v>
      </c>
      <c r="O83" s="16">
        <f t="shared" si="19"/>
        <v>0</v>
      </c>
      <c r="P83" s="16">
        <f t="shared" si="11"/>
        <v>0</v>
      </c>
      <c r="Q83" s="17">
        <f t="shared" si="20"/>
        <v>0</v>
      </c>
    </row>
    <row r="84" spans="8:17" ht="49" thickTop="1" thickBot="1" x14ac:dyDescent="0.6">
      <c r="H84" s="15" t="str">
        <f t="shared" si="12"/>
        <v>NA</v>
      </c>
      <c r="I84" s="16">
        <f t="shared" si="13"/>
        <v>0</v>
      </c>
      <c r="J84" s="16">
        <f t="shared" si="14"/>
        <v>0</v>
      </c>
      <c r="K84" s="16">
        <f t="shared" si="15"/>
        <v>0</v>
      </c>
      <c r="L84" s="16">
        <f t="shared" si="16"/>
        <v>0</v>
      </c>
      <c r="M84" s="16">
        <f t="shared" si="17"/>
        <v>0</v>
      </c>
      <c r="N84" s="16">
        <f t="shared" si="18"/>
        <v>0</v>
      </c>
      <c r="O84" s="16">
        <f t="shared" si="19"/>
        <v>0</v>
      </c>
      <c r="P84" s="16">
        <f t="shared" si="11"/>
        <v>0</v>
      </c>
      <c r="Q84" s="17">
        <f t="shared" si="20"/>
        <v>0</v>
      </c>
    </row>
    <row r="85" spans="8:17" ht="49" thickTop="1" thickBot="1" x14ac:dyDescent="0.6">
      <c r="H85" s="15" t="str">
        <f t="shared" si="12"/>
        <v>NA</v>
      </c>
      <c r="I85" s="16">
        <f t="shared" si="13"/>
        <v>0</v>
      </c>
      <c r="J85" s="16">
        <f t="shared" si="14"/>
        <v>0</v>
      </c>
      <c r="K85" s="16">
        <f t="shared" si="15"/>
        <v>0</v>
      </c>
      <c r="L85" s="16">
        <f t="shared" si="16"/>
        <v>0</v>
      </c>
      <c r="M85" s="16">
        <f t="shared" si="17"/>
        <v>0</v>
      </c>
      <c r="N85" s="16">
        <f t="shared" si="18"/>
        <v>0</v>
      </c>
      <c r="O85" s="16">
        <f t="shared" si="19"/>
        <v>0</v>
      </c>
      <c r="P85" s="16">
        <f t="shared" si="11"/>
        <v>0</v>
      </c>
      <c r="Q85" s="17">
        <f t="shared" si="20"/>
        <v>0</v>
      </c>
    </row>
    <row r="86" spans="8:17" ht="49" thickTop="1" thickBot="1" x14ac:dyDescent="0.6">
      <c r="H86" s="15" t="str">
        <f t="shared" si="12"/>
        <v>NA</v>
      </c>
      <c r="I86" s="16">
        <f t="shared" si="13"/>
        <v>0</v>
      </c>
      <c r="J86" s="16">
        <f t="shared" si="14"/>
        <v>0</v>
      </c>
      <c r="K86" s="16">
        <f t="shared" si="15"/>
        <v>0</v>
      </c>
      <c r="L86" s="16">
        <f t="shared" si="16"/>
        <v>0</v>
      </c>
      <c r="M86" s="16">
        <f t="shared" si="17"/>
        <v>0</v>
      </c>
      <c r="N86" s="16">
        <f t="shared" si="18"/>
        <v>0</v>
      </c>
      <c r="O86" s="16">
        <f t="shared" si="19"/>
        <v>0</v>
      </c>
      <c r="P86" s="16">
        <f t="shared" si="11"/>
        <v>0</v>
      </c>
      <c r="Q86" s="17">
        <f t="shared" si="20"/>
        <v>0</v>
      </c>
    </row>
    <row r="87" spans="8:17" ht="49" thickTop="1" thickBot="1" x14ac:dyDescent="0.6">
      <c r="H87" s="15" t="str">
        <f t="shared" si="12"/>
        <v>NA</v>
      </c>
      <c r="I87" s="16">
        <f t="shared" si="13"/>
        <v>0</v>
      </c>
      <c r="J87" s="16">
        <f t="shared" si="14"/>
        <v>0</v>
      </c>
      <c r="K87" s="16">
        <f t="shared" si="15"/>
        <v>0</v>
      </c>
      <c r="L87" s="16">
        <f t="shared" si="16"/>
        <v>0</v>
      </c>
      <c r="M87" s="16">
        <f t="shared" si="17"/>
        <v>0</v>
      </c>
      <c r="N87" s="16">
        <f t="shared" si="18"/>
        <v>0</v>
      </c>
      <c r="O87" s="16">
        <f t="shared" si="19"/>
        <v>0</v>
      </c>
      <c r="P87" s="16">
        <f t="shared" si="11"/>
        <v>0</v>
      </c>
      <c r="Q87" s="17">
        <f t="shared" si="20"/>
        <v>0</v>
      </c>
    </row>
    <row r="88" spans="8:17" ht="49" thickTop="1" thickBot="1" x14ac:dyDescent="0.6">
      <c r="H88" s="15" t="str">
        <f t="shared" si="12"/>
        <v>NA</v>
      </c>
      <c r="I88" s="16">
        <f t="shared" si="13"/>
        <v>0</v>
      </c>
      <c r="J88" s="16">
        <f t="shared" si="14"/>
        <v>0</v>
      </c>
      <c r="K88" s="16">
        <f t="shared" si="15"/>
        <v>0</v>
      </c>
      <c r="L88" s="16">
        <f t="shared" si="16"/>
        <v>0</v>
      </c>
      <c r="M88" s="16">
        <f t="shared" si="17"/>
        <v>0</v>
      </c>
      <c r="N88" s="16">
        <f t="shared" si="18"/>
        <v>0</v>
      </c>
      <c r="O88" s="16">
        <f t="shared" si="19"/>
        <v>0</v>
      </c>
      <c r="P88" s="16">
        <f t="shared" si="11"/>
        <v>0</v>
      </c>
      <c r="Q88" s="17">
        <f t="shared" si="20"/>
        <v>0</v>
      </c>
    </row>
    <row r="89" spans="8:17" ht="49" thickTop="1" thickBot="1" x14ac:dyDescent="0.6">
      <c r="H89" s="15" t="str">
        <f t="shared" si="12"/>
        <v>NA</v>
      </c>
      <c r="I89" s="16">
        <f t="shared" si="13"/>
        <v>0</v>
      </c>
      <c r="J89" s="16">
        <f t="shared" si="14"/>
        <v>0</v>
      </c>
      <c r="K89" s="16">
        <f t="shared" si="15"/>
        <v>0</v>
      </c>
      <c r="L89" s="16">
        <f t="shared" si="16"/>
        <v>0</v>
      </c>
      <c r="M89" s="16">
        <f t="shared" si="17"/>
        <v>0</v>
      </c>
      <c r="N89" s="16">
        <f t="shared" si="18"/>
        <v>0</v>
      </c>
      <c r="O89" s="16">
        <f t="shared" si="19"/>
        <v>0</v>
      </c>
      <c r="P89" s="16">
        <f t="shared" si="11"/>
        <v>0</v>
      </c>
      <c r="Q89" s="17">
        <f t="shared" si="20"/>
        <v>0</v>
      </c>
    </row>
    <row r="90" spans="8:17" ht="49" thickTop="1" thickBot="1" x14ac:dyDescent="0.6">
      <c r="H90" s="15" t="str">
        <f t="shared" si="12"/>
        <v>NA</v>
      </c>
      <c r="I90" s="16">
        <f t="shared" si="13"/>
        <v>0</v>
      </c>
      <c r="J90" s="16">
        <f t="shared" si="14"/>
        <v>0</v>
      </c>
      <c r="K90" s="16">
        <f t="shared" si="15"/>
        <v>0</v>
      </c>
      <c r="L90" s="16">
        <f t="shared" si="16"/>
        <v>0</v>
      </c>
      <c r="M90" s="16">
        <f t="shared" si="17"/>
        <v>0</v>
      </c>
      <c r="N90" s="16">
        <f t="shared" si="18"/>
        <v>0</v>
      </c>
      <c r="O90" s="16">
        <f t="shared" si="19"/>
        <v>0</v>
      </c>
      <c r="P90" s="16">
        <f t="shared" si="11"/>
        <v>0</v>
      </c>
      <c r="Q90" s="17">
        <f t="shared" si="20"/>
        <v>0</v>
      </c>
    </row>
    <row r="91" spans="8:17" ht="49" thickTop="1" thickBot="1" x14ac:dyDescent="0.6">
      <c r="H91" s="15" t="str">
        <f t="shared" si="12"/>
        <v>NA</v>
      </c>
      <c r="I91" s="16">
        <f t="shared" si="13"/>
        <v>0</v>
      </c>
      <c r="J91" s="16">
        <f t="shared" si="14"/>
        <v>0</v>
      </c>
      <c r="K91" s="16">
        <f t="shared" si="15"/>
        <v>0</v>
      </c>
      <c r="L91" s="16">
        <f t="shared" si="16"/>
        <v>0</v>
      </c>
      <c r="M91" s="16">
        <f t="shared" si="17"/>
        <v>0</v>
      </c>
      <c r="N91" s="16">
        <f t="shared" si="18"/>
        <v>0</v>
      </c>
      <c r="O91" s="16">
        <f t="shared" si="19"/>
        <v>0</v>
      </c>
      <c r="P91" s="16">
        <f t="shared" si="11"/>
        <v>0</v>
      </c>
      <c r="Q91" s="17">
        <f t="shared" si="20"/>
        <v>0</v>
      </c>
    </row>
    <row r="92" spans="8:17" ht="49" thickTop="1" thickBot="1" x14ac:dyDescent="0.6">
      <c r="H92" s="15" t="str">
        <f t="shared" si="12"/>
        <v>NA</v>
      </c>
      <c r="I92" s="16">
        <f t="shared" si="13"/>
        <v>0</v>
      </c>
      <c r="J92" s="16">
        <f t="shared" si="14"/>
        <v>0</v>
      </c>
      <c r="K92" s="16">
        <f t="shared" si="15"/>
        <v>0</v>
      </c>
      <c r="L92" s="16">
        <f t="shared" si="16"/>
        <v>0</v>
      </c>
      <c r="M92" s="16">
        <f t="shared" si="17"/>
        <v>0</v>
      </c>
      <c r="N92" s="16">
        <f t="shared" si="18"/>
        <v>0</v>
      </c>
      <c r="O92" s="16">
        <f t="shared" si="19"/>
        <v>0</v>
      </c>
      <c r="P92" s="16">
        <f t="shared" si="11"/>
        <v>0</v>
      </c>
      <c r="Q92" s="17">
        <f t="shared" si="20"/>
        <v>0</v>
      </c>
    </row>
    <row r="93" spans="8:17" ht="49" thickTop="1" thickBot="1" x14ac:dyDescent="0.6">
      <c r="H93" s="15" t="str">
        <f t="shared" si="12"/>
        <v>NA</v>
      </c>
      <c r="I93" s="16">
        <f t="shared" si="13"/>
        <v>0</v>
      </c>
      <c r="J93" s="16">
        <f t="shared" si="14"/>
        <v>0</v>
      </c>
      <c r="K93" s="16">
        <f t="shared" si="15"/>
        <v>0</v>
      </c>
      <c r="L93" s="16">
        <f t="shared" si="16"/>
        <v>0</v>
      </c>
      <c r="M93" s="16">
        <f t="shared" si="17"/>
        <v>0</v>
      </c>
      <c r="N93" s="16">
        <f t="shared" si="18"/>
        <v>0</v>
      </c>
      <c r="O93" s="16">
        <f t="shared" si="19"/>
        <v>0</v>
      </c>
      <c r="P93" s="16">
        <f t="shared" si="11"/>
        <v>0</v>
      </c>
      <c r="Q93" s="17">
        <f t="shared" si="20"/>
        <v>0</v>
      </c>
    </row>
    <row r="94" spans="8:17" ht="49" thickTop="1" thickBot="1" x14ac:dyDescent="0.6">
      <c r="H94" s="15" t="str">
        <f t="shared" si="12"/>
        <v>NA</v>
      </c>
      <c r="I94" s="16">
        <f t="shared" si="13"/>
        <v>0</v>
      </c>
      <c r="J94" s="16">
        <f t="shared" si="14"/>
        <v>0</v>
      </c>
      <c r="K94" s="16">
        <f t="shared" si="15"/>
        <v>0</v>
      </c>
      <c r="L94" s="16">
        <f t="shared" si="16"/>
        <v>0</v>
      </c>
      <c r="M94" s="16">
        <f t="shared" si="17"/>
        <v>0</v>
      </c>
      <c r="N94" s="16">
        <f t="shared" si="18"/>
        <v>0</v>
      </c>
      <c r="O94" s="16">
        <f t="shared" si="19"/>
        <v>0</v>
      </c>
      <c r="P94" s="16">
        <f t="shared" si="11"/>
        <v>0</v>
      </c>
      <c r="Q94" s="17">
        <f t="shared" si="20"/>
        <v>0</v>
      </c>
    </row>
    <row r="95" spans="8:17" ht="49" thickTop="1" thickBot="1" x14ac:dyDescent="0.6">
      <c r="H95" s="15" t="str">
        <f t="shared" si="12"/>
        <v>NA</v>
      </c>
      <c r="I95" s="16">
        <f t="shared" si="13"/>
        <v>0</v>
      </c>
      <c r="J95" s="16">
        <f t="shared" si="14"/>
        <v>0</v>
      </c>
      <c r="K95" s="16">
        <f t="shared" si="15"/>
        <v>0</v>
      </c>
      <c r="L95" s="16">
        <f t="shared" si="16"/>
        <v>0</v>
      </c>
      <c r="M95" s="16">
        <f t="shared" si="17"/>
        <v>0</v>
      </c>
      <c r="N95" s="16">
        <f t="shared" si="18"/>
        <v>0</v>
      </c>
      <c r="O95" s="16">
        <f t="shared" si="19"/>
        <v>0</v>
      </c>
      <c r="P95" s="16">
        <f t="shared" si="11"/>
        <v>0</v>
      </c>
      <c r="Q95" s="17">
        <f t="shared" si="20"/>
        <v>0</v>
      </c>
    </row>
    <row r="96" spans="8:17" ht="48" thickTop="1" x14ac:dyDescent="0.55000000000000004"/>
  </sheetData>
  <sheetProtection algorithmName="SHA-512" hashValue="qz40suIa4yAMYYTDrsbFiI7gcmxUvzNcmGuSks12AJpbjdiXGhS4/nXnYCPXBS6DyYl+R8OKHWppKFga1Pfykg==" saltValue="vHdJqFfQ6pHZ6jE3C30X2w==" spinCount="100000" sheet="1" objects="1" scenarios="1"/>
  <mergeCells count="8">
    <mergeCell ref="D42:E42"/>
    <mergeCell ref="C5:D5"/>
    <mergeCell ref="D37:E37"/>
    <mergeCell ref="D38:E38"/>
    <mergeCell ref="D39:E39"/>
    <mergeCell ref="D40:E40"/>
    <mergeCell ref="C36:E36"/>
    <mergeCell ref="D41:E41"/>
  </mergeCells>
  <hyperlinks>
    <hyperlink ref="D38" r:id="rId1" xr:uid="{F759B8F3-40A4-FE4B-8349-26154B782E08}"/>
    <hyperlink ref="D37" r:id="rId2" xr:uid="{237C72FE-5E52-284B-B698-16DF6BE48E63}"/>
    <hyperlink ref="D39" r:id="rId3" xr:uid="{5BDF7D57-6DE0-9E47-B4D3-4FB8B18C1B86}"/>
    <hyperlink ref="D40" r:id="rId4" xr:uid="{4CB8A7A8-3247-1541-AF2A-22418EA46652}"/>
    <hyperlink ref="D41" r:id="rId5" xr:uid="{DF7E05BD-9A34-9B4F-B59D-911969F6EB36}"/>
    <hyperlink ref="D42" r:id="rId6" xr:uid="{591E1D8B-E236-AC4D-BD5B-AFD9CE80E3AA}"/>
  </hyperlinks>
  <pageMargins left="0.7" right="0.7" top="0.75" bottom="0.75" header="0.3" footer="0.3"/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PROPERTY WITOUT LOAN</vt:lpstr>
      <vt:lpstr>PROPERTY WITH LOAN</vt:lpstr>
      <vt:lpstr>COMMERCIAL BUILDING</vt:lpstr>
      <vt:lpstr>NO FreeHold COMMERCIAL BUILDING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Raise Basha Naik</dc:creator>
  <cp:lastModifiedBy>Raise Basha Naik</cp:lastModifiedBy>
  <dcterms:created xsi:type="dcterms:W3CDTF">2025-03-27T10:32:47Z</dcterms:created>
  <dcterms:modified xsi:type="dcterms:W3CDTF">2025-04-12T05:44:31Z</dcterms:modified>
</cp:coreProperties>
</file>