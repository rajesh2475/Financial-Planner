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sebashanaik/Desktop/"/>
    </mc:Choice>
  </mc:AlternateContent>
  <xr:revisionPtr revIDLastSave="0" documentId="13_ncr:1_{CB73CBE6-A1FC-604A-8B46-4836CBBBBF0B}" xr6:coauthVersionLast="47" xr6:coauthVersionMax="47" xr10:uidLastSave="{00000000-0000-0000-0000-000000000000}"/>
  <bookViews>
    <workbookView xWindow="260" yWindow="760" windowWidth="32060" windowHeight="19340" xr2:uid="{09C0A334-60B2-4B4D-9F6F-4E2E92121E47}"/>
  </bookViews>
  <sheets>
    <sheet name="Sheet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5" l="1"/>
  <c r="E12" i="5" s="1"/>
  <c r="E29" i="5"/>
  <c r="E30" i="5" l="1"/>
  <c r="E31" i="5" s="1"/>
  <c r="E32" i="5" l="1"/>
  <c r="E33" i="5" s="1"/>
  <c r="E35" i="5" s="1"/>
</calcChain>
</file>

<file path=xl/sharedStrings.xml><?xml version="1.0" encoding="utf-8"?>
<sst xmlns="http://schemas.openxmlformats.org/spreadsheetml/2006/main" count="44" uniqueCount="39">
  <si>
    <t>EMI</t>
  </si>
  <si>
    <t>INTEREST RATE</t>
  </si>
  <si>
    <t>Additional Charge</t>
  </si>
  <si>
    <t>MODT</t>
  </si>
  <si>
    <t>0.5% or 50000</t>
  </si>
  <si>
    <t>Loan Transfer</t>
  </si>
  <si>
    <t>Processing Fees</t>
  </si>
  <si>
    <t>10000+GST</t>
  </si>
  <si>
    <t>5000+GST</t>
  </si>
  <si>
    <t>which ever is lower</t>
  </si>
  <si>
    <t>TopUp Loan</t>
  </si>
  <si>
    <t>ADDITIONAL CHARGES</t>
  </si>
  <si>
    <t>TENURE LEFT IN MONTHS</t>
  </si>
  <si>
    <t>TOTAL CHARGES</t>
  </si>
  <si>
    <t>TOTAL LOAN AMOUNT</t>
  </si>
  <si>
    <t>INTEREST RATE OFFERED</t>
  </si>
  <si>
    <t>EXPECTED EMI</t>
  </si>
  <si>
    <t>PROCESSING FEES</t>
  </si>
  <si>
    <t>NEW LOAN EMI CALCULATION</t>
  </si>
  <si>
    <t>TRANSFERRED LOAN</t>
  </si>
  <si>
    <t>CURRENT LOAN</t>
  </si>
  <si>
    <t>LOAN OUTSTANDING</t>
  </si>
  <si>
    <t>THE LOAN TRANSFER OFFER</t>
  </si>
  <si>
    <t>TOTAL MONEY PAID TO THE BANK</t>
  </si>
  <si>
    <t>THE BENEFIT DUE TO TRANSFER OF LOAN</t>
  </si>
  <si>
    <t>0.1% TO 0.5% OR MAX 50000</t>
  </si>
  <si>
    <t>TO SUPPORT YOUR CHANNEL OPEN DEMAT ACCOUNT BY USING THE LINKS BELOW</t>
  </si>
  <si>
    <t>FYERS</t>
  </si>
  <si>
    <t>https://bit.ly/3JZwgyc</t>
  </si>
  <si>
    <t>UPSTOX</t>
  </si>
  <si>
    <t>https://tinyurl.com/y8sbw9w8</t>
  </si>
  <si>
    <t>ZERODHA</t>
  </si>
  <si>
    <t>https://zerodha.com/open-account?c=ZMPVNW</t>
  </si>
  <si>
    <t>ANGEL</t>
  </si>
  <si>
    <t>https://angel-one.onelink.me/Wjgr/8vxyj8iq</t>
  </si>
  <si>
    <t>https://tinyurl.com/4xtsdbbd</t>
  </si>
  <si>
    <t>https://tinyurl.com/3xt9k3uj</t>
  </si>
  <si>
    <t>Compare Term Insurance here</t>
  </si>
  <si>
    <t>Compare Health Insurance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</si>
</sst>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#,##0.00_);[Red]\(&quot;₹&quot;#,##0.00\)"/>
    <numFmt numFmtId="164" formatCode="&quot;₹&quot;#,##0.00"/>
  </numFmts>
  <fonts count="11" x14ac:knownFonts="1">
    <font>
      <sz val="12"/>
      <color theme="1"/>
      <name val="Aptos Narrow"/>
      <family val="2"/>
      <scheme val="minor"/>
    </font>
    <font>
      <b/>
      <sz val="36"/>
      <color theme="1"/>
      <name val="Aptos Narrow"/>
      <scheme val="minor"/>
    </font>
    <font>
      <sz val="3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u/>
      <sz val="36"/>
      <color theme="10"/>
      <name val="Aptos Narrow"/>
      <family val="2"/>
      <scheme val="minor"/>
    </font>
    <font>
      <sz val="36"/>
      <color rgb="FF0D0D0D"/>
      <name val="Arial"/>
      <family val="2"/>
    </font>
    <font>
      <u/>
      <sz val="32"/>
      <color theme="10"/>
      <name val="Aptos Narrow"/>
      <family val="2"/>
      <scheme val="minor"/>
    </font>
    <font>
      <sz val="32"/>
      <color rgb="FF0D0D0D"/>
      <name val="Arial"/>
      <family val="2"/>
    </font>
    <font>
      <b/>
      <sz val="36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rgb="FFB1C29E"/>
        <bgColor indexed="64"/>
      </patternFill>
    </fill>
    <fill>
      <patternFill patternType="solid">
        <fgColor rgb="FFFDE9C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5" fillId="4" borderId="1" xfId="0" applyFont="1" applyFill="1" applyBorder="1" applyProtection="1">
      <protection hidden="1"/>
    </xf>
    <xf numFmtId="0" fontId="6" fillId="0" borderId="1" xfId="2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5" fillId="0" borderId="1" xfId="0" applyFont="1" applyBorder="1" applyProtection="1">
      <protection hidden="1"/>
    </xf>
    <xf numFmtId="0" fontId="8" fillId="0" borderId="1" xfId="2" applyFont="1" applyBorder="1" applyAlignment="1" applyProtection="1">
      <alignment horizontal="center"/>
      <protection hidden="1"/>
    </xf>
    <xf numFmtId="0" fontId="9" fillId="0" borderId="1" xfId="0" applyFont="1" applyBorder="1" applyAlignment="1" applyProtection="1">
      <alignment horizontal="center"/>
      <protection hidden="1"/>
    </xf>
    <xf numFmtId="0" fontId="5" fillId="4" borderId="4" xfId="0" applyFont="1" applyFill="1" applyBorder="1" applyProtection="1">
      <protection hidden="1"/>
    </xf>
    <xf numFmtId="0" fontId="6" fillId="0" borderId="4" xfId="2" applyFont="1" applyBorder="1" applyAlignment="1" applyProtection="1">
      <alignment horizontal="center"/>
      <protection hidden="1"/>
    </xf>
    <xf numFmtId="0" fontId="7" fillId="0" borderId="4" xfId="0" applyFont="1" applyBorder="1" applyAlignment="1" applyProtection="1">
      <alignment horizontal="center"/>
      <protection hidden="1"/>
    </xf>
    <xf numFmtId="0" fontId="1" fillId="2" borderId="1" xfId="0" applyFont="1" applyFill="1" applyBorder="1" applyAlignment="1" applyProtection="1">
      <alignment horizontal="center"/>
      <protection hidden="1"/>
    </xf>
    <xf numFmtId="0" fontId="2" fillId="0" borderId="0" xfId="0" applyFont="1" applyProtection="1">
      <protection hidden="1"/>
    </xf>
    <xf numFmtId="0" fontId="1" fillId="2" borderId="2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1" fillId="2" borderId="1" xfId="0" applyFont="1" applyFill="1" applyBorder="1" applyProtection="1">
      <protection hidden="1"/>
    </xf>
    <xf numFmtId="164" fontId="2" fillId="0" borderId="0" xfId="0" applyNumberFormat="1" applyFont="1" applyProtection="1">
      <protection hidden="1"/>
    </xf>
    <xf numFmtId="164" fontId="1" fillId="0" borderId="1" xfId="0" applyNumberFormat="1" applyFont="1" applyFill="1" applyBorder="1" applyProtection="1">
      <protection hidden="1"/>
    </xf>
    <xf numFmtId="10" fontId="2" fillId="0" borderId="0" xfId="0" applyNumberFormat="1" applyFont="1" applyProtection="1">
      <protection hidden="1"/>
    </xf>
    <xf numFmtId="164" fontId="1" fillId="0" borderId="1" xfId="0" applyNumberFormat="1" applyFont="1" applyBorder="1" applyProtection="1">
      <protection hidden="1"/>
    </xf>
    <xf numFmtId="0" fontId="2" fillId="2" borderId="2" xfId="0" applyFont="1" applyFill="1" applyBorder="1" applyAlignment="1" applyProtection="1">
      <alignment horizontal="center"/>
      <protection hidden="1"/>
    </xf>
    <xf numFmtId="0" fontId="2" fillId="2" borderId="3" xfId="0" applyFont="1" applyFill="1" applyBorder="1" applyAlignment="1" applyProtection="1">
      <alignment horizontal="center"/>
      <protection hidden="1"/>
    </xf>
    <xf numFmtId="0" fontId="2" fillId="2" borderId="1" xfId="0" applyFont="1" applyFill="1" applyBorder="1" applyProtection="1">
      <protection hidden="1"/>
    </xf>
    <xf numFmtId="8" fontId="2" fillId="0" borderId="0" xfId="0" applyNumberFormat="1" applyFont="1" applyProtection="1">
      <protection hidden="1"/>
    </xf>
    <xf numFmtId="0" fontId="10" fillId="0" borderId="1" xfId="0" applyFont="1" applyBorder="1" applyProtection="1">
      <protection hidden="1"/>
    </xf>
    <xf numFmtId="8" fontId="1" fillId="0" borderId="1" xfId="0" applyNumberFormat="1" applyFont="1" applyBorder="1" applyProtection="1">
      <protection hidden="1"/>
    </xf>
    <xf numFmtId="0" fontId="1" fillId="0" borderId="0" xfId="0" applyFont="1" applyProtection="1">
      <protection hidden="1"/>
    </xf>
    <xf numFmtId="164" fontId="1" fillId="3" borderId="1" xfId="0" applyNumberFormat="1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10" fontId="1" fillId="3" borderId="1" xfId="0" applyNumberFormat="1" applyFont="1" applyFill="1" applyBorder="1" applyProtection="1">
      <protection locked="0"/>
    </xf>
    <xf numFmtId="164" fontId="2" fillId="3" borderId="1" xfId="0" applyNumberFormat="1" applyFont="1" applyFill="1" applyBorder="1" applyProtection="1">
      <protection locked="0"/>
    </xf>
    <xf numFmtId="10" fontId="2" fillId="3" borderId="1" xfId="1" applyNumberFormat="1" applyFont="1" applyFill="1" applyBorder="1" applyProtection="1">
      <protection locked="0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B1C29E"/>
      <color rgb="FFFDE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5653548</xdr:colOff>
      <xdr:row>2</xdr:row>
      <xdr:rowOff>40967</xdr:rowOff>
    </xdr:from>
    <xdr:to>
      <xdr:col>4</xdr:col>
      <xdr:colOff>1022802</xdr:colOff>
      <xdr:row>5</xdr:row>
      <xdr:rowOff>368709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87C46B-882C-A443-8366-7D33F7EB3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11613" y="1229032"/>
          <a:ext cx="3398931" cy="21098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zerodha.com/open-account?c=ZMPVNW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bit.ly/3JZwgyc" TargetMode="External"/><Relationship Id="rId1" Type="http://schemas.openxmlformats.org/officeDocument/2006/relationships/hyperlink" Target="https://tinyurl.com/y8sbw9w8" TargetMode="External"/><Relationship Id="rId6" Type="http://schemas.openxmlformats.org/officeDocument/2006/relationships/hyperlink" Target="https://tinyurl.com/3xt9k3uj" TargetMode="External"/><Relationship Id="rId5" Type="http://schemas.openxmlformats.org/officeDocument/2006/relationships/hyperlink" Target="https://tinyurl.com/4xtsdbbd" TargetMode="External"/><Relationship Id="rId4" Type="http://schemas.openxmlformats.org/officeDocument/2006/relationships/hyperlink" Target="https://angel-one.onelink.me/Wjgr/8vxyj8i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AC0E0-AE3C-F741-84A2-92B40978F0CF}">
  <dimension ref="D6:Q49"/>
  <sheetViews>
    <sheetView showGridLines="0" tabSelected="1" zoomScale="62" workbookViewId="0">
      <selection activeCell="H8" sqref="H8"/>
    </sheetView>
  </sheetViews>
  <sheetFormatPr baseColWidth="10" defaultRowHeight="47" x14ac:dyDescent="0.55000000000000004"/>
  <cols>
    <col min="1" max="3" width="10.83203125" style="11"/>
    <col min="4" max="4" width="105.33203125" style="11" bestFit="1" customWidth="1"/>
    <col min="5" max="5" width="78.33203125" style="11" customWidth="1"/>
    <col min="6" max="6" width="28.83203125" style="11" customWidth="1"/>
    <col min="7" max="7" width="85.1640625" style="11" bestFit="1" customWidth="1"/>
    <col min="8" max="8" width="42.83203125" style="11" bestFit="1" customWidth="1"/>
    <col min="9" max="9" width="46" style="11" bestFit="1" customWidth="1"/>
    <col min="10" max="10" width="37" style="11" bestFit="1" customWidth="1"/>
    <col min="11" max="12" width="10.83203125" style="11"/>
    <col min="13" max="13" width="46" style="11" bestFit="1" customWidth="1"/>
    <col min="14" max="14" width="37" style="11" bestFit="1" customWidth="1"/>
    <col min="15" max="15" width="48" style="11" bestFit="1" customWidth="1"/>
    <col min="16" max="16" width="37.33203125" style="11" bestFit="1" customWidth="1"/>
    <col min="17" max="17" width="48.33203125" style="11" bestFit="1" customWidth="1"/>
    <col min="18" max="16384" width="10.83203125" style="11"/>
  </cols>
  <sheetData>
    <row r="6" spans="4:10" ht="48" thickBot="1" x14ac:dyDescent="0.6"/>
    <row r="7" spans="4:10" ht="49" thickTop="1" thickBot="1" x14ac:dyDescent="0.6">
      <c r="D7" s="12" t="s">
        <v>20</v>
      </c>
      <c r="E7" s="13"/>
      <c r="G7" s="14"/>
      <c r="H7" s="14"/>
    </row>
    <row r="8" spans="4:10" ht="49" thickTop="1" thickBot="1" x14ac:dyDescent="0.6">
      <c r="D8" s="15" t="s">
        <v>21</v>
      </c>
      <c r="E8" s="27"/>
      <c r="H8" s="16"/>
    </row>
    <row r="9" spans="4:10" ht="49" thickTop="1" thickBot="1" x14ac:dyDescent="0.6">
      <c r="D9" s="15" t="s">
        <v>0</v>
      </c>
      <c r="E9" s="17" t="e">
        <f>PMT(E11/12,E10,-E8,0,0)</f>
        <v>#NUM!</v>
      </c>
      <c r="H9" s="16"/>
    </row>
    <row r="10" spans="4:10" ht="49" thickTop="1" thickBot="1" x14ac:dyDescent="0.6">
      <c r="D10" s="15" t="s">
        <v>12</v>
      </c>
      <c r="E10" s="28"/>
      <c r="J10" s="18"/>
    </row>
    <row r="11" spans="4:10" ht="49" thickTop="1" thickBot="1" x14ac:dyDescent="0.6">
      <c r="D11" s="15" t="s">
        <v>1</v>
      </c>
      <c r="E11" s="29"/>
      <c r="H11" s="18"/>
      <c r="J11" s="18"/>
    </row>
    <row r="12" spans="4:10" ht="49" thickTop="1" thickBot="1" x14ac:dyDescent="0.6">
      <c r="D12" s="15" t="s">
        <v>23</v>
      </c>
      <c r="E12" s="19" t="e">
        <f>E9*E10</f>
        <v>#NUM!</v>
      </c>
      <c r="H12" s="16"/>
      <c r="J12" s="18"/>
    </row>
    <row r="13" spans="4:10" ht="49" thickTop="1" thickBot="1" x14ac:dyDescent="0.6"/>
    <row r="14" spans="4:10" ht="49" thickTop="1" thickBot="1" x14ac:dyDescent="0.6">
      <c r="D14" s="20" t="s">
        <v>22</v>
      </c>
      <c r="E14" s="21"/>
    </row>
    <row r="15" spans="4:10" ht="49" thickTop="1" thickBot="1" x14ac:dyDescent="0.6">
      <c r="D15" s="22" t="s">
        <v>17</v>
      </c>
      <c r="E15" s="30"/>
      <c r="H15" s="23"/>
    </row>
    <row r="16" spans="4:10" ht="49" thickTop="1" thickBot="1" x14ac:dyDescent="0.6">
      <c r="D16" s="22" t="s">
        <v>11</v>
      </c>
      <c r="E16" s="30"/>
    </row>
    <row r="17" spans="4:6" ht="49" thickTop="1" thickBot="1" x14ac:dyDescent="0.6">
      <c r="D17" s="22" t="s">
        <v>3</v>
      </c>
      <c r="E17" s="30"/>
      <c r="F17" s="11" t="s">
        <v>25</v>
      </c>
    </row>
    <row r="18" spans="4:6" ht="49" thickTop="1" thickBot="1" x14ac:dyDescent="0.6">
      <c r="D18" s="22" t="s">
        <v>15</v>
      </c>
      <c r="E18" s="31"/>
    </row>
    <row r="19" spans="4:6" ht="49" thickTop="1" thickBot="1" x14ac:dyDescent="0.6"/>
    <row r="20" spans="4:6" ht="49" thickTop="1" thickBot="1" x14ac:dyDescent="0.6">
      <c r="D20" s="10" t="s">
        <v>26</v>
      </c>
      <c r="E20" s="10"/>
      <c r="F20" s="10"/>
    </row>
    <row r="21" spans="4:6" ht="49" thickTop="1" thickBot="1" x14ac:dyDescent="0.6">
      <c r="D21" s="1" t="s">
        <v>27</v>
      </c>
      <c r="E21" s="2" t="s">
        <v>28</v>
      </c>
      <c r="F21" s="3"/>
    </row>
    <row r="22" spans="4:6" ht="49" thickTop="1" thickBot="1" x14ac:dyDescent="0.6">
      <c r="D22" s="4" t="s">
        <v>29</v>
      </c>
      <c r="E22" s="2" t="s">
        <v>30</v>
      </c>
      <c r="F22" s="3"/>
    </row>
    <row r="23" spans="4:6" ht="49" thickTop="1" thickBot="1" x14ac:dyDescent="0.6">
      <c r="D23" s="1" t="s">
        <v>31</v>
      </c>
      <c r="E23" s="5" t="s">
        <v>32</v>
      </c>
      <c r="F23" s="6"/>
    </row>
    <row r="24" spans="4:6" ht="49" thickTop="1" thickBot="1" x14ac:dyDescent="0.6">
      <c r="D24" s="7" t="s">
        <v>33</v>
      </c>
      <c r="E24" s="8" t="s">
        <v>34</v>
      </c>
      <c r="F24" s="9"/>
    </row>
    <row r="25" spans="4:6" ht="49" thickTop="1" thickBot="1" x14ac:dyDescent="0.6">
      <c r="D25" s="24" t="s">
        <v>37</v>
      </c>
      <c r="E25" s="2" t="s">
        <v>35</v>
      </c>
      <c r="F25" s="2"/>
    </row>
    <row r="26" spans="4:6" ht="49" thickTop="1" thickBot="1" x14ac:dyDescent="0.6">
      <c r="D26" s="24" t="s">
        <v>38</v>
      </c>
      <c r="E26" s="2" t="s">
        <v>36</v>
      </c>
      <c r="F26" s="2"/>
    </row>
    <row r="27" spans="4:6" ht="49" thickTop="1" thickBot="1" x14ac:dyDescent="0.6"/>
    <row r="28" spans="4:6" ht="49" thickTop="1" thickBot="1" x14ac:dyDescent="0.6">
      <c r="D28" s="10" t="s">
        <v>18</v>
      </c>
      <c r="E28" s="10"/>
    </row>
    <row r="29" spans="4:6" ht="49" thickTop="1" thickBot="1" x14ac:dyDescent="0.6">
      <c r="D29" s="15" t="s">
        <v>19</v>
      </c>
      <c r="E29" s="19">
        <f>E8</f>
        <v>0</v>
      </c>
    </row>
    <row r="30" spans="4:6" ht="49" thickTop="1" thickBot="1" x14ac:dyDescent="0.6">
      <c r="D30" s="15" t="s">
        <v>13</v>
      </c>
      <c r="E30" s="19">
        <f>E15+E16+E17</f>
        <v>0</v>
      </c>
    </row>
    <row r="31" spans="4:6" ht="49" thickTop="1" thickBot="1" x14ac:dyDescent="0.6">
      <c r="D31" s="15" t="s">
        <v>14</v>
      </c>
      <c r="E31" s="25">
        <f>E29+E30</f>
        <v>0</v>
      </c>
    </row>
    <row r="32" spans="4:6" ht="49" thickTop="1" thickBot="1" x14ac:dyDescent="0.6">
      <c r="D32" s="15" t="s">
        <v>16</v>
      </c>
      <c r="E32" s="25" t="e">
        <f>PMT(E18/12,E10,-E31,0,0)</f>
        <v>#NUM!</v>
      </c>
    </row>
    <row r="33" spans="4:17" ht="49" thickTop="1" thickBot="1" x14ac:dyDescent="0.6">
      <c r="D33" s="15" t="s">
        <v>23</v>
      </c>
      <c r="E33" s="25" t="e">
        <f>E32*E10</f>
        <v>#NUM!</v>
      </c>
    </row>
    <row r="34" spans="4:17" ht="49" thickTop="1" thickBot="1" x14ac:dyDescent="0.6">
      <c r="D34" s="26"/>
      <c r="E34" s="26"/>
    </row>
    <row r="35" spans="4:17" ht="49" thickTop="1" thickBot="1" x14ac:dyDescent="0.6">
      <c r="D35" s="15" t="s">
        <v>24</v>
      </c>
      <c r="E35" s="19" t="e">
        <f>E12-E33</f>
        <v>#NUM!</v>
      </c>
    </row>
    <row r="36" spans="4:17" ht="48" thickTop="1" x14ac:dyDescent="0.55000000000000004"/>
    <row r="42" spans="4:17" x14ac:dyDescent="0.55000000000000004">
      <c r="O42" s="14" t="s">
        <v>5</v>
      </c>
      <c r="P42" s="14"/>
    </row>
    <row r="43" spans="4:17" x14ac:dyDescent="0.55000000000000004">
      <c r="O43" s="11" t="s">
        <v>6</v>
      </c>
      <c r="P43" s="11" t="s">
        <v>7</v>
      </c>
    </row>
    <row r="44" spans="4:17" x14ac:dyDescent="0.55000000000000004">
      <c r="O44" s="11" t="s">
        <v>2</v>
      </c>
      <c r="P44" s="11" t="s">
        <v>8</v>
      </c>
    </row>
    <row r="45" spans="4:17" x14ac:dyDescent="0.55000000000000004">
      <c r="O45" s="11" t="s">
        <v>3</v>
      </c>
      <c r="P45" s="11" t="s">
        <v>4</v>
      </c>
      <c r="Q45" s="11" t="s">
        <v>9</v>
      </c>
    </row>
    <row r="47" spans="4:17" x14ac:dyDescent="0.55000000000000004">
      <c r="O47" s="11" t="s">
        <v>10</v>
      </c>
    </row>
    <row r="48" spans="4:17" x14ac:dyDescent="0.55000000000000004">
      <c r="O48" s="11" t="s">
        <v>6</v>
      </c>
      <c r="P48" s="18">
        <v>3.0000000000000001E-3</v>
      </c>
    </row>
    <row r="49" spans="15:16" x14ac:dyDescent="0.55000000000000004">
      <c r="O49" s="11" t="s">
        <v>2</v>
      </c>
      <c r="P49" s="11" t="s">
        <v>8</v>
      </c>
    </row>
  </sheetData>
  <sheetProtection algorithmName="SHA-512" hashValue="6VxzqgWWzBzAXY4SLwCsJQTJo2UHhUyG/wCV+hM7hQdcxxG0qLmOC8qR+66XkUYQntpvhk8pmdZ1PHagSkIxxA==" saltValue="FlTbFH8UbryJtsjDaVIUBQ==" spinCount="100000" sheet="1" objects="1" scenarios="1"/>
  <mergeCells count="12">
    <mergeCell ref="D7:E7"/>
    <mergeCell ref="D14:E14"/>
    <mergeCell ref="G7:H7"/>
    <mergeCell ref="O42:P42"/>
    <mergeCell ref="D28:E28"/>
    <mergeCell ref="D20:F20"/>
    <mergeCell ref="E21:F21"/>
    <mergeCell ref="E22:F22"/>
    <mergeCell ref="E23:F23"/>
    <mergeCell ref="E24:F24"/>
    <mergeCell ref="E25:F25"/>
    <mergeCell ref="E26:F26"/>
  </mergeCells>
  <hyperlinks>
    <hyperlink ref="E22" r:id="rId1" xr:uid="{743B7DBA-19BB-8640-9C0A-45CDB7B414C6}"/>
    <hyperlink ref="E21" r:id="rId2" xr:uid="{03CF79B0-5670-5A40-9DC2-833E8EFC261F}"/>
    <hyperlink ref="E23" r:id="rId3" xr:uid="{1EFF632D-8AF3-BE46-B57A-D815F25FF2F2}"/>
    <hyperlink ref="E24" r:id="rId4" xr:uid="{259F7B6F-9969-3240-85EC-52B89E43B432}"/>
    <hyperlink ref="E25" r:id="rId5" xr:uid="{F387AC95-03DF-944C-A690-FDFCCA71229D}"/>
    <hyperlink ref="E26" r:id="rId6" xr:uid="{C58AC3E0-2E13-6843-9F17-B1346582BBBB}"/>
  </hyperlinks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Raise Basha Naik</cp:lastModifiedBy>
  <dcterms:created xsi:type="dcterms:W3CDTF">2025-05-08T11:10:54Z</dcterms:created>
  <dcterms:modified xsi:type="dcterms:W3CDTF">2025-06-01T02:11:46Z</dcterms:modified>
</cp:coreProperties>
</file>