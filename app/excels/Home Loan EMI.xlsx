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8_{4E37E64E-F2D4-814C-8A91-33BD71032FC4}" xr6:coauthVersionLast="47" xr6:coauthVersionMax="47" xr10:uidLastSave="{00000000-0000-0000-0000-000000000000}"/>
  <bookViews>
    <workbookView xWindow="380" yWindow="500" windowWidth="28040" windowHeight="15800" xr2:uid="{8CE9BFD6-2915-1244-8866-3E4819E7D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" i="1" l="1"/>
  <c r="F6" i="1"/>
  <c r="F4" i="1"/>
  <c r="E4" i="1"/>
  <c r="E23" i="1"/>
  <c r="C23" i="1"/>
  <c r="F5" i="1"/>
  <c r="F7" i="1" l="1"/>
  <c r="F8" i="1" s="1"/>
  <c r="F9" i="1" s="1"/>
  <c r="C8" i="1"/>
  <c r="E7" i="1" s="1"/>
  <c r="E5" i="1" s="1"/>
  <c r="E8" i="1" s="1"/>
  <c r="E9" i="1" s="1"/>
  <c r="C9" i="1" l="1"/>
  <c r="C10" i="1" s="1"/>
</calcChain>
</file>

<file path=xl/sharedStrings.xml><?xml version="1.0" encoding="utf-8"?>
<sst xmlns="http://schemas.openxmlformats.org/spreadsheetml/2006/main" count="15" uniqueCount="9">
  <si>
    <t>Outstanding Home Loan Amount</t>
  </si>
  <si>
    <t>Interest Rate</t>
  </si>
  <si>
    <t>EMI</t>
  </si>
  <si>
    <t>Tenure Left in years</t>
  </si>
  <si>
    <t>Tenure Left in months</t>
  </si>
  <si>
    <t>EMI Constant</t>
  </si>
  <si>
    <t>Total Payment</t>
  </si>
  <si>
    <t>Additional Amount Payed</t>
  </si>
  <si>
    <t>EMI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</si>
</sst>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#,##0.00_);[Red]\(&quot;₹&quot;#,##0.00\)"/>
  </numFmts>
  <fonts count="4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Border="1"/>
    <xf numFmtId="0" fontId="2" fillId="2" borderId="8" xfId="0" applyFont="1" applyFill="1" applyBorder="1"/>
    <xf numFmtId="0" fontId="1" fillId="2" borderId="0" xfId="0" applyFont="1" applyFill="1" applyBorder="1"/>
    <xf numFmtId="8" fontId="2" fillId="2" borderId="3" xfId="0" applyNumberFormat="1" applyFont="1" applyFill="1" applyBorder="1" applyProtection="1">
      <protection hidden="1"/>
    </xf>
    <xf numFmtId="8" fontId="2" fillId="2" borderId="1" xfId="0" applyNumberFormat="1" applyFont="1" applyFill="1" applyBorder="1" applyProtection="1">
      <protection hidden="1"/>
    </xf>
    <xf numFmtId="0" fontId="2" fillId="2" borderId="4" xfId="0" applyFont="1" applyFill="1" applyBorder="1" applyProtection="1">
      <protection hidden="1"/>
    </xf>
    <xf numFmtId="0" fontId="2" fillId="2" borderId="1" xfId="0" applyFont="1" applyFill="1" applyBorder="1" applyProtection="1">
      <protection hidden="1"/>
    </xf>
    <xf numFmtId="1" fontId="2" fillId="2" borderId="4" xfId="0" applyNumberFormat="1" applyFont="1" applyFill="1" applyBorder="1" applyProtection="1">
      <protection hidden="1"/>
    </xf>
    <xf numFmtId="10" fontId="2" fillId="2" borderId="1" xfId="0" applyNumberFormat="1" applyFont="1" applyFill="1" applyBorder="1" applyProtection="1">
      <protection hidden="1"/>
    </xf>
    <xf numFmtId="8" fontId="2" fillId="2" borderId="5" xfId="0" applyNumberFormat="1" applyFont="1" applyFill="1" applyBorder="1" applyProtection="1">
      <protection hidden="1"/>
    </xf>
    <xf numFmtId="8" fontId="2" fillId="2" borderId="4" xfId="0" applyNumberFormat="1" applyFont="1" applyFill="1" applyBorder="1" applyProtection="1">
      <protection hidden="1"/>
    </xf>
    <xf numFmtId="8" fontId="2" fillId="2" borderId="6" xfId="0" applyNumberFormat="1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3" fillId="5" borderId="2" xfId="0" applyFont="1" applyFill="1" applyBorder="1" applyProtection="1">
      <protection hidden="1"/>
    </xf>
    <xf numFmtId="0" fontId="3" fillId="6" borderId="1" xfId="0" applyFont="1" applyFill="1" applyBorder="1" applyProtection="1">
      <protection hidden="1"/>
    </xf>
    <xf numFmtId="0" fontId="3" fillId="4" borderId="1" xfId="0" applyFont="1" applyFill="1" applyBorder="1" applyProtection="1">
      <protection hidden="1"/>
    </xf>
    <xf numFmtId="0" fontId="3" fillId="7" borderId="1" xfId="0" applyFont="1" applyFill="1" applyBorder="1" applyProtection="1">
      <protection hidden="1"/>
    </xf>
    <xf numFmtId="0" fontId="2" fillId="3" borderId="3" xfId="0" applyFont="1" applyFill="1" applyBorder="1" applyProtection="1">
      <protection locked="0"/>
    </xf>
    <xf numFmtId="10" fontId="2" fillId="3" borderId="3" xfId="0" applyNumberFormat="1" applyFont="1" applyFill="1" applyBorder="1" applyProtection="1">
      <protection locked="0"/>
    </xf>
    <xf numFmtId="10" fontId="2" fillId="3" borderId="4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736600</xdr:colOff>
      <xdr:row>8</xdr:row>
      <xdr:rowOff>298304</xdr:rowOff>
    </xdr:from>
    <xdr:to>
      <xdr:col>3</xdr:col>
      <xdr:colOff>3086100</xdr:colOff>
      <xdr:row>14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10255A-B312-4E07-B628-18E6A4528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6900" y="2685904"/>
          <a:ext cx="2349500" cy="1339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2897-942A-9748-B6D4-C6AB40DFDC55}">
  <dimension ref="B3:F23"/>
  <sheetViews>
    <sheetView tabSelected="1" workbookViewId="0">
      <selection activeCell="E7" sqref="E7"/>
    </sheetView>
  </sheetViews>
  <sheetFormatPr baseColWidth="10" defaultRowHeight="16" x14ac:dyDescent="0.2"/>
  <cols>
    <col min="1" max="1" width="10.83203125" style="1"/>
    <col min="2" max="2" width="48.5" style="1" bestFit="1" customWidth="1"/>
    <col min="3" max="3" width="22.1640625" style="1" customWidth="1"/>
    <col min="4" max="4" width="48.5" style="1" bestFit="1" customWidth="1"/>
    <col min="5" max="5" width="22.6640625" style="1" bestFit="1" customWidth="1"/>
    <col min="6" max="6" width="26.1640625" style="1" customWidth="1"/>
    <col min="7" max="16384" width="10.83203125" style="1"/>
  </cols>
  <sheetData>
    <row r="3" spans="2:6" ht="26" x14ac:dyDescent="0.3">
      <c r="E3" s="15" t="s">
        <v>5</v>
      </c>
      <c r="F3" s="16" t="s">
        <v>8</v>
      </c>
    </row>
    <row r="4" spans="2:6" ht="26" x14ac:dyDescent="0.3">
      <c r="B4" s="17" t="s">
        <v>0</v>
      </c>
      <c r="C4" s="18"/>
      <c r="D4" s="14" t="s">
        <v>0</v>
      </c>
      <c r="E4" s="6">
        <f>C4</f>
        <v>0</v>
      </c>
      <c r="F4" s="7">
        <f>C4</f>
        <v>0</v>
      </c>
    </row>
    <row r="5" spans="2:6" ht="26" x14ac:dyDescent="0.3">
      <c r="B5" s="17" t="s">
        <v>3</v>
      </c>
      <c r="C5" s="18"/>
      <c r="D5" s="14" t="s">
        <v>4</v>
      </c>
      <c r="E5" s="8" t="e">
        <f>NPER(E23,E7,E4,0,0)</f>
        <v>#NUM!</v>
      </c>
      <c r="F5" s="7">
        <f>C6</f>
        <v>0</v>
      </c>
    </row>
    <row r="6" spans="2:6" ht="26" x14ac:dyDescent="0.3">
      <c r="B6" s="17" t="s">
        <v>4</v>
      </c>
      <c r="C6" s="18">
        <f>C5*12</f>
        <v>0</v>
      </c>
      <c r="D6" s="14" t="s">
        <v>1</v>
      </c>
      <c r="E6" s="20"/>
      <c r="F6" s="9">
        <f>E6</f>
        <v>0</v>
      </c>
    </row>
    <row r="7" spans="2:6" ht="26" x14ac:dyDescent="0.3">
      <c r="B7" s="17" t="s">
        <v>1</v>
      </c>
      <c r="C7" s="19"/>
      <c r="D7" s="14" t="s">
        <v>2</v>
      </c>
      <c r="E7" s="11" t="e">
        <f>C8</f>
        <v>#NUM!</v>
      </c>
      <c r="F7" s="10" t="e">
        <f>PMT(E23,F5,F4,0,0)</f>
        <v>#NUM!</v>
      </c>
    </row>
    <row r="8" spans="2:6" ht="26" x14ac:dyDescent="0.3">
      <c r="B8" s="17" t="s">
        <v>2</v>
      </c>
      <c r="C8" s="4" t="e">
        <f>PMT(C23,C6,C4,0,0)</f>
        <v>#NUM!</v>
      </c>
      <c r="D8" s="14" t="s">
        <v>6</v>
      </c>
      <c r="E8" s="12" t="e">
        <f>-E7*E5</f>
        <v>#NUM!</v>
      </c>
      <c r="F8" s="13" t="e">
        <f>-F7*F5</f>
        <v>#NUM!</v>
      </c>
    </row>
    <row r="9" spans="2:6" ht="26" x14ac:dyDescent="0.3">
      <c r="B9" s="17" t="s">
        <v>6</v>
      </c>
      <c r="C9" s="4" t="e">
        <f>-C8*C6</f>
        <v>#NUM!</v>
      </c>
      <c r="D9" s="14" t="s">
        <v>7</v>
      </c>
      <c r="E9" s="12" t="e">
        <f>E8-E4</f>
        <v>#NUM!</v>
      </c>
      <c r="F9" s="13" t="e">
        <f>F8-F4</f>
        <v>#NUM!</v>
      </c>
    </row>
    <row r="10" spans="2:6" ht="26" x14ac:dyDescent="0.3">
      <c r="B10" s="17" t="s">
        <v>7</v>
      </c>
      <c r="C10" s="5" t="e">
        <f>C9-C4</f>
        <v>#NUM!</v>
      </c>
      <c r="F10" s="2"/>
    </row>
    <row r="23" spans="3:6" x14ac:dyDescent="0.2">
      <c r="C23" s="3">
        <f>C7/12</f>
        <v>0</v>
      </c>
      <c r="D23" s="3"/>
      <c r="E23" s="3">
        <f>E6/12</f>
        <v>0</v>
      </c>
      <c r="F23" s="3"/>
    </row>
  </sheetData>
  <sheetProtection algorithmName="SHA-512" hashValue="G0p1qq4WwtJApeOHpWlgOVGm7/wQi5bN9Z0A/DNIOGo8+D59tKfK5qT6Hb9od7WaFvi+wSwYQ+GjHPBsU53QsA==" saltValue="d4vPKjq/kPXGq58GGikBKA==" spinCount="100000"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saikrishna pathri</dc:creator>
  <cp:lastModifiedBy>Raise Basha Naik</cp:lastModifiedBy>
  <dcterms:created xsi:type="dcterms:W3CDTF">2022-05-07T06:15:41Z</dcterms:created>
  <dcterms:modified xsi:type="dcterms:W3CDTF">2022-08-05T05:26:41Z</dcterms:modified>
</cp:coreProperties>
</file>