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sebashanaik/Downloads/"/>
    </mc:Choice>
  </mc:AlternateContent>
  <xr:revisionPtr revIDLastSave="0" documentId="13_ncr:1_{92ED06F6-6A35-2243-9D83-3EE39B14A966}" xr6:coauthVersionLast="47" xr6:coauthVersionMax="47" xr10:uidLastSave="{00000000-0000-0000-0000-000000000000}"/>
  <bookViews>
    <workbookView xWindow="400" yWindow="600" windowWidth="28280" windowHeight="15880" xr2:uid="{04AF0C79-1A84-9D4C-B084-EB74A7973444}"/>
  </bookViews>
  <sheets>
    <sheet name="Step-up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5" i="5" l="1"/>
  <c r="V16" i="5" s="1"/>
  <c r="V17" i="5" s="1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4" i="5"/>
  <c r="T15" i="5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T93" i="5" s="1"/>
  <c r="T94" i="5" s="1"/>
  <c r="T95" i="5" s="1"/>
  <c r="T96" i="5" s="1"/>
  <c r="T97" i="5" s="1"/>
  <c r="T98" i="5" s="1"/>
  <c r="T99" i="5" s="1"/>
  <c r="T100" i="5" s="1"/>
  <c r="T101" i="5" s="1"/>
  <c r="T102" i="5" s="1"/>
  <c r="T103" i="5" s="1"/>
  <c r="T104" i="5" s="1"/>
  <c r="T105" i="5" s="1"/>
  <c r="T106" i="5" s="1"/>
  <c r="T107" i="5" s="1"/>
  <c r="T108" i="5" s="1"/>
  <c r="T109" i="5" s="1"/>
  <c r="T110" i="5" s="1"/>
  <c r="T111" i="5" s="1"/>
  <c r="T112" i="5" s="1"/>
  <c r="T14" i="5"/>
  <c r="I15" i="5"/>
  <c r="I16" i="5" s="1"/>
  <c r="I17" i="5" s="1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4" i="5"/>
  <c r="G15" i="5"/>
  <c r="G16" i="5"/>
  <c r="G17" i="5"/>
  <c r="G18" i="5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4" i="5"/>
  <c r="W8" i="5"/>
  <c r="W7" i="5"/>
  <c r="W6" i="5"/>
  <c r="W13" i="5"/>
  <c r="V13" i="5"/>
  <c r="U13" i="5"/>
  <c r="J13" i="5"/>
  <c r="I13" i="5"/>
  <c r="H13" i="5"/>
  <c r="U14" i="5" l="1"/>
  <c r="H14" i="5"/>
  <c r="J14" i="5"/>
  <c r="H15" i="5" s="1"/>
  <c r="W14" i="5" l="1"/>
  <c r="U15" i="5" s="1"/>
  <c r="J15" i="5"/>
  <c r="H16" i="5" s="1"/>
  <c r="W15" i="5" l="1"/>
  <c r="U16" i="5" s="1"/>
  <c r="W16" i="5" s="1"/>
  <c r="U17" i="5" s="1"/>
  <c r="W17" i="5" s="1"/>
  <c r="U18" i="5" s="1"/>
  <c r="W18" i="5" s="1"/>
  <c r="U19" i="5" s="1"/>
  <c r="W19" i="5" s="1"/>
  <c r="U20" i="5" s="1"/>
  <c r="J16" i="5" l="1"/>
  <c r="H17" i="5" s="1"/>
  <c r="J17" i="5" s="1"/>
  <c r="H18" i="5" s="1"/>
  <c r="W20" i="5"/>
  <c r="U21" i="5" s="1"/>
  <c r="J18" i="5" l="1"/>
  <c r="H19" i="5" s="1"/>
  <c r="W21" i="5"/>
  <c r="U22" i="5" s="1"/>
  <c r="J19" i="5" l="1"/>
  <c r="H20" i="5" s="1"/>
  <c r="W22" i="5"/>
  <c r="U23" i="5" s="1"/>
  <c r="J20" i="5" l="1"/>
  <c r="H21" i="5" s="1"/>
  <c r="W23" i="5"/>
  <c r="U24" i="5" s="1"/>
  <c r="J21" i="5" l="1"/>
  <c r="H22" i="5" s="1"/>
  <c r="W24" i="5"/>
  <c r="U25" i="5" s="1"/>
  <c r="J22" i="5" l="1"/>
  <c r="H23" i="5" s="1"/>
  <c r="W25" i="5"/>
  <c r="U26" i="5" s="1"/>
  <c r="J23" i="5" l="1"/>
  <c r="H24" i="5" s="1"/>
  <c r="W26" i="5"/>
  <c r="U27" i="5" s="1"/>
  <c r="J24" i="5" l="1"/>
  <c r="H25" i="5" s="1"/>
  <c r="W27" i="5"/>
  <c r="U28" i="5" s="1"/>
  <c r="J25" i="5" l="1"/>
  <c r="H26" i="5" s="1"/>
  <c r="W28" i="5"/>
  <c r="U29" i="5" s="1"/>
  <c r="W29" i="5" l="1"/>
  <c r="U30" i="5" s="1"/>
  <c r="J26" i="5"/>
  <c r="H27" i="5" s="1"/>
  <c r="J27" i="5" l="1"/>
  <c r="H28" i="5" s="1"/>
  <c r="W30" i="5"/>
  <c r="U31" i="5" s="1"/>
  <c r="J28" i="5" l="1"/>
  <c r="H29" i="5" s="1"/>
  <c r="W31" i="5"/>
  <c r="U32" i="5" s="1"/>
  <c r="W32" i="5" l="1"/>
  <c r="U33" i="5" s="1"/>
  <c r="J29" i="5"/>
  <c r="H30" i="5" s="1"/>
  <c r="W33" i="5" l="1"/>
  <c r="U34" i="5" s="1"/>
  <c r="J30" i="5"/>
  <c r="H31" i="5" s="1"/>
  <c r="W34" i="5" l="1"/>
  <c r="U35" i="5" s="1"/>
  <c r="J31" i="5"/>
  <c r="H32" i="5" s="1"/>
  <c r="W35" i="5" l="1"/>
  <c r="U36" i="5" s="1"/>
  <c r="J32" i="5"/>
  <c r="H33" i="5" s="1"/>
  <c r="J33" i="5" l="1"/>
  <c r="H34" i="5" s="1"/>
  <c r="W36" i="5"/>
  <c r="U37" i="5" s="1"/>
  <c r="J34" i="5" l="1"/>
  <c r="H35" i="5" s="1"/>
  <c r="W37" i="5"/>
  <c r="U38" i="5" s="1"/>
  <c r="J35" i="5" l="1"/>
  <c r="H36" i="5" s="1"/>
  <c r="W38" i="5"/>
  <c r="U39" i="5" s="1"/>
  <c r="J36" i="5" l="1"/>
  <c r="H37" i="5" s="1"/>
  <c r="W39" i="5"/>
  <c r="U40" i="5" s="1"/>
  <c r="J37" i="5" l="1"/>
  <c r="H38" i="5" s="1"/>
  <c r="W40" i="5"/>
  <c r="U41" i="5" s="1"/>
  <c r="J38" i="5" l="1"/>
  <c r="H39" i="5" s="1"/>
  <c r="W41" i="5"/>
  <c r="U42" i="5" s="1"/>
  <c r="J39" i="5" l="1"/>
  <c r="H40" i="5" s="1"/>
  <c r="W42" i="5"/>
  <c r="U43" i="5" s="1"/>
  <c r="J40" i="5" l="1"/>
  <c r="H41" i="5" s="1"/>
  <c r="W43" i="5"/>
  <c r="U44" i="5" s="1"/>
  <c r="J41" i="5" l="1"/>
  <c r="H42" i="5" s="1"/>
  <c r="W44" i="5"/>
  <c r="U45" i="5" s="1"/>
  <c r="W45" i="5" l="1"/>
  <c r="U46" i="5" s="1"/>
  <c r="J42" i="5"/>
  <c r="H43" i="5" s="1"/>
  <c r="J43" i="5" s="1"/>
  <c r="W46" i="5" l="1"/>
  <c r="U47" i="5" s="1"/>
  <c r="H44" i="5"/>
  <c r="J44" i="5" l="1"/>
  <c r="H45" i="5" s="1"/>
  <c r="W47" i="5"/>
  <c r="U48" i="5" s="1"/>
  <c r="J45" i="5" l="1"/>
  <c r="H46" i="5" s="1"/>
  <c r="W48" i="5"/>
  <c r="U49" i="5" s="1"/>
  <c r="J46" i="5" l="1"/>
  <c r="H47" i="5" s="1"/>
  <c r="W49" i="5"/>
  <c r="U50" i="5" s="1"/>
  <c r="J47" i="5" l="1"/>
  <c r="H48" i="5" s="1"/>
  <c r="W50" i="5"/>
  <c r="U51" i="5" s="1"/>
  <c r="J48" i="5" l="1"/>
  <c r="H49" i="5" s="1"/>
  <c r="J49" i="5" s="1"/>
  <c r="W51" i="5"/>
  <c r="U52" i="5" s="1"/>
  <c r="W52" i="5" l="1"/>
  <c r="U53" i="5" s="1"/>
  <c r="H50" i="5"/>
  <c r="J50" i="5" l="1"/>
  <c r="H51" i="5" s="1"/>
  <c r="W53" i="5"/>
  <c r="U54" i="5" s="1"/>
  <c r="J51" i="5" l="1"/>
  <c r="H52" i="5" s="1"/>
  <c r="W54" i="5"/>
  <c r="U55" i="5" s="1"/>
  <c r="W55" i="5" l="1"/>
  <c r="U56" i="5" s="1"/>
  <c r="J52" i="5"/>
  <c r="H53" i="5" s="1"/>
  <c r="J53" i="5" l="1"/>
  <c r="H54" i="5" s="1"/>
  <c r="W56" i="5"/>
  <c r="U57" i="5" s="1"/>
  <c r="J54" i="5" l="1"/>
  <c r="W57" i="5"/>
  <c r="U58" i="5" s="1"/>
  <c r="J55" i="5"/>
  <c r="H55" i="5"/>
  <c r="W58" i="5" l="1"/>
  <c r="U59" i="5" s="1"/>
  <c r="J56" i="5"/>
  <c r="H56" i="5"/>
  <c r="W59" i="5" l="1"/>
  <c r="U60" i="5" s="1"/>
  <c r="H57" i="5"/>
  <c r="J57" i="5" l="1"/>
  <c r="H58" i="5" s="1"/>
  <c r="W60" i="5"/>
  <c r="U61" i="5" s="1"/>
  <c r="J58" i="5" l="1"/>
  <c r="H59" i="5" s="1"/>
  <c r="W61" i="5"/>
  <c r="U62" i="5" s="1"/>
  <c r="J59" i="5" l="1"/>
  <c r="H60" i="5" s="1"/>
  <c r="W62" i="5"/>
  <c r="U63" i="5" s="1"/>
  <c r="J60" i="5" l="1"/>
  <c r="H61" i="5" s="1"/>
  <c r="W63" i="5"/>
  <c r="U64" i="5" s="1"/>
  <c r="J61" i="5" l="1"/>
  <c r="H62" i="5" s="1"/>
  <c r="W64" i="5"/>
  <c r="U65" i="5" s="1"/>
  <c r="W65" i="5" l="1"/>
  <c r="U66" i="5" s="1"/>
  <c r="J62" i="5"/>
  <c r="H63" i="5" s="1"/>
  <c r="J63" i="5" s="1"/>
  <c r="W66" i="5" l="1"/>
  <c r="U67" i="5" s="1"/>
  <c r="J64" i="5"/>
  <c r="H64" i="5"/>
  <c r="W67" i="5" l="1"/>
  <c r="U68" i="5" s="1"/>
  <c r="H65" i="5"/>
  <c r="J65" i="5" l="1"/>
  <c r="H66" i="5" s="1"/>
  <c r="W68" i="5"/>
  <c r="U69" i="5" s="1"/>
  <c r="J66" i="5" l="1"/>
  <c r="H67" i="5" s="1"/>
  <c r="W69" i="5"/>
  <c r="U70" i="5" s="1"/>
  <c r="J67" i="5" l="1"/>
  <c r="H68" i="5" s="1"/>
  <c r="W70" i="5"/>
  <c r="U71" i="5" s="1"/>
  <c r="J68" i="5" l="1"/>
  <c r="H69" i="5" s="1"/>
  <c r="W71" i="5"/>
  <c r="U72" i="5" s="1"/>
  <c r="J69" i="5" l="1"/>
  <c r="W72" i="5"/>
  <c r="U73" i="5" s="1"/>
  <c r="H70" i="5"/>
  <c r="J70" i="5" s="1"/>
  <c r="W73" i="5" l="1"/>
  <c r="U74" i="5" s="1"/>
  <c r="H71" i="5"/>
  <c r="J71" i="5" l="1"/>
  <c r="H72" i="5" s="1"/>
  <c r="W74" i="5"/>
  <c r="U75" i="5" s="1"/>
  <c r="J72" i="5" l="1"/>
  <c r="H73" i="5" s="1"/>
  <c r="J73" i="5" s="1"/>
  <c r="W75" i="5"/>
  <c r="U76" i="5" s="1"/>
  <c r="W76" i="5" l="1"/>
  <c r="U77" i="5" s="1"/>
  <c r="H74" i="5"/>
  <c r="J74" i="5"/>
  <c r="W77" i="5" l="1"/>
  <c r="U78" i="5" s="1"/>
  <c r="H75" i="5"/>
  <c r="J75" i="5" l="1"/>
  <c r="H76" i="5" s="1"/>
  <c r="W78" i="5"/>
  <c r="U79" i="5" s="1"/>
  <c r="J76" i="5" l="1"/>
  <c r="H77" i="5" s="1"/>
  <c r="W79" i="5"/>
  <c r="U80" i="5" s="1"/>
  <c r="J77" i="5" l="1"/>
  <c r="W80" i="5"/>
  <c r="U81" i="5" s="1"/>
  <c r="H78" i="5"/>
  <c r="J78" i="5"/>
  <c r="W81" i="5" l="1"/>
  <c r="U82" i="5" s="1"/>
  <c r="H79" i="5"/>
  <c r="J79" i="5"/>
  <c r="W82" i="5" l="1"/>
  <c r="U83" i="5" s="1"/>
  <c r="H80" i="5"/>
  <c r="J80" i="5"/>
  <c r="W83" i="5" l="1"/>
  <c r="U84" i="5" s="1"/>
  <c r="H81" i="5"/>
  <c r="J81" i="5"/>
  <c r="W84" i="5" l="1"/>
  <c r="U85" i="5" s="1"/>
  <c r="H82" i="5"/>
  <c r="J82" i="5" l="1"/>
  <c r="H83" i="5" s="1"/>
  <c r="J83" i="5" s="1"/>
  <c r="W85" i="5"/>
  <c r="U86" i="5" s="1"/>
  <c r="W86" i="5" l="1"/>
  <c r="U87" i="5" s="1"/>
  <c r="H84" i="5"/>
  <c r="J84" i="5" l="1"/>
  <c r="H85" i="5" s="1"/>
  <c r="J85" i="5" s="1"/>
  <c r="W87" i="5"/>
  <c r="U88" i="5" s="1"/>
  <c r="W88" i="5" l="1"/>
  <c r="U89" i="5" s="1"/>
  <c r="H86" i="5"/>
  <c r="J86" i="5"/>
  <c r="W89" i="5" l="1"/>
  <c r="U90" i="5" s="1"/>
  <c r="H87" i="5"/>
  <c r="J87" i="5"/>
  <c r="W90" i="5" l="1"/>
  <c r="U91" i="5" s="1"/>
  <c r="H88" i="5"/>
  <c r="J88" i="5"/>
  <c r="W91" i="5" l="1"/>
  <c r="U92" i="5" s="1"/>
  <c r="H89" i="5"/>
  <c r="J89" i="5"/>
  <c r="W92" i="5" l="1"/>
  <c r="U93" i="5" s="1"/>
  <c r="H90" i="5"/>
  <c r="J90" i="5"/>
  <c r="W93" i="5" l="1"/>
  <c r="U94" i="5" s="1"/>
  <c r="H91" i="5"/>
  <c r="J91" i="5" l="1"/>
  <c r="H92" i="5" s="1"/>
  <c r="W94" i="5"/>
  <c r="U95" i="5" s="1"/>
  <c r="J92" i="5"/>
  <c r="W95" i="5" l="1"/>
  <c r="U96" i="5" s="1"/>
  <c r="H93" i="5"/>
  <c r="J93" i="5"/>
  <c r="W96" i="5" l="1"/>
  <c r="U97" i="5" s="1"/>
  <c r="H94" i="5"/>
  <c r="J94" i="5" l="1"/>
  <c r="H95" i="5" s="1"/>
  <c r="W97" i="5"/>
  <c r="U98" i="5" s="1"/>
  <c r="J95" i="5" l="1"/>
  <c r="W98" i="5"/>
  <c r="U99" i="5" s="1"/>
  <c r="H96" i="5"/>
  <c r="J96" i="5" l="1"/>
  <c r="H97" i="5" s="1"/>
  <c r="J97" i="5" s="1"/>
  <c r="W99" i="5"/>
  <c r="U100" i="5" s="1"/>
  <c r="W100" i="5" l="1"/>
  <c r="U101" i="5" s="1"/>
  <c r="H98" i="5"/>
  <c r="J98" i="5"/>
  <c r="W101" i="5" l="1"/>
  <c r="U102" i="5" s="1"/>
  <c r="H99" i="5"/>
  <c r="J99" i="5" s="1"/>
  <c r="W102" i="5" l="1"/>
  <c r="U103" i="5" s="1"/>
  <c r="H100" i="5"/>
  <c r="J100" i="5" l="1"/>
  <c r="H101" i="5" s="1"/>
  <c r="W103" i="5"/>
  <c r="U104" i="5" s="1"/>
  <c r="J101" i="5" l="1"/>
  <c r="H102" i="5" s="1"/>
  <c r="J102" i="5" s="1"/>
  <c r="W104" i="5"/>
  <c r="U105" i="5" s="1"/>
  <c r="W105" i="5" l="1"/>
  <c r="U106" i="5" s="1"/>
  <c r="H103" i="5"/>
  <c r="J103" i="5"/>
  <c r="W106" i="5" l="1"/>
  <c r="U107" i="5" s="1"/>
  <c r="H104" i="5"/>
  <c r="J104" i="5" l="1"/>
  <c r="W107" i="5"/>
  <c r="U108" i="5" s="1"/>
  <c r="J105" i="5"/>
  <c r="H105" i="5"/>
  <c r="W108" i="5" l="1"/>
  <c r="U109" i="5" s="1"/>
  <c r="H106" i="5"/>
  <c r="J106" i="5" s="1"/>
  <c r="W109" i="5" l="1"/>
  <c r="U110" i="5" s="1"/>
  <c r="H107" i="5"/>
  <c r="J107" i="5" l="1"/>
  <c r="H108" i="5" s="1"/>
  <c r="W110" i="5"/>
  <c r="U111" i="5" s="1"/>
  <c r="J108" i="5" l="1"/>
  <c r="H109" i="5" s="1"/>
  <c r="J109" i="5" s="1"/>
  <c r="W111" i="5"/>
  <c r="U112" i="5" s="1"/>
  <c r="W112" i="5" l="1"/>
  <c r="H110" i="5"/>
  <c r="J110" i="5"/>
  <c r="H111" i="5" l="1"/>
  <c r="J111" i="5" l="1"/>
  <c r="H112" i="5" s="1"/>
  <c r="J112" i="5" s="1"/>
</calcChain>
</file>

<file path=xl/sharedStrings.xml><?xml version="1.0" encoding="utf-8"?>
<sst xmlns="http://schemas.openxmlformats.org/spreadsheetml/2006/main" count="32" uniqueCount="23">
  <si>
    <t>BEGINNING VALUE</t>
  </si>
  <si>
    <t>MONTHLY INVESTMENT</t>
  </si>
  <si>
    <t>VALUE AT THE END OF THE YEAR</t>
  </si>
  <si>
    <t>PLANNED MONTHLY INVESTMENT</t>
  </si>
  <si>
    <t>EXPECTED ANNUAL INCREMENTAL RATE FOR INVESTMENT</t>
  </si>
  <si>
    <t>https://zerodha.com/open-account?c=ZM...</t>
  </si>
  <si>
    <t>https://tinyurl.com/y8sbw9w8</t>
  </si>
  <si>
    <t xml:space="preserve">http://tinyurl.com/y3r42a2x </t>
  </si>
  <si>
    <t>ZERODHA</t>
  </si>
  <si>
    <t>UPSTOX</t>
  </si>
  <si>
    <t>ANGEL BROKING</t>
  </si>
  <si>
    <t>To support Your Money Purse Channel you can open the demat Account with the links below</t>
  </si>
  <si>
    <t>YEAR</t>
  </si>
  <si>
    <t>NUMBER OF YEARS OF INVESTMENT</t>
  </si>
  <si>
    <t>RETURN EXPECTED</t>
  </si>
  <si>
    <t>Click In the Link below to Compare Your Term &amp; Health Insurance Plans</t>
  </si>
  <si>
    <t>Term Plan</t>
  </si>
  <si>
    <t>Health Insurance</t>
  </si>
  <si>
    <t>https://tinyurl.com/44tp7uor</t>
  </si>
  <si>
    <t>https://tinyurl.com/pgc9dcxc</t>
  </si>
  <si>
    <t>INCREMENTAL SIP INVESTMENT CALCULATOR WITH "X" VALUE</t>
  </si>
  <si>
    <t xml:space="preserve">INCREMENTAL SIP INVESTMENT CALCULATOR WITH "X%" </t>
  </si>
  <si>
    <t>HOLDING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</si>
</sst>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0"/>
      <name val="Calibri (Body)"/>
    </font>
    <font>
      <u/>
      <sz val="20"/>
      <color theme="10"/>
      <name val="Calibri"/>
      <family val="2"/>
      <scheme val="minor"/>
    </font>
    <font>
      <sz val="20"/>
      <color rgb="FF0D0D0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</fills>
  <borders count="28">
    <border>
      <left/>
      <right/>
      <top/>
      <bottom/>
      <diagonal/>
    </border>
    <border>
      <left/>
      <right/>
      <top style="thick">
        <color rgb="FF002060"/>
      </top>
      <bottom/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 style="medium">
        <color rgb="FF002060"/>
      </right>
      <top style="thick">
        <color theme="0"/>
      </top>
      <bottom style="thick">
        <color theme="0"/>
      </bottom>
      <diagonal/>
    </border>
    <border>
      <left style="medium">
        <color rgb="FF002060"/>
      </left>
      <right style="medium">
        <color rgb="FF002060"/>
      </right>
      <top style="thick">
        <color theme="0"/>
      </top>
      <bottom style="medium">
        <color rgb="FF002060"/>
      </bottom>
      <diagonal/>
    </border>
    <border>
      <left style="medium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/>
      <top style="thick">
        <color rgb="FF002060"/>
      </top>
      <bottom style="thick">
        <color rgb="FF00206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medium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/>
      <right/>
      <top style="thick">
        <color theme="0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2" fillId="2" borderId="0" xfId="0" applyFont="1" applyFill="1"/>
    <xf numFmtId="9" fontId="2" fillId="2" borderId="0" xfId="0" applyNumberFormat="1" applyFont="1" applyFill="1"/>
    <xf numFmtId="0" fontId="3" fillId="4" borderId="16" xfId="0" applyFont="1" applyFill="1" applyBorder="1"/>
    <xf numFmtId="0" fontId="3" fillId="4" borderId="17" xfId="0" applyFont="1" applyFill="1" applyBorder="1"/>
    <xf numFmtId="8" fontId="3" fillId="4" borderId="4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4" borderId="4" xfId="0" applyFont="1" applyFill="1" applyBorder="1" applyAlignment="1">
      <alignment horizontal="center"/>
    </xf>
    <xf numFmtId="0" fontId="3" fillId="5" borderId="4" xfId="0" applyFont="1" applyFill="1" applyBorder="1" applyAlignment="1" applyProtection="1">
      <alignment horizontal="center"/>
      <protection hidden="1"/>
    </xf>
    <xf numFmtId="164" fontId="3" fillId="5" borderId="4" xfId="0" applyNumberFormat="1" applyFont="1" applyFill="1" applyBorder="1" applyAlignment="1" applyProtection="1">
      <alignment horizontal="center"/>
      <protection hidden="1"/>
    </xf>
    <xf numFmtId="8" fontId="3" fillId="5" borderId="4" xfId="0" applyNumberFormat="1" applyFont="1" applyFill="1" applyBorder="1" applyAlignment="1" applyProtection="1">
      <alignment horizontal="center"/>
      <protection hidden="1"/>
    </xf>
    <xf numFmtId="164" fontId="2" fillId="3" borderId="21" xfId="0" applyNumberFormat="1" applyFont="1" applyFill="1" applyBorder="1" applyAlignment="1" applyProtection="1">
      <alignment horizontal="center"/>
      <protection locked="0"/>
    </xf>
    <xf numFmtId="1" fontId="2" fillId="3" borderId="21" xfId="0" applyNumberFormat="1" applyFont="1" applyFill="1" applyBorder="1" applyAlignment="1" applyProtection="1">
      <alignment horizontal="center"/>
      <protection locked="0"/>
    </xf>
    <xf numFmtId="9" fontId="2" fillId="3" borderId="21" xfId="1" applyFont="1" applyFill="1" applyBorder="1" applyAlignment="1" applyProtection="1">
      <alignment horizontal="center"/>
      <protection locked="0"/>
    </xf>
    <xf numFmtId="164" fontId="2" fillId="3" borderId="21" xfId="1" applyNumberFormat="1" applyFont="1" applyFill="1" applyBorder="1" applyAlignment="1" applyProtection="1">
      <alignment horizontal="center"/>
      <protection locked="0"/>
    </xf>
    <xf numFmtId="1" fontId="2" fillId="3" borderId="0" xfId="1" applyNumberFormat="1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4" borderId="27" xfId="0" applyFont="1" applyFill="1" applyBorder="1" applyAlignment="1" applyProtection="1">
      <alignment horizontal="left"/>
      <protection hidden="1"/>
    </xf>
    <xf numFmtId="0" fontId="9" fillId="0" borderId="24" xfId="2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9" fillId="0" borderId="20" xfId="2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9" fillId="0" borderId="18" xfId="2" applyFont="1" applyBorder="1" applyAlignment="1">
      <alignment horizontal="center"/>
    </xf>
    <xf numFmtId="0" fontId="9" fillId="0" borderId="14" xfId="2" applyFont="1" applyBorder="1" applyAlignment="1">
      <alignment horizontal="center"/>
    </xf>
    <xf numFmtId="0" fontId="9" fillId="0" borderId="13" xfId="2" applyFont="1" applyBorder="1" applyAlignment="1">
      <alignment horizontal="center"/>
    </xf>
    <xf numFmtId="0" fontId="9" fillId="0" borderId="15" xfId="2" applyFont="1" applyBorder="1" applyAlignment="1">
      <alignment horizontal="center"/>
    </xf>
    <xf numFmtId="0" fontId="9" fillId="0" borderId="19" xfId="2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6" fillId="0" borderId="11" xfId="0" applyFont="1" applyBorder="1" applyAlignment="1">
      <alignment horizontal="center"/>
    </xf>
    <xf numFmtId="0" fontId="3" fillId="4" borderId="22" xfId="0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929000"/>
      <color rgb="FFF07C78"/>
      <color rgb="FFFEF3CC"/>
      <color rgb="FFFF7E79"/>
      <color rgb="FF4E8F00"/>
      <color rgb="FF941100"/>
      <color rgb="FF0090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476250</xdr:colOff>
      <xdr:row>4</xdr:row>
      <xdr:rowOff>218282</xdr:rowOff>
    </xdr:from>
    <xdr:to>
      <xdr:col>15</xdr:col>
      <xdr:colOff>85282</xdr:colOff>
      <xdr:row>9</xdr:row>
      <xdr:rowOff>19844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0C5FFC-0087-FC03-EDE4-B618DD25F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20625" y="1785938"/>
          <a:ext cx="2823720" cy="1647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32B0-49C5-2842-A205-03D8263DDFF0}">
  <dimension ref="E1:Y115"/>
  <sheetViews>
    <sheetView showGridLines="0" tabSelected="1" topLeftCell="A2" zoomScale="64" zoomScaleNormal="60" workbookViewId="0">
      <pane xSplit="1" ySplit="11" topLeftCell="H13" activePane="bottomRight" state="frozen"/>
      <selection activeCell="A2" sqref="A2"/>
      <selection pane="topRight" activeCell="B2" sqref="B2"/>
      <selection pane="bottomLeft" activeCell="A13" sqref="A13"/>
      <selection pane="bottomRight" activeCell="N28" sqref="N28"/>
    </sheetView>
  </sheetViews>
  <sheetFormatPr baseColWidth="10" defaultRowHeight="29" x14ac:dyDescent="0.35"/>
  <cols>
    <col min="1" max="1" width="10.83203125" style="6"/>
    <col min="2" max="2" width="33.6640625" style="6" customWidth="1"/>
    <col min="3" max="3" width="15.83203125" style="6" customWidth="1"/>
    <col min="4" max="4" width="15.5" style="6" customWidth="1"/>
    <col min="5" max="5" width="5.33203125" style="6" customWidth="1"/>
    <col min="6" max="6" width="2.5" style="6" customWidth="1"/>
    <col min="7" max="7" width="20.33203125" style="6" customWidth="1"/>
    <col min="8" max="8" width="54.33203125" style="6" customWidth="1"/>
    <col min="9" max="9" width="60.6640625" style="6" customWidth="1"/>
    <col min="10" max="10" width="66" style="6" customWidth="1"/>
    <col min="11" max="11" width="2.83203125" style="6" customWidth="1"/>
    <col min="12" max="12" width="10.83203125" style="6"/>
    <col min="13" max="13" width="27.1640625" style="6" bestFit="1" customWidth="1"/>
    <col min="14" max="14" width="24.83203125" style="6" customWidth="1"/>
    <col min="15" max="15" width="17.5" style="6" customWidth="1"/>
    <col min="16" max="16" width="18.33203125" style="6" customWidth="1"/>
    <col min="17" max="17" width="17.83203125" style="6" customWidth="1"/>
    <col min="18" max="18" width="10.6640625" style="6" customWidth="1"/>
    <col min="19" max="19" width="2.83203125" style="6" customWidth="1"/>
    <col min="20" max="20" width="16.6640625" style="6" customWidth="1"/>
    <col min="21" max="21" width="49.33203125" style="6" customWidth="1"/>
    <col min="22" max="22" width="47" style="6" customWidth="1"/>
    <col min="23" max="23" width="72.83203125" style="6" customWidth="1"/>
    <col min="24" max="24" width="2.33203125" style="6" customWidth="1"/>
    <col min="25" max="25" width="5.5" style="6" customWidth="1"/>
    <col min="26" max="16384" width="10.83203125" style="6"/>
  </cols>
  <sheetData>
    <row r="1" spans="5:25" ht="30" thickBot="1" x14ac:dyDescent="0.4"/>
    <row r="2" spans="5:25" ht="31" thickTop="1" thickBot="1" x14ac:dyDescent="0.4">
      <c r="E2" s="32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4"/>
    </row>
    <row r="3" spans="5:25" ht="15" customHeight="1" thickTop="1" x14ac:dyDescent="0.35">
      <c r="E3" s="35"/>
      <c r="F3" s="32"/>
      <c r="G3" s="33"/>
      <c r="H3" s="33"/>
      <c r="I3" s="33"/>
      <c r="J3" s="33"/>
      <c r="K3" s="34"/>
      <c r="S3" s="32"/>
      <c r="T3" s="33"/>
      <c r="U3" s="33"/>
      <c r="V3" s="33"/>
      <c r="W3" s="33"/>
      <c r="X3" s="34"/>
      <c r="Y3" s="39"/>
    </row>
    <row r="4" spans="5:25" ht="47" x14ac:dyDescent="0.55000000000000004">
      <c r="E4" s="35"/>
      <c r="F4" s="35"/>
      <c r="G4" s="40" t="s">
        <v>21</v>
      </c>
      <c r="H4" s="41"/>
      <c r="I4" s="41"/>
      <c r="J4" s="41"/>
      <c r="K4" s="42"/>
      <c r="S4" s="35"/>
      <c r="T4" s="40" t="s">
        <v>20</v>
      </c>
      <c r="U4" s="41"/>
      <c r="V4" s="41"/>
      <c r="W4" s="41"/>
      <c r="X4" s="42"/>
      <c r="Y4" s="39"/>
    </row>
    <row r="5" spans="5:25" ht="21" customHeight="1" thickBot="1" x14ac:dyDescent="0.4">
      <c r="E5" s="35"/>
      <c r="F5" s="35"/>
      <c r="K5" s="42"/>
      <c r="S5" s="35"/>
      <c r="X5" s="42"/>
      <c r="Y5" s="39"/>
    </row>
    <row r="6" spans="5:25" ht="31" thickTop="1" thickBot="1" x14ac:dyDescent="0.4">
      <c r="E6" s="35"/>
      <c r="F6" s="35"/>
      <c r="G6" s="16" t="s">
        <v>3</v>
      </c>
      <c r="H6" s="16"/>
      <c r="I6" s="43"/>
      <c r="J6" s="11">
        <v>1000</v>
      </c>
      <c r="K6" s="42"/>
      <c r="S6" s="35"/>
      <c r="T6" s="16" t="s">
        <v>3</v>
      </c>
      <c r="U6" s="16"/>
      <c r="V6" s="43"/>
      <c r="W6" s="11">
        <f>J6</f>
        <v>1000</v>
      </c>
      <c r="X6" s="42"/>
      <c r="Y6" s="39"/>
    </row>
    <row r="7" spans="5:25" ht="31" thickTop="1" thickBot="1" x14ac:dyDescent="0.4">
      <c r="E7" s="35"/>
      <c r="F7" s="35"/>
      <c r="G7" s="16" t="s">
        <v>13</v>
      </c>
      <c r="H7" s="16"/>
      <c r="I7" s="43"/>
      <c r="J7" s="12">
        <v>5</v>
      </c>
      <c r="K7" s="42"/>
      <c r="S7" s="35"/>
      <c r="T7" s="16" t="s">
        <v>13</v>
      </c>
      <c r="U7" s="16"/>
      <c r="V7" s="43"/>
      <c r="W7" s="12">
        <f>J7</f>
        <v>5</v>
      </c>
      <c r="X7" s="42"/>
      <c r="Y7" s="39"/>
    </row>
    <row r="8" spans="5:25" ht="31" thickTop="1" thickBot="1" x14ac:dyDescent="0.4">
      <c r="E8" s="35"/>
      <c r="F8" s="35"/>
      <c r="G8" s="16" t="s">
        <v>14</v>
      </c>
      <c r="H8" s="16"/>
      <c r="I8" s="43"/>
      <c r="J8" s="13">
        <v>0.12</v>
      </c>
      <c r="K8" s="42"/>
      <c r="S8" s="35"/>
      <c r="T8" s="16" t="s">
        <v>14</v>
      </c>
      <c r="U8" s="16"/>
      <c r="V8" s="43"/>
      <c r="W8" s="13">
        <f>J8</f>
        <v>0.12</v>
      </c>
      <c r="X8" s="42"/>
      <c r="Y8" s="39"/>
    </row>
    <row r="9" spans="5:25" ht="31" thickTop="1" thickBot="1" x14ac:dyDescent="0.4">
      <c r="E9" s="35"/>
      <c r="F9" s="35"/>
      <c r="G9" s="16" t="s">
        <v>4</v>
      </c>
      <c r="H9" s="16"/>
      <c r="I9" s="43"/>
      <c r="J9" s="13">
        <v>0.1</v>
      </c>
      <c r="K9" s="42"/>
      <c r="S9" s="35"/>
      <c r="T9" s="16" t="s">
        <v>4</v>
      </c>
      <c r="U9" s="16"/>
      <c r="V9" s="43"/>
      <c r="W9" s="14">
        <v>0</v>
      </c>
      <c r="X9" s="42"/>
      <c r="Y9" s="39"/>
    </row>
    <row r="10" spans="5:25" ht="30" thickTop="1" x14ac:dyDescent="0.35">
      <c r="E10" s="35"/>
      <c r="F10" s="35"/>
      <c r="G10" s="20" t="s">
        <v>22</v>
      </c>
      <c r="H10" s="20"/>
      <c r="I10" s="20"/>
      <c r="J10" s="15">
        <v>25</v>
      </c>
      <c r="K10" s="42"/>
      <c r="S10" s="35"/>
      <c r="T10" s="20" t="s">
        <v>22</v>
      </c>
      <c r="U10" s="20"/>
      <c r="V10" s="20"/>
      <c r="W10" s="15">
        <v>12</v>
      </c>
      <c r="X10" s="42"/>
      <c r="Y10" s="39"/>
    </row>
    <row r="11" spans="5:25" ht="16" customHeight="1" thickBot="1" x14ac:dyDescent="0.4">
      <c r="E11" s="35"/>
      <c r="F11" s="35"/>
      <c r="G11" s="1"/>
      <c r="H11" s="2"/>
      <c r="I11" s="1"/>
      <c r="J11" s="1"/>
      <c r="K11" s="42"/>
      <c r="S11" s="35"/>
      <c r="T11" s="1"/>
      <c r="U11" s="2"/>
      <c r="V11" s="1"/>
      <c r="W11" s="1"/>
      <c r="X11" s="42"/>
      <c r="Y11" s="39"/>
    </row>
    <row r="12" spans="5:25" ht="31" thickTop="1" thickBot="1" x14ac:dyDescent="0.4">
      <c r="E12" s="35"/>
      <c r="F12" s="35"/>
      <c r="G12" s="5" t="s">
        <v>12</v>
      </c>
      <c r="H12" s="7" t="s">
        <v>0</v>
      </c>
      <c r="I12" s="7" t="s">
        <v>1</v>
      </c>
      <c r="J12" s="7" t="s">
        <v>2</v>
      </c>
      <c r="K12" s="42"/>
      <c r="S12" s="35"/>
      <c r="T12" s="5" t="s">
        <v>12</v>
      </c>
      <c r="U12" s="7" t="s">
        <v>0</v>
      </c>
      <c r="V12" s="7" t="s">
        <v>1</v>
      </c>
      <c r="W12" s="7" t="s">
        <v>2</v>
      </c>
      <c r="X12" s="42"/>
      <c r="Y12" s="39"/>
    </row>
    <row r="13" spans="5:25" ht="31" thickTop="1" thickBot="1" x14ac:dyDescent="0.4">
      <c r="E13" s="35"/>
      <c r="F13" s="35"/>
      <c r="G13" s="8">
        <v>1</v>
      </c>
      <c r="H13" s="9">
        <f>IF(G13&gt;0,0, "N A")</f>
        <v>0</v>
      </c>
      <c r="I13" s="9">
        <f>IF(G13&gt;0,$J$6, "N A")</f>
        <v>1000</v>
      </c>
      <c r="J13" s="10">
        <f>IF(G13&gt;0,FV(NOMINAL($J$8,12)/12,12,-I13,-H13,1), "N A")</f>
        <v>12766.497908353236</v>
      </c>
      <c r="K13" s="42"/>
      <c r="S13" s="35"/>
      <c r="T13" s="8">
        <v>1</v>
      </c>
      <c r="U13" s="9">
        <f>IF(T13&gt;0,0, "N A")</f>
        <v>0</v>
      </c>
      <c r="V13" s="9">
        <f>IF(T13&gt;0,$J$6, "N A")</f>
        <v>1000</v>
      </c>
      <c r="W13" s="10">
        <f>IF(T13&gt;0,FV(NOMINAL($W$8,12)/12,12,-V13,-U13,1), "N A")</f>
        <v>12766.497908353236</v>
      </c>
      <c r="X13" s="42"/>
      <c r="Y13" s="39"/>
    </row>
    <row r="14" spans="5:25" ht="31" thickTop="1" thickBot="1" x14ac:dyDescent="0.4">
      <c r="E14" s="35"/>
      <c r="F14" s="35"/>
      <c r="G14" s="8">
        <f>IF(G13+1&gt;$J$7+$J$10,"N A",G13+1)</f>
        <v>2</v>
      </c>
      <c r="H14" s="10">
        <f>IF(G14= "N A", "N A",J13)</f>
        <v>12766.497908353236</v>
      </c>
      <c r="I14" s="9">
        <f>IF(G14&lt;=$J$7,I13+I13*$J$9,0)</f>
        <v>1100</v>
      </c>
      <c r="J14" s="10">
        <f>IF(G14= "N A", "N A",FV(NOMINAL($J$8,12)/12,12,-I14,-H14,1))</f>
        <v>28341.625356544202</v>
      </c>
      <c r="K14" s="42"/>
      <c r="M14" s="17" t="s">
        <v>11</v>
      </c>
      <c r="N14" s="18"/>
      <c r="O14" s="18"/>
      <c r="P14" s="18"/>
      <c r="Q14" s="19"/>
      <c r="S14" s="35"/>
      <c r="T14" s="8">
        <f>IF(T13+1&gt;$W$7+$W$10,"N A",T13+1)</f>
        <v>2</v>
      </c>
      <c r="U14" s="10">
        <f>IF(T14= "N A", "N A",W13)</f>
        <v>12766.497908353236</v>
      </c>
      <c r="V14" s="9">
        <f>IF(T14&lt;=$W$7,V13+$W$9,0)</f>
        <v>1000</v>
      </c>
      <c r="W14" s="10">
        <f>IF(T14= "N A", "N A",FV(NOMINAL($W$8,12)/12,12,-V14,-U14,1))</f>
        <v>27064.975565708879</v>
      </c>
      <c r="X14" s="42"/>
      <c r="Y14" s="39"/>
    </row>
    <row r="15" spans="5:25" ht="31" thickTop="1" thickBot="1" x14ac:dyDescent="0.4">
      <c r="E15" s="35"/>
      <c r="F15" s="35"/>
      <c r="G15" s="8">
        <f t="shared" ref="G15:G78" si="0">IF(G14+1&gt;$J$7+$J$10,"N A",G14+1)</f>
        <v>3</v>
      </c>
      <c r="H15" s="10">
        <f t="shared" ref="H15:H78" si="1">IF(G15= "N A", "N A",J14)</f>
        <v>28341.625356544202</v>
      </c>
      <c r="I15" s="9">
        <f t="shared" ref="I15:I78" si="2">IF(G15&lt;=$J$7,I14+I14*$J$9,0)</f>
        <v>1210</v>
      </c>
      <c r="J15" s="10">
        <f t="shared" ref="J15:J78" si="3">IF(G15= "N A", "N A",FV(NOMINAL($J$8,12)/12,12,-I15,-H15,1))</f>
        <v>47190.082868436963</v>
      </c>
      <c r="K15" s="42"/>
      <c r="M15" s="3" t="s">
        <v>8</v>
      </c>
      <c r="N15" s="27" t="s">
        <v>5</v>
      </c>
      <c r="O15" s="28"/>
      <c r="P15" s="28"/>
      <c r="Q15" s="28"/>
      <c r="S15" s="35"/>
      <c r="T15" s="8">
        <f t="shared" ref="T15:T78" si="4">IF(T14+1&gt;$W$7+$W$10,"N A",T14+1)</f>
        <v>3</v>
      </c>
      <c r="U15" s="10">
        <f t="shared" ref="U15:U78" si="5">IF(T15= "N A", "N A",W14)</f>
        <v>27064.975565708879</v>
      </c>
      <c r="V15" s="9">
        <f t="shared" ref="V15:V78" si="6">IF(T15&lt;=$W$7,V14+$W$9,0)</f>
        <v>1000</v>
      </c>
      <c r="W15" s="10">
        <f t="shared" ref="W15:W78" si="7">IF(T15= "N A", "N A",FV(NOMINAL($W$8,12)/12,12,-V15,-U15,1))</f>
        <v>43079.270541947219</v>
      </c>
      <c r="X15" s="42"/>
      <c r="Y15" s="39"/>
    </row>
    <row r="16" spans="5:25" ht="31" thickTop="1" thickBot="1" x14ac:dyDescent="0.4">
      <c r="E16" s="35"/>
      <c r="F16" s="35"/>
      <c r="G16" s="8">
        <f t="shared" si="0"/>
        <v>4</v>
      </c>
      <c r="H16" s="10">
        <f t="shared" si="1"/>
        <v>47190.082868436963</v>
      </c>
      <c r="I16" s="9">
        <f t="shared" si="2"/>
        <v>1331</v>
      </c>
      <c r="J16" s="10">
        <f t="shared" si="3"/>
        <v>69845.101528667627</v>
      </c>
      <c r="K16" s="42"/>
      <c r="M16" s="3" t="s">
        <v>9</v>
      </c>
      <c r="N16" s="29" t="s">
        <v>6</v>
      </c>
      <c r="O16" s="30"/>
      <c r="P16" s="30"/>
      <c r="Q16" s="30"/>
      <c r="S16" s="35"/>
      <c r="T16" s="8">
        <f t="shared" si="4"/>
        <v>4</v>
      </c>
      <c r="U16" s="10">
        <f t="shared" si="5"/>
        <v>43079.270541947219</v>
      </c>
      <c r="V16" s="9">
        <f t="shared" si="6"/>
        <v>1000</v>
      </c>
      <c r="W16" s="10">
        <f t="shared" si="7"/>
        <v>61015.280915334188</v>
      </c>
      <c r="X16" s="42"/>
      <c r="Y16" s="39"/>
    </row>
    <row r="17" spans="5:25" ht="31" thickTop="1" thickBot="1" x14ac:dyDescent="0.4">
      <c r="E17" s="35"/>
      <c r="F17" s="35"/>
      <c r="G17" s="8">
        <f t="shared" si="0"/>
        <v>5</v>
      </c>
      <c r="H17" s="10">
        <f t="shared" si="1"/>
        <v>69845.101528667627</v>
      </c>
      <c r="I17" s="9">
        <f t="shared" si="2"/>
        <v>1464.1</v>
      </c>
      <c r="J17" s="10">
        <f t="shared" si="3"/>
        <v>96917.94329972782</v>
      </c>
      <c r="K17" s="42"/>
      <c r="M17" s="4" t="s">
        <v>10</v>
      </c>
      <c r="N17" s="24" t="s">
        <v>7</v>
      </c>
      <c r="O17" s="31"/>
      <c r="P17" s="31"/>
      <c r="Q17" s="29"/>
      <c r="S17" s="35"/>
      <c r="T17" s="8">
        <f t="shared" si="4"/>
        <v>5</v>
      </c>
      <c r="U17" s="10">
        <f t="shared" si="5"/>
        <v>61015.280915334188</v>
      </c>
      <c r="V17" s="9">
        <f t="shared" si="6"/>
        <v>1000</v>
      </c>
      <c r="W17" s="10">
        <f t="shared" si="7"/>
        <v>81103.612533527616</v>
      </c>
      <c r="X17" s="42"/>
      <c r="Y17" s="39"/>
    </row>
    <row r="18" spans="5:25" ht="31" thickTop="1" thickBot="1" x14ac:dyDescent="0.4">
      <c r="E18" s="35"/>
      <c r="F18" s="35"/>
      <c r="G18" s="8">
        <f t="shared" si="0"/>
        <v>6</v>
      </c>
      <c r="H18" s="10">
        <f t="shared" si="1"/>
        <v>96917.94329972782</v>
      </c>
      <c r="I18" s="9">
        <f t="shared" si="2"/>
        <v>0</v>
      </c>
      <c r="J18" s="10">
        <f t="shared" si="3"/>
        <v>108548.0964956953</v>
      </c>
      <c r="K18" s="42"/>
      <c r="S18" s="35"/>
      <c r="T18" s="8">
        <f t="shared" si="4"/>
        <v>6</v>
      </c>
      <c r="U18" s="10">
        <f t="shared" si="5"/>
        <v>81103.612533527616</v>
      </c>
      <c r="V18" s="9">
        <f t="shared" si="6"/>
        <v>0</v>
      </c>
      <c r="W18" s="10">
        <f t="shared" si="7"/>
        <v>90836.046037551045</v>
      </c>
      <c r="X18" s="42"/>
      <c r="Y18" s="39"/>
    </row>
    <row r="19" spans="5:25" ht="31" thickTop="1" thickBot="1" x14ac:dyDescent="0.4">
      <c r="E19" s="35"/>
      <c r="F19" s="35"/>
      <c r="G19" s="8">
        <f t="shared" si="0"/>
        <v>7</v>
      </c>
      <c r="H19" s="10">
        <f t="shared" si="1"/>
        <v>108548.0964956953</v>
      </c>
      <c r="I19" s="9">
        <f t="shared" si="2"/>
        <v>0</v>
      </c>
      <c r="J19" s="10">
        <f t="shared" si="3"/>
        <v>121573.86807517889</v>
      </c>
      <c r="K19" s="42"/>
      <c r="S19" s="35"/>
      <c r="T19" s="8">
        <f t="shared" si="4"/>
        <v>7</v>
      </c>
      <c r="U19" s="10">
        <f t="shared" si="5"/>
        <v>90836.046037551045</v>
      </c>
      <c r="V19" s="9">
        <f t="shared" si="6"/>
        <v>0</v>
      </c>
      <c r="W19" s="10">
        <f t="shared" si="7"/>
        <v>101736.37156205731</v>
      </c>
      <c r="X19" s="42"/>
      <c r="Y19" s="39"/>
    </row>
    <row r="20" spans="5:25" ht="31" thickTop="1" thickBot="1" x14ac:dyDescent="0.4">
      <c r="E20" s="35"/>
      <c r="F20" s="35"/>
      <c r="G20" s="8">
        <f t="shared" si="0"/>
        <v>8</v>
      </c>
      <c r="H20" s="10">
        <f t="shared" si="1"/>
        <v>121573.86807517889</v>
      </c>
      <c r="I20" s="9">
        <f t="shared" si="2"/>
        <v>0</v>
      </c>
      <c r="J20" s="10">
        <f t="shared" si="3"/>
        <v>136162.73224420054</v>
      </c>
      <c r="K20" s="42"/>
      <c r="M20" s="17" t="s">
        <v>15</v>
      </c>
      <c r="N20" s="18"/>
      <c r="O20" s="18"/>
      <c r="P20" s="18"/>
      <c r="Q20" s="19"/>
      <c r="S20" s="35"/>
      <c r="T20" s="8">
        <f t="shared" si="4"/>
        <v>8</v>
      </c>
      <c r="U20" s="10">
        <f t="shared" si="5"/>
        <v>101736.37156205731</v>
      </c>
      <c r="V20" s="9">
        <f t="shared" si="6"/>
        <v>0</v>
      </c>
      <c r="W20" s="10">
        <f t="shared" si="7"/>
        <v>113944.73614950433</v>
      </c>
      <c r="X20" s="42"/>
      <c r="Y20" s="39"/>
    </row>
    <row r="21" spans="5:25" ht="31" thickTop="1" thickBot="1" x14ac:dyDescent="0.4">
      <c r="E21" s="35"/>
      <c r="F21" s="35"/>
      <c r="G21" s="8">
        <f t="shared" si="0"/>
        <v>9</v>
      </c>
      <c r="H21" s="10">
        <f t="shared" si="1"/>
        <v>136162.73224420054</v>
      </c>
      <c r="I21" s="9">
        <f t="shared" si="2"/>
        <v>0</v>
      </c>
      <c r="J21" s="10">
        <f t="shared" si="3"/>
        <v>152502.2601135048</v>
      </c>
      <c r="K21" s="42"/>
      <c r="M21" s="3" t="s">
        <v>16</v>
      </c>
      <c r="N21" s="21" t="s">
        <v>18</v>
      </c>
      <c r="O21" s="22"/>
      <c r="P21" s="22"/>
      <c r="Q21" s="23"/>
      <c r="S21" s="35"/>
      <c r="T21" s="8">
        <f t="shared" si="4"/>
        <v>9</v>
      </c>
      <c r="U21" s="10">
        <f t="shared" si="5"/>
        <v>113944.73614950433</v>
      </c>
      <c r="V21" s="9">
        <f t="shared" si="6"/>
        <v>0</v>
      </c>
      <c r="W21" s="10">
        <f t="shared" si="7"/>
        <v>127618.10448744502</v>
      </c>
      <c r="X21" s="42"/>
      <c r="Y21" s="39"/>
    </row>
    <row r="22" spans="5:25" ht="31" thickTop="1" thickBot="1" x14ac:dyDescent="0.4">
      <c r="E22" s="35"/>
      <c r="F22" s="35"/>
      <c r="G22" s="8">
        <f t="shared" si="0"/>
        <v>10</v>
      </c>
      <c r="H22" s="10">
        <f t="shared" si="1"/>
        <v>152502.2601135048</v>
      </c>
      <c r="I22" s="9">
        <f t="shared" si="2"/>
        <v>0</v>
      </c>
      <c r="J22" s="10">
        <f t="shared" si="3"/>
        <v>170802.53132712559</v>
      </c>
      <c r="K22" s="42"/>
      <c r="M22" s="3" t="s">
        <v>17</v>
      </c>
      <c r="N22" s="24" t="s">
        <v>19</v>
      </c>
      <c r="O22" s="25"/>
      <c r="P22" s="25"/>
      <c r="Q22" s="26"/>
      <c r="S22" s="35"/>
      <c r="T22" s="8">
        <f t="shared" si="4"/>
        <v>10</v>
      </c>
      <c r="U22" s="10">
        <f t="shared" si="5"/>
        <v>127618.10448744502</v>
      </c>
      <c r="V22" s="9">
        <f t="shared" si="6"/>
        <v>0</v>
      </c>
      <c r="W22" s="10">
        <f t="shared" si="7"/>
        <v>142932.27702593862</v>
      </c>
      <c r="X22" s="42"/>
      <c r="Y22" s="39"/>
    </row>
    <row r="23" spans="5:25" ht="31" thickTop="1" thickBot="1" x14ac:dyDescent="0.4">
      <c r="E23" s="35"/>
      <c r="F23" s="35"/>
      <c r="G23" s="8">
        <f t="shared" si="0"/>
        <v>11</v>
      </c>
      <c r="H23" s="10">
        <f t="shared" si="1"/>
        <v>170802.53132712559</v>
      </c>
      <c r="I23" s="9">
        <f t="shared" si="2"/>
        <v>0</v>
      </c>
      <c r="J23" s="10">
        <f t="shared" si="3"/>
        <v>191298.83508638092</v>
      </c>
      <c r="K23" s="42"/>
      <c r="S23" s="35"/>
      <c r="T23" s="8">
        <f t="shared" si="4"/>
        <v>11</v>
      </c>
      <c r="U23" s="10">
        <f t="shared" si="5"/>
        <v>142932.27702593862</v>
      </c>
      <c r="V23" s="9">
        <f t="shared" si="6"/>
        <v>0</v>
      </c>
      <c r="W23" s="10">
        <f t="shared" si="7"/>
        <v>160084.15026905146</v>
      </c>
      <c r="X23" s="42"/>
      <c r="Y23" s="39"/>
    </row>
    <row r="24" spans="5:25" ht="31" thickTop="1" thickBot="1" x14ac:dyDescent="0.4">
      <c r="E24" s="35"/>
      <c r="F24" s="35"/>
      <c r="G24" s="8">
        <f t="shared" si="0"/>
        <v>12</v>
      </c>
      <c r="H24" s="10">
        <f t="shared" si="1"/>
        <v>191298.83508638092</v>
      </c>
      <c r="I24" s="9">
        <f t="shared" si="2"/>
        <v>0</v>
      </c>
      <c r="J24" s="10">
        <f t="shared" si="3"/>
        <v>214254.69529674691</v>
      </c>
      <c r="K24" s="42"/>
      <c r="S24" s="35"/>
      <c r="T24" s="8">
        <f t="shared" si="4"/>
        <v>12</v>
      </c>
      <c r="U24" s="10">
        <f t="shared" si="5"/>
        <v>160084.15026905146</v>
      </c>
      <c r="V24" s="9">
        <f t="shared" si="6"/>
        <v>0</v>
      </c>
      <c r="W24" s="10">
        <f t="shared" si="7"/>
        <v>179294.24830133788</v>
      </c>
      <c r="X24" s="42"/>
      <c r="Y24" s="39"/>
    </row>
    <row r="25" spans="5:25" ht="31" thickTop="1" thickBot="1" x14ac:dyDescent="0.4">
      <c r="E25" s="35"/>
      <c r="F25" s="35"/>
      <c r="G25" s="8">
        <f t="shared" si="0"/>
        <v>13</v>
      </c>
      <c r="H25" s="10">
        <f t="shared" si="1"/>
        <v>214254.69529674691</v>
      </c>
      <c r="I25" s="9">
        <f t="shared" si="2"/>
        <v>0</v>
      </c>
      <c r="J25" s="10">
        <f t="shared" si="3"/>
        <v>239965.25873235686</v>
      </c>
      <c r="K25" s="42"/>
      <c r="S25" s="35"/>
      <c r="T25" s="8">
        <f t="shared" si="4"/>
        <v>13</v>
      </c>
      <c r="U25" s="10">
        <f t="shared" si="5"/>
        <v>179294.24830133788</v>
      </c>
      <c r="V25" s="9">
        <f t="shared" si="6"/>
        <v>0</v>
      </c>
      <c r="W25" s="10">
        <f t="shared" si="7"/>
        <v>200809.5580974987</v>
      </c>
      <c r="X25" s="42"/>
      <c r="Y25" s="39"/>
    </row>
    <row r="26" spans="5:25" ht="31" thickTop="1" thickBot="1" x14ac:dyDescent="0.4">
      <c r="E26" s="35"/>
      <c r="F26" s="35"/>
      <c r="G26" s="8">
        <f t="shared" si="0"/>
        <v>14</v>
      </c>
      <c r="H26" s="10">
        <f t="shared" si="1"/>
        <v>239965.25873235686</v>
      </c>
      <c r="I26" s="9">
        <f t="shared" si="2"/>
        <v>0</v>
      </c>
      <c r="J26" s="10">
        <f t="shared" si="3"/>
        <v>268761.08978024003</v>
      </c>
      <c r="K26" s="42"/>
      <c r="S26" s="35"/>
      <c r="T26" s="8">
        <f t="shared" si="4"/>
        <v>14</v>
      </c>
      <c r="U26" s="10">
        <f t="shared" si="5"/>
        <v>200809.5580974987</v>
      </c>
      <c r="V26" s="9">
        <f t="shared" si="6"/>
        <v>0</v>
      </c>
      <c r="W26" s="10">
        <f t="shared" si="7"/>
        <v>224906.70506919883</v>
      </c>
      <c r="X26" s="42"/>
      <c r="Y26" s="39"/>
    </row>
    <row r="27" spans="5:25" ht="31" thickTop="1" thickBot="1" x14ac:dyDescent="0.4">
      <c r="E27" s="35"/>
      <c r="F27" s="35"/>
      <c r="G27" s="8">
        <f t="shared" si="0"/>
        <v>15</v>
      </c>
      <c r="H27" s="10">
        <f t="shared" si="1"/>
        <v>268761.08978024003</v>
      </c>
      <c r="I27" s="9">
        <f t="shared" si="2"/>
        <v>0</v>
      </c>
      <c r="J27" s="10">
        <f t="shared" si="3"/>
        <v>301012.42055386922</v>
      </c>
      <c r="K27" s="42"/>
      <c r="S27" s="35"/>
      <c r="T27" s="8">
        <f t="shared" si="4"/>
        <v>15</v>
      </c>
      <c r="U27" s="10">
        <f t="shared" si="5"/>
        <v>224906.70506919883</v>
      </c>
      <c r="V27" s="9">
        <f t="shared" si="6"/>
        <v>0</v>
      </c>
      <c r="W27" s="10">
        <f t="shared" si="7"/>
        <v>251895.509677503</v>
      </c>
      <c r="X27" s="42"/>
      <c r="Y27" s="39"/>
    </row>
    <row r="28" spans="5:25" ht="31" thickTop="1" thickBot="1" x14ac:dyDescent="0.4">
      <c r="E28" s="35"/>
      <c r="F28" s="35"/>
      <c r="G28" s="8">
        <f t="shared" si="0"/>
        <v>16</v>
      </c>
      <c r="H28" s="10">
        <f t="shared" si="1"/>
        <v>301012.42055386922</v>
      </c>
      <c r="I28" s="9">
        <f t="shared" si="2"/>
        <v>0</v>
      </c>
      <c r="J28" s="10">
        <f t="shared" si="3"/>
        <v>337133.91102033394</v>
      </c>
      <c r="K28" s="42"/>
      <c r="S28" s="35"/>
      <c r="T28" s="8">
        <f t="shared" si="4"/>
        <v>16</v>
      </c>
      <c r="U28" s="10">
        <f t="shared" si="5"/>
        <v>251895.509677503</v>
      </c>
      <c r="V28" s="9">
        <f t="shared" si="6"/>
        <v>0</v>
      </c>
      <c r="W28" s="10">
        <f t="shared" si="7"/>
        <v>282122.97083880374</v>
      </c>
      <c r="X28" s="42"/>
      <c r="Y28" s="39"/>
    </row>
    <row r="29" spans="5:25" ht="31" thickTop="1" thickBot="1" x14ac:dyDescent="0.4">
      <c r="E29" s="35"/>
      <c r="F29" s="35"/>
      <c r="G29" s="8">
        <f t="shared" si="0"/>
        <v>17</v>
      </c>
      <c r="H29" s="10">
        <f t="shared" si="1"/>
        <v>337133.91102033394</v>
      </c>
      <c r="I29" s="9">
        <f t="shared" si="2"/>
        <v>0</v>
      </c>
      <c r="J29" s="10">
        <f t="shared" si="3"/>
        <v>377589.98034277448</v>
      </c>
      <c r="K29" s="42"/>
      <c r="S29" s="35"/>
      <c r="T29" s="8">
        <f t="shared" si="4"/>
        <v>17</v>
      </c>
      <c r="U29" s="10">
        <f t="shared" si="5"/>
        <v>282122.97083880374</v>
      </c>
      <c r="V29" s="9">
        <f t="shared" si="6"/>
        <v>0</v>
      </c>
      <c r="W29" s="10">
        <f t="shared" si="7"/>
        <v>315977.72733946057</v>
      </c>
      <c r="X29" s="42"/>
      <c r="Y29" s="39"/>
    </row>
    <row r="30" spans="5:25" ht="31" thickTop="1" thickBot="1" x14ac:dyDescent="0.4">
      <c r="E30" s="35"/>
      <c r="F30" s="35"/>
      <c r="G30" s="8">
        <f t="shared" si="0"/>
        <v>18</v>
      </c>
      <c r="H30" s="10">
        <f t="shared" si="1"/>
        <v>377589.98034277448</v>
      </c>
      <c r="I30" s="9">
        <f t="shared" si="2"/>
        <v>0</v>
      </c>
      <c r="J30" s="10">
        <f t="shared" si="3"/>
        <v>422900.77798390796</v>
      </c>
      <c r="K30" s="42"/>
      <c r="S30" s="35"/>
      <c r="T30" s="8" t="str">
        <f t="shared" si="4"/>
        <v>N A</v>
      </c>
      <c r="U30" s="10" t="str">
        <f t="shared" si="5"/>
        <v>N A</v>
      </c>
      <c r="V30" s="9">
        <f t="shared" si="6"/>
        <v>0</v>
      </c>
      <c r="W30" s="10" t="str">
        <f t="shared" si="7"/>
        <v>N A</v>
      </c>
      <c r="X30" s="42"/>
      <c r="Y30" s="39"/>
    </row>
    <row r="31" spans="5:25" ht="31" thickTop="1" thickBot="1" x14ac:dyDescent="0.4">
      <c r="E31" s="35"/>
      <c r="F31" s="35"/>
      <c r="G31" s="8">
        <f t="shared" si="0"/>
        <v>19</v>
      </c>
      <c r="H31" s="10">
        <f t="shared" si="1"/>
        <v>422900.77798390796</v>
      </c>
      <c r="I31" s="9">
        <f t="shared" si="2"/>
        <v>0</v>
      </c>
      <c r="J31" s="10">
        <f t="shared" si="3"/>
        <v>473648.8713419775</v>
      </c>
      <c r="K31" s="42"/>
      <c r="S31" s="35"/>
      <c r="T31" s="8" t="e">
        <f t="shared" si="4"/>
        <v>#VALUE!</v>
      </c>
      <c r="U31" s="10" t="e">
        <f t="shared" si="5"/>
        <v>#VALUE!</v>
      </c>
      <c r="V31" s="9" t="e">
        <f t="shared" si="6"/>
        <v>#VALUE!</v>
      </c>
      <c r="W31" s="10" t="e">
        <f t="shared" si="7"/>
        <v>#VALUE!</v>
      </c>
      <c r="X31" s="42"/>
      <c r="Y31" s="39"/>
    </row>
    <row r="32" spans="5:25" ht="31" thickTop="1" thickBot="1" x14ac:dyDescent="0.4">
      <c r="E32" s="35"/>
      <c r="F32" s="35"/>
      <c r="G32" s="8">
        <f t="shared" si="0"/>
        <v>20</v>
      </c>
      <c r="H32" s="10">
        <f t="shared" si="1"/>
        <v>473648.8713419775</v>
      </c>
      <c r="I32" s="9">
        <f t="shared" si="2"/>
        <v>0</v>
      </c>
      <c r="J32" s="10">
        <f t="shared" si="3"/>
        <v>530486.73590301548</v>
      </c>
      <c r="K32" s="42"/>
      <c r="S32" s="35"/>
      <c r="T32" s="8" t="e">
        <f t="shared" si="4"/>
        <v>#VALUE!</v>
      </c>
      <c r="U32" s="10" t="e">
        <f t="shared" si="5"/>
        <v>#VALUE!</v>
      </c>
      <c r="V32" s="9" t="e">
        <f t="shared" si="6"/>
        <v>#VALUE!</v>
      </c>
      <c r="W32" s="10" t="e">
        <f t="shared" si="7"/>
        <v>#VALUE!</v>
      </c>
      <c r="X32" s="42"/>
      <c r="Y32" s="39"/>
    </row>
    <row r="33" spans="5:25" ht="31" thickTop="1" thickBot="1" x14ac:dyDescent="0.4">
      <c r="E33" s="35"/>
      <c r="F33" s="35"/>
      <c r="G33" s="8">
        <f t="shared" si="0"/>
        <v>21</v>
      </c>
      <c r="H33" s="10">
        <f t="shared" si="1"/>
        <v>530486.73590301548</v>
      </c>
      <c r="I33" s="9">
        <f t="shared" si="2"/>
        <v>0</v>
      </c>
      <c r="J33" s="10">
        <f t="shared" si="3"/>
        <v>594145.14421137806</v>
      </c>
      <c r="K33" s="42"/>
      <c r="S33" s="35"/>
      <c r="T33" s="8" t="e">
        <f t="shared" si="4"/>
        <v>#VALUE!</v>
      </c>
      <c r="U33" s="10" t="e">
        <f t="shared" si="5"/>
        <v>#VALUE!</v>
      </c>
      <c r="V33" s="9" t="e">
        <f t="shared" si="6"/>
        <v>#VALUE!</v>
      </c>
      <c r="W33" s="10" t="e">
        <f t="shared" si="7"/>
        <v>#VALUE!</v>
      </c>
      <c r="X33" s="42"/>
      <c r="Y33" s="39"/>
    </row>
    <row r="34" spans="5:25" ht="31" thickTop="1" thickBot="1" x14ac:dyDescent="0.4">
      <c r="E34" s="35"/>
      <c r="F34" s="35"/>
      <c r="G34" s="8">
        <f t="shared" si="0"/>
        <v>22</v>
      </c>
      <c r="H34" s="10">
        <f t="shared" si="1"/>
        <v>594145.14421137806</v>
      </c>
      <c r="I34" s="9">
        <f t="shared" si="2"/>
        <v>0</v>
      </c>
      <c r="J34" s="10">
        <f t="shared" si="3"/>
        <v>665442.56151674432</v>
      </c>
      <c r="K34" s="42"/>
      <c r="S34" s="35"/>
      <c r="T34" s="8" t="e">
        <f t="shared" si="4"/>
        <v>#VALUE!</v>
      </c>
      <c r="U34" s="10" t="e">
        <f t="shared" si="5"/>
        <v>#VALUE!</v>
      </c>
      <c r="V34" s="9" t="e">
        <f t="shared" si="6"/>
        <v>#VALUE!</v>
      </c>
      <c r="W34" s="10" t="e">
        <f t="shared" si="7"/>
        <v>#VALUE!</v>
      </c>
      <c r="X34" s="42"/>
      <c r="Y34" s="39"/>
    </row>
    <row r="35" spans="5:25" ht="31" thickTop="1" thickBot="1" x14ac:dyDescent="0.4">
      <c r="E35" s="35"/>
      <c r="F35" s="35"/>
      <c r="G35" s="8">
        <f t="shared" si="0"/>
        <v>23</v>
      </c>
      <c r="H35" s="10">
        <f t="shared" si="1"/>
        <v>665442.56151674432</v>
      </c>
      <c r="I35" s="9">
        <f t="shared" si="2"/>
        <v>0</v>
      </c>
      <c r="J35" s="10">
        <f t="shared" si="3"/>
        <v>745295.66889875464</v>
      </c>
      <c r="K35" s="42"/>
      <c r="S35" s="35"/>
      <c r="T35" s="8" t="e">
        <f t="shared" si="4"/>
        <v>#VALUE!</v>
      </c>
      <c r="U35" s="10" t="e">
        <f t="shared" si="5"/>
        <v>#VALUE!</v>
      </c>
      <c r="V35" s="9" t="e">
        <f t="shared" si="6"/>
        <v>#VALUE!</v>
      </c>
      <c r="W35" s="10" t="e">
        <f t="shared" si="7"/>
        <v>#VALUE!</v>
      </c>
      <c r="X35" s="42"/>
      <c r="Y35" s="39"/>
    </row>
    <row r="36" spans="5:25" ht="31" thickTop="1" thickBot="1" x14ac:dyDescent="0.4">
      <c r="E36" s="35"/>
      <c r="F36" s="35"/>
      <c r="G36" s="8">
        <f t="shared" si="0"/>
        <v>24</v>
      </c>
      <c r="H36" s="10">
        <f t="shared" si="1"/>
        <v>745295.66889875464</v>
      </c>
      <c r="I36" s="9">
        <f t="shared" si="2"/>
        <v>0</v>
      </c>
      <c r="J36" s="10">
        <f t="shared" si="3"/>
        <v>834731.14916660625</v>
      </c>
      <c r="K36" s="42"/>
      <c r="S36" s="35"/>
      <c r="T36" s="8" t="e">
        <f t="shared" si="4"/>
        <v>#VALUE!</v>
      </c>
      <c r="U36" s="10" t="e">
        <f t="shared" si="5"/>
        <v>#VALUE!</v>
      </c>
      <c r="V36" s="9" t="e">
        <f t="shared" si="6"/>
        <v>#VALUE!</v>
      </c>
      <c r="W36" s="10" t="e">
        <f t="shared" si="7"/>
        <v>#VALUE!</v>
      </c>
      <c r="X36" s="42"/>
      <c r="Y36" s="39"/>
    </row>
    <row r="37" spans="5:25" ht="31" thickTop="1" thickBot="1" x14ac:dyDescent="0.4">
      <c r="E37" s="35"/>
      <c r="F37" s="35"/>
      <c r="G37" s="8">
        <f t="shared" si="0"/>
        <v>25</v>
      </c>
      <c r="H37" s="10">
        <f t="shared" si="1"/>
        <v>834731.14916660625</v>
      </c>
      <c r="I37" s="9">
        <f t="shared" si="2"/>
        <v>0</v>
      </c>
      <c r="J37" s="10">
        <f t="shared" si="3"/>
        <v>934898.88706660015</v>
      </c>
      <c r="K37" s="42"/>
      <c r="S37" s="35"/>
      <c r="T37" s="8" t="e">
        <f t="shared" si="4"/>
        <v>#VALUE!</v>
      </c>
      <c r="U37" s="10" t="e">
        <f t="shared" si="5"/>
        <v>#VALUE!</v>
      </c>
      <c r="V37" s="9" t="e">
        <f t="shared" si="6"/>
        <v>#VALUE!</v>
      </c>
      <c r="W37" s="10" t="e">
        <f t="shared" si="7"/>
        <v>#VALUE!</v>
      </c>
      <c r="X37" s="42"/>
      <c r="Y37" s="39"/>
    </row>
    <row r="38" spans="5:25" ht="31" thickTop="1" thickBot="1" x14ac:dyDescent="0.4">
      <c r="E38" s="35"/>
      <c r="F38" s="35"/>
      <c r="G38" s="8">
        <f t="shared" si="0"/>
        <v>26</v>
      </c>
      <c r="H38" s="10">
        <f t="shared" si="1"/>
        <v>934898.88706660015</v>
      </c>
      <c r="I38" s="9">
        <f t="shared" si="2"/>
        <v>0</v>
      </c>
      <c r="J38" s="10">
        <f t="shared" si="3"/>
        <v>1047086.7535145935</v>
      </c>
      <c r="K38" s="42"/>
      <c r="S38" s="35"/>
      <c r="T38" s="8" t="e">
        <f t="shared" si="4"/>
        <v>#VALUE!</v>
      </c>
      <c r="U38" s="10" t="e">
        <f t="shared" si="5"/>
        <v>#VALUE!</v>
      </c>
      <c r="V38" s="9" t="e">
        <f t="shared" si="6"/>
        <v>#VALUE!</v>
      </c>
      <c r="W38" s="10" t="e">
        <f t="shared" si="7"/>
        <v>#VALUE!</v>
      </c>
      <c r="X38" s="42"/>
      <c r="Y38" s="39"/>
    </row>
    <row r="39" spans="5:25" ht="31" thickTop="1" thickBot="1" x14ac:dyDescent="0.4">
      <c r="E39" s="35"/>
      <c r="F39" s="35"/>
      <c r="G39" s="8">
        <f t="shared" si="0"/>
        <v>27</v>
      </c>
      <c r="H39" s="10">
        <f t="shared" si="1"/>
        <v>1047086.7535145935</v>
      </c>
      <c r="I39" s="9">
        <f t="shared" si="2"/>
        <v>0</v>
      </c>
      <c r="J39" s="10">
        <f t="shared" si="3"/>
        <v>1172737.1639363463</v>
      </c>
      <c r="K39" s="42"/>
      <c r="S39" s="35"/>
      <c r="T39" s="8" t="e">
        <f t="shared" si="4"/>
        <v>#VALUE!</v>
      </c>
      <c r="U39" s="10" t="e">
        <f t="shared" si="5"/>
        <v>#VALUE!</v>
      </c>
      <c r="V39" s="9" t="e">
        <f t="shared" si="6"/>
        <v>#VALUE!</v>
      </c>
      <c r="W39" s="10" t="e">
        <f t="shared" si="7"/>
        <v>#VALUE!</v>
      </c>
      <c r="X39" s="42"/>
      <c r="Y39" s="39"/>
    </row>
    <row r="40" spans="5:25" ht="31" thickTop="1" thickBot="1" x14ac:dyDescent="0.4">
      <c r="E40" s="35"/>
      <c r="F40" s="35"/>
      <c r="G40" s="8">
        <f t="shared" si="0"/>
        <v>28</v>
      </c>
      <c r="H40" s="10">
        <f t="shared" si="1"/>
        <v>1172737.1639363463</v>
      </c>
      <c r="I40" s="9">
        <f t="shared" si="2"/>
        <v>0</v>
      </c>
      <c r="J40" s="10">
        <f t="shared" si="3"/>
        <v>1313465.6236087095</v>
      </c>
      <c r="K40" s="42"/>
      <c r="S40" s="35"/>
      <c r="T40" s="8" t="e">
        <f t="shared" si="4"/>
        <v>#VALUE!</v>
      </c>
      <c r="U40" s="10" t="e">
        <f t="shared" si="5"/>
        <v>#VALUE!</v>
      </c>
      <c r="V40" s="9" t="e">
        <f t="shared" si="6"/>
        <v>#VALUE!</v>
      </c>
      <c r="W40" s="10" t="e">
        <f t="shared" si="7"/>
        <v>#VALUE!</v>
      </c>
      <c r="X40" s="42"/>
      <c r="Y40" s="39"/>
    </row>
    <row r="41" spans="5:25" ht="31" thickTop="1" thickBot="1" x14ac:dyDescent="0.4">
      <c r="E41" s="35"/>
      <c r="F41" s="35"/>
      <c r="G41" s="8">
        <f t="shared" si="0"/>
        <v>29</v>
      </c>
      <c r="H41" s="10">
        <f t="shared" si="1"/>
        <v>1313465.6236087095</v>
      </c>
      <c r="I41" s="9">
        <f t="shared" si="2"/>
        <v>0</v>
      </c>
      <c r="J41" s="10">
        <f t="shared" si="3"/>
        <v>1471081.4984417565</v>
      </c>
      <c r="K41" s="42"/>
      <c r="S41" s="35"/>
      <c r="T41" s="8" t="e">
        <f t="shared" si="4"/>
        <v>#VALUE!</v>
      </c>
      <c r="U41" s="10" t="e">
        <f t="shared" si="5"/>
        <v>#VALUE!</v>
      </c>
      <c r="V41" s="9" t="e">
        <f t="shared" si="6"/>
        <v>#VALUE!</v>
      </c>
      <c r="W41" s="10" t="e">
        <f t="shared" si="7"/>
        <v>#VALUE!</v>
      </c>
      <c r="X41" s="42"/>
      <c r="Y41" s="39"/>
    </row>
    <row r="42" spans="5:25" ht="31" thickTop="1" thickBot="1" x14ac:dyDescent="0.4">
      <c r="E42" s="35"/>
      <c r="F42" s="35"/>
      <c r="G42" s="8">
        <f t="shared" si="0"/>
        <v>30</v>
      </c>
      <c r="H42" s="10">
        <f t="shared" si="1"/>
        <v>1471081.4984417565</v>
      </c>
      <c r="I42" s="9">
        <f t="shared" si="2"/>
        <v>0</v>
      </c>
      <c r="J42" s="10">
        <f t="shared" si="3"/>
        <v>1647611.2782547693</v>
      </c>
      <c r="K42" s="42"/>
      <c r="S42" s="35"/>
      <c r="T42" s="8" t="e">
        <f t="shared" si="4"/>
        <v>#VALUE!</v>
      </c>
      <c r="U42" s="10" t="e">
        <f t="shared" si="5"/>
        <v>#VALUE!</v>
      </c>
      <c r="V42" s="9" t="e">
        <f t="shared" si="6"/>
        <v>#VALUE!</v>
      </c>
      <c r="W42" s="10" t="e">
        <f t="shared" si="7"/>
        <v>#VALUE!</v>
      </c>
      <c r="X42" s="42"/>
      <c r="Y42" s="39"/>
    </row>
    <row r="43" spans="5:25" ht="31" thickTop="1" thickBot="1" x14ac:dyDescent="0.4">
      <c r="E43" s="35"/>
      <c r="F43" s="35"/>
      <c r="G43" s="8" t="str">
        <f t="shared" si="0"/>
        <v>N A</v>
      </c>
      <c r="H43" s="10" t="str">
        <f t="shared" si="1"/>
        <v>N A</v>
      </c>
      <c r="I43" s="9">
        <f t="shared" si="2"/>
        <v>0</v>
      </c>
      <c r="J43" s="10" t="str">
        <f t="shared" si="3"/>
        <v>N A</v>
      </c>
      <c r="K43" s="42"/>
      <c r="S43" s="35"/>
      <c r="T43" s="8" t="e">
        <f t="shared" si="4"/>
        <v>#VALUE!</v>
      </c>
      <c r="U43" s="10" t="e">
        <f t="shared" si="5"/>
        <v>#VALUE!</v>
      </c>
      <c r="V43" s="9" t="e">
        <f t="shared" si="6"/>
        <v>#VALUE!</v>
      </c>
      <c r="W43" s="10" t="e">
        <f t="shared" si="7"/>
        <v>#VALUE!</v>
      </c>
      <c r="X43" s="42"/>
      <c r="Y43" s="39"/>
    </row>
    <row r="44" spans="5:25" ht="31" thickTop="1" thickBot="1" x14ac:dyDescent="0.4">
      <c r="E44" s="35"/>
      <c r="F44" s="35"/>
      <c r="G44" s="8" t="e">
        <f t="shared" si="0"/>
        <v>#VALUE!</v>
      </c>
      <c r="H44" s="10" t="e">
        <f t="shared" si="1"/>
        <v>#VALUE!</v>
      </c>
      <c r="I44" s="9" t="e">
        <f t="shared" si="2"/>
        <v>#VALUE!</v>
      </c>
      <c r="J44" s="10" t="e">
        <f t="shared" si="3"/>
        <v>#VALUE!</v>
      </c>
      <c r="K44" s="42"/>
      <c r="S44" s="35"/>
      <c r="T44" s="8" t="e">
        <f t="shared" si="4"/>
        <v>#VALUE!</v>
      </c>
      <c r="U44" s="10" t="e">
        <f t="shared" si="5"/>
        <v>#VALUE!</v>
      </c>
      <c r="V44" s="9" t="e">
        <f t="shared" si="6"/>
        <v>#VALUE!</v>
      </c>
      <c r="W44" s="10" t="e">
        <f t="shared" si="7"/>
        <v>#VALUE!</v>
      </c>
      <c r="X44" s="42"/>
      <c r="Y44" s="39"/>
    </row>
    <row r="45" spans="5:25" ht="31" thickTop="1" thickBot="1" x14ac:dyDescent="0.4">
      <c r="E45" s="35"/>
      <c r="F45" s="35"/>
      <c r="G45" s="8" t="e">
        <f t="shared" si="0"/>
        <v>#VALUE!</v>
      </c>
      <c r="H45" s="10" t="e">
        <f t="shared" si="1"/>
        <v>#VALUE!</v>
      </c>
      <c r="I45" s="9" t="e">
        <f t="shared" si="2"/>
        <v>#VALUE!</v>
      </c>
      <c r="J45" s="10" t="e">
        <f t="shared" si="3"/>
        <v>#VALUE!</v>
      </c>
      <c r="K45" s="42"/>
      <c r="S45" s="35"/>
      <c r="T45" s="8" t="e">
        <f t="shared" si="4"/>
        <v>#VALUE!</v>
      </c>
      <c r="U45" s="10" t="e">
        <f t="shared" si="5"/>
        <v>#VALUE!</v>
      </c>
      <c r="V45" s="9" t="e">
        <f t="shared" si="6"/>
        <v>#VALUE!</v>
      </c>
      <c r="W45" s="10" t="e">
        <f t="shared" si="7"/>
        <v>#VALUE!</v>
      </c>
      <c r="X45" s="42"/>
      <c r="Y45" s="39"/>
    </row>
    <row r="46" spans="5:25" ht="31" thickTop="1" thickBot="1" x14ac:dyDescent="0.4">
      <c r="E46" s="35"/>
      <c r="F46" s="35"/>
      <c r="G46" s="8" t="e">
        <f t="shared" si="0"/>
        <v>#VALUE!</v>
      </c>
      <c r="H46" s="10" t="e">
        <f t="shared" si="1"/>
        <v>#VALUE!</v>
      </c>
      <c r="I46" s="9" t="e">
        <f t="shared" si="2"/>
        <v>#VALUE!</v>
      </c>
      <c r="J46" s="10" t="e">
        <f t="shared" si="3"/>
        <v>#VALUE!</v>
      </c>
      <c r="K46" s="42"/>
      <c r="S46" s="35"/>
      <c r="T46" s="8" t="e">
        <f t="shared" si="4"/>
        <v>#VALUE!</v>
      </c>
      <c r="U46" s="10" t="e">
        <f t="shared" si="5"/>
        <v>#VALUE!</v>
      </c>
      <c r="V46" s="9" t="e">
        <f t="shared" si="6"/>
        <v>#VALUE!</v>
      </c>
      <c r="W46" s="10" t="e">
        <f t="shared" si="7"/>
        <v>#VALUE!</v>
      </c>
      <c r="X46" s="42"/>
      <c r="Y46" s="39"/>
    </row>
    <row r="47" spans="5:25" ht="31" thickTop="1" thickBot="1" x14ac:dyDescent="0.4">
      <c r="E47" s="35"/>
      <c r="F47" s="35"/>
      <c r="G47" s="8" t="e">
        <f t="shared" si="0"/>
        <v>#VALUE!</v>
      </c>
      <c r="H47" s="10" t="e">
        <f t="shared" si="1"/>
        <v>#VALUE!</v>
      </c>
      <c r="I47" s="9" t="e">
        <f t="shared" si="2"/>
        <v>#VALUE!</v>
      </c>
      <c r="J47" s="10" t="e">
        <f t="shared" si="3"/>
        <v>#VALUE!</v>
      </c>
      <c r="K47" s="42"/>
      <c r="S47" s="35"/>
      <c r="T47" s="8" t="e">
        <f t="shared" si="4"/>
        <v>#VALUE!</v>
      </c>
      <c r="U47" s="10" t="e">
        <f t="shared" si="5"/>
        <v>#VALUE!</v>
      </c>
      <c r="V47" s="9" t="e">
        <f t="shared" si="6"/>
        <v>#VALUE!</v>
      </c>
      <c r="W47" s="10" t="e">
        <f t="shared" si="7"/>
        <v>#VALUE!</v>
      </c>
      <c r="X47" s="42"/>
      <c r="Y47" s="39"/>
    </row>
    <row r="48" spans="5:25" ht="31" thickTop="1" thickBot="1" x14ac:dyDescent="0.4">
      <c r="E48" s="35"/>
      <c r="F48" s="35"/>
      <c r="G48" s="8" t="e">
        <f t="shared" si="0"/>
        <v>#VALUE!</v>
      </c>
      <c r="H48" s="10" t="e">
        <f t="shared" si="1"/>
        <v>#VALUE!</v>
      </c>
      <c r="I48" s="9" t="e">
        <f t="shared" si="2"/>
        <v>#VALUE!</v>
      </c>
      <c r="J48" s="10" t="e">
        <f t="shared" si="3"/>
        <v>#VALUE!</v>
      </c>
      <c r="K48" s="42"/>
      <c r="S48" s="35"/>
      <c r="T48" s="8" t="e">
        <f t="shared" si="4"/>
        <v>#VALUE!</v>
      </c>
      <c r="U48" s="10" t="e">
        <f t="shared" si="5"/>
        <v>#VALUE!</v>
      </c>
      <c r="V48" s="9" t="e">
        <f t="shared" si="6"/>
        <v>#VALUE!</v>
      </c>
      <c r="W48" s="10" t="e">
        <f t="shared" si="7"/>
        <v>#VALUE!</v>
      </c>
      <c r="X48" s="42"/>
      <c r="Y48" s="39"/>
    </row>
    <row r="49" spans="5:25" ht="31" thickTop="1" thickBot="1" x14ac:dyDescent="0.4">
      <c r="E49" s="35"/>
      <c r="F49" s="35"/>
      <c r="G49" s="8" t="e">
        <f t="shared" si="0"/>
        <v>#VALUE!</v>
      </c>
      <c r="H49" s="10" t="e">
        <f t="shared" si="1"/>
        <v>#VALUE!</v>
      </c>
      <c r="I49" s="9" t="e">
        <f t="shared" si="2"/>
        <v>#VALUE!</v>
      </c>
      <c r="J49" s="10" t="e">
        <f t="shared" si="3"/>
        <v>#VALUE!</v>
      </c>
      <c r="K49" s="42"/>
      <c r="S49" s="35"/>
      <c r="T49" s="8" t="e">
        <f t="shared" si="4"/>
        <v>#VALUE!</v>
      </c>
      <c r="U49" s="10" t="e">
        <f t="shared" si="5"/>
        <v>#VALUE!</v>
      </c>
      <c r="V49" s="9" t="e">
        <f t="shared" si="6"/>
        <v>#VALUE!</v>
      </c>
      <c r="W49" s="10" t="e">
        <f t="shared" si="7"/>
        <v>#VALUE!</v>
      </c>
      <c r="X49" s="42"/>
      <c r="Y49" s="39"/>
    </row>
    <row r="50" spans="5:25" ht="31" thickTop="1" thickBot="1" x14ac:dyDescent="0.4">
      <c r="E50" s="35"/>
      <c r="F50" s="35"/>
      <c r="G50" s="8" t="e">
        <f t="shared" si="0"/>
        <v>#VALUE!</v>
      </c>
      <c r="H50" s="10" t="e">
        <f t="shared" si="1"/>
        <v>#VALUE!</v>
      </c>
      <c r="I50" s="9" t="e">
        <f t="shared" si="2"/>
        <v>#VALUE!</v>
      </c>
      <c r="J50" s="10" t="e">
        <f t="shared" si="3"/>
        <v>#VALUE!</v>
      </c>
      <c r="K50" s="42"/>
      <c r="S50" s="35"/>
      <c r="T50" s="8" t="e">
        <f t="shared" si="4"/>
        <v>#VALUE!</v>
      </c>
      <c r="U50" s="10" t="e">
        <f t="shared" si="5"/>
        <v>#VALUE!</v>
      </c>
      <c r="V50" s="9" t="e">
        <f t="shared" si="6"/>
        <v>#VALUE!</v>
      </c>
      <c r="W50" s="10" t="e">
        <f t="shared" si="7"/>
        <v>#VALUE!</v>
      </c>
      <c r="X50" s="42"/>
      <c r="Y50" s="39"/>
    </row>
    <row r="51" spans="5:25" ht="31" thickTop="1" thickBot="1" x14ac:dyDescent="0.4">
      <c r="E51" s="35"/>
      <c r="F51" s="35"/>
      <c r="G51" s="8" t="e">
        <f t="shared" si="0"/>
        <v>#VALUE!</v>
      </c>
      <c r="H51" s="10" t="e">
        <f t="shared" si="1"/>
        <v>#VALUE!</v>
      </c>
      <c r="I51" s="9" t="e">
        <f t="shared" si="2"/>
        <v>#VALUE!</v>
      </c>
      <c r="J51" s="10" t="e">
        <f t="shared" si="3"/>
        <v>#VALUE!</v>
      </c>
      <c r="K51" s="42"/>
      <c r="S51" s="35"/>
      <c r="T51" s="8" t="e">
        <f t="shared" si="4"/>
        <v>#VALUE!</v>
      </c>
      <c r="U51" s="10" t="e">
        <f t="shared" si="5"/>
        <v>#VALUE!</v>
      </c>
      <c r="V51" s="9" t="e">
        <f t="shared" si="6"/>
        <v>#VALUE!</v>
      </c>
      <c r="W51" s="10" t="e">
        <f t="shared" si="7"/>
        <v>#VALUE!</v>
      </c>
      <c r="X51" s="42"/>
      <c r="Y51" s="39"/>
    </row>
    <row r="52" spans="5:25" ht="31" thickTop="1" thickBot="1" x14ac:dyDescent="0.4">
      <c r="E52" s="35"/>
      <c r="F52" s="35"/>
      <c r="G52" s="8" t="e">
        <f t="shared" si="0"/>
        <v>#VALUE!</v>
      </c>
      <c r="H52" s="10" t="e">
        <f t="shared" si="1"/>
        <v>#VALUE!</v>
      </c>
      <c r="I52" s="9" t="e">
        <f t="shared" si="2"/>
        <v>#VALUE!</v>
      </c>
      <c r="J52" s="10" t="e">
        <f t="shared" si="3"/>
        <v>#VALUE!</v>
      </c>
      <c r="K52" s="42"/>
      <c r="S52" s="35"/>
      <c r="T52" s="8" t="e">
        <f t="shared" si="4"/>
        <v>#VALUE!</v>
      </c>
      <c r="U52" s="10" t="e">
        <f t="shared" si="5"/>
        <v>#VALUE!</v>
      </c>
      <c r="V52" s="9" t="e">
        <f t="shared" si="6"/>
        <v>#VALUE!</v>
      </c>
      <c r="W52" s="10" t="e">
        <f t="shared" si="7"/>
        <v>#VALUE!</v>
      </c>
      <c r="X52" s="42"/>
      <c r="Y52" s="39"/>
    </row>
    <row r="53" spans="5:25" ht="31" thickTop="1" thickBot="1" x14ac:dyDescent="0.4">
      <c r="E53" s="35"/>
      <c r="F53" s="35"/>
      <c r="G53" s="8" t="e">
        <f t="shared" si="0"/>
        <v>#VALUE!</v>
      </c>
      <c r="H53" s="10" t="e">
        <f t="shared" si="1"/>
        <v>#VALUE!</v>
      </c>
      <c r="I53" s="9" t="e">
        <f t="shared" si="2"/>
        <v>#VALUE!</v>
      </c>
      <c r="J53" s="10" t="e">
        <f t="shared" si="3"/>
        <v>#VALUE!</v>
      </c>
      <c r="K53" s="42"/>
      <c r="S53" s="35"/>
      <c r="T53" s="8" t="e">
        <f t="shared" si="4"/>
        <v>#VALUE!</v>
      </c>
      <c r="U53" s="10" t="e">
        <f t="shared" si="5"/>
        <v>#VALUE!</v>
      </c>
      <c r="V53" s="9" t="e">
        <f t="shared" si="6"/>
        <v>#VALUE!</v>
      </c>
      <c r="W53" s="10" t="e">
        <f t="shared" si="7"/>
        <v>#VALUE!</v>
      </c>
      <c r="X53" s="42"/>
      <c r="Y53" s="39"/>
    </row>
    <row r="54" spans="5:25" ht="31" thickTop="1" thickBot="1" x14ac:dyDescent="0.4">
      <c r="E54" s="35"/>
      <c r="F54" s="35"/>
      <c r="G54" s="8" t="e">
        <f t="shared" si="0"/>
        <v>#VALUE!</v>
      </c>
      <c r="H54" s="10" t="e">
        <f t="shared" si="1"/>
        <v>#VALUE!</v>
      </c>
      <c r="I54" s="9" t="e">
        <f t="shared" si="2"/>
        <v>#VALUE!</v>
      </c>
      <c r="J54" s="10" t="e">
        <f t="shared" si="3"/>
        <v>#VALUE!</v>
      </c>
      <c r="K54" s="42"/>
      <c r="S54" s="35"/>
      <c r="T54" s="8" t="e">
        <f t="shared" si="4"/>
        <v>#VALUE!</v>
      </c>
      <c r="U54" s="10" t="e">
        <f t="shared" si="5"/>
        <v>#VALUE!</v>
      </c>
      <c r="V54" s="9" t="e">
        <f t="shared" si="6"/>
        <v>#VALUE!</v>
      </c>
      <c r="W54" s="10" t="e">
        <f t="shared" si="7"/>
        <v>#VALUE!</v>
      </c>
      <c r="X54" s="42"/>
      <c r="Y54" s="39"/>
    </row>
    <row r="55" spans="5:25" ht="31" thickTop="1" thickBot="1" x14ac:dyDescent="0.4">
      <c r="E55" s="35"/>
      <c r="F55" s="35"/>
      <c r="G55" s="8" t="e">
        <f t="shared" si="0"/>
        <v>#VALUE!</v>
      </c>
      <c r="H55" s="10" t="e">
        <f t="shared" si="1"/>
        <v>#VALUE!</v>
      </c>
      <c r="I55" s="9" t="e">
        <f t="shared" si="2"/>
        <v>#VALUE!</v>
      </c>
      <c r="J55" s="10" t="e">
        <f t="shared" si="3"/>
        <v>#VALUE!</v>
      </c>
      <c r="K55" s="42"/>
      <c r="S55" s="35"/>
      <c r="T55" s="8" t="e">
        <f t="shared" si="4"/>
        <v>#VALUE!</v>
      </c>
      <c r="U55" s="10" t="e">
        <f t="shared" si="5"/>
        <v>#VALUE!</v>
      </c>
      <c r="V55" s="9" t="e">
        <f t="shared" si="6"/>
        <v>#VALUE!</v>
      </c>
      <c r="W55" s="10" t="e">
        <f t="shared" si="7"/>
        <v>#VALUE!</v>
      </c>
      <c r="X55" s="42"/>
      <c r="Y55" s="39"/>
    </row>
    <row r="56" spans="5:25" ht="31" thickTop="1" thickBot="1" x14ac:dyDescent="0.4">
      <c r="E56" s="35"/>
      <c r="F56" s="35"/>
      <c r="G56" s="8" t="e">
        <f t="shared" si="0"/>
        <v>#VALUE!</v>
      </c>
      <c r="H56" s="10" t="e">
        <f t="shared" si="1"/>
        <v>#VALUE!</v>
      </c>
      <c r="I56" s="9" t="e">
        <f t="shared" si="2"/>
        <v>#VALUE!</v>
      </c>
      <c r="J56" s="10" t="e">
        <f t="shared" si="3"/>
        <v>#VALUE!</v>
      </c>
      <c r="K56" s="42"/>
      <c r="S56" s="35"/>
      <c r="T56" s="8" t="e">
        <f t="shared" si="4"/>
        <v>#VALUE!</v>
      </c>
      <c r="U56" s="10" t="e">
        <f t="shared" si="5"/>
        <v>#VALUE!</v>
      </c>
      <c r="V56" s="9" t="e">
        <f t="shared" si="6"/>
        <v>#VALUE!</v>
      </c>
      <c r="W56" s="10" t="e">
        <f t="shared" si="7"/>
        <v>#VALUE!</v>
      </c>
      <c r="X56" s="42"/>
      <c r="Y56" s="39"/>
    </row>
    <row r="57" spans="5:25" ht="31" thickTop="1" thickBot="1" x14ac:dyDescent="0.4">
      <c r="E57" s="35"/>
      <c r="F57" s="35"/>
      <c r="G57" s="8" t="e">
        <f t="shared" si="0"/>
        <v>#VALUE!</v>
      </c>
      <c r="H57" s="10" t="e">
        <f t="shared" si="1"/>
        <v>#VALUE!</v>
      </c>
      <c r="I57" s="9" t="e">
        <f t="shared" si="2"/>
        <v>#VALUE!</v>
      </c>
      <c r="J57" s="10" t="e">
        <f t="shared" si="3"/>
        <v>#VALUE!</v>
      </c>
      <c r="K57" s="42"/>
      <c r="S57" s="35"/>
      <c r="T57" s="8" t="e">
        <f t="shared" si="4"/>
        <v>#VALUE!</v>
      </c>
      <c r="U57" s="10" t="e">
        <f t="shared" si="5"/>
        <v>#VALUE!</v>
      </c>
      <c r="V57" s="9" t="e">
        <f t="shared" si="6"/>
        <v>#VALUE!</v>
      </c>
      <c r="W57" s="10" t="e">
        <f t="shared" si="7"/>
        <v>#VALUE!</v>
      </c>
      <c r="X57" s="42"/>
      <c r="Y57" s="39"/>
    </row>
    <row r="58" spans="5:25" ht="31" thickTop="1" thickBot="1" x14ac:dyDescent="0.4">
      <c r="E58" s="35"/>
      <c r="F58" s="35"/>
      <c r="G58" s="8" t="e">
        <f t="shared" si="0"/>
        <v>#VALUE!</v>
      </c>
      <c r="H58" s="10" t="e">
        <f t="shared" si="1"/>
        <v>#VALUE!</v>
      </c>
      <c r="I58" s="9" t="e">
        <f t="shared" si="2"/>
        <v>#VALUE!</v>
      </c>
      <c r="J58" s="10" t="e">
        <f t="shared" si="3"/>
        <v>#VALUE!</v>
      </c>
      <c r="K58" s="42"/>
      <c r="S58" s="35"/>
      <c r="T58" s="8" t="e">
        <f t="shared" si="4"/>
        <v>#VALUE!</v>
      </c>
      <c r="U58" s="10" t="e">
        <f t="shared" si="5"/>
        <v>#VALUE!</v>
      </c>
      <c r="V58" s="9" t="e">
        <f t="shared" si="6"/>
        <v>#VALUE!</v>
      </c>
      <c r="W58" s="10" t="e">
        <f t="shared" si="7"/>
        <v>#VALUE!</v>
      </c>
      <c r="X58" s="42"/>
      <c r="Y58" s="39"/>
    </row>
    <row r="59" spans="5:25" ht="31" thickTop="1" thickBot="1" x14ac:dyDescent="0.4">
      <c r="E59" s="35"/>
      <c r="F59" s="35"/>
      <c r="G59" s="8" t="e">
        <f t="shared" si="0"/>
        <v>#VALUE!</v>
      </c>
      <c r="H59" s="10" t="e">
        <f t="shared" si="1"/>
        <v>#VALUE!</v>
      </c>
      <c r="I59" s="9" t="e">
        <f t="shared" si="2"/>
        <v>#VALUE!</v>
      </c>
      <c r="J59" s="10" t="e">
        <f t="shared" si="3"/>
        <v>#VALUE!</v>
      </c>
      <c r="K59" s="42"/>
      <c r="S59" s="35"/>
      <c r="T59" s="8" t="e">
        <f t="shared" si="4"/>
        <v>#VALUE!</v>
      </c>
      <c r="U59" s="10" t="e">
        <f t="shared" si="5"/>
        <v>#VALUE!</v>
      </c>
      <c r="V59" s="9" t="e">
        <f t="shared" si="6"/>
        <v>#VALUE!</v>
      </c>
      <c r="W59" s="10" t="e">
        <f t="shared" si="7"/>
        <v>#VALUE!</v>
      </c>
      <c r="X59" s="42"/>
      <c r="Y59" s="39"/>
    </row>
    <row r="60" spans="5:25" ht="31" thickTop="1" thickBot="1" x14ac:dyDescent="0.4">
      <c r="E60" s="35"/>
      <c r="F60" s="35"/>
      <c r="G60" s="8" t="e">
        <f t="shared" si="0"/>
        <v>#VALUE!</v>
      </c>
      <c r="H60" s="10" t="e">
        <f t="shared" si="1"/>
        <v>#VALUE!</v>
      </c>
      <c r="I60" s="9" t="e">
        <f t="shared" si="2"/>
        <v>#VALUE!</v>
      </c>
      <c r="J60" s="10" t="e">
        <f t="shared" si="3"/>
        <v>#VALUE!</v>
      </c>
      <c r="K60" s="42"/>
      <c r="S60" s="35"/>
      <c r="T60" s="8" t="e">
        <f t="shared" si="4"/>
        <v>#VALUE!</v>
      </c>
      <c r="U60" s="10" t="e">
        <f t="shared" si="5"/>
        <v>#VALUE!</v>
      </c>
      <c r="V60" s="9" t="e">
        <f t="shared" si="6"/>
        <v>#VALUE!</v>
      </c>
      <c r="W60" s="10" t="e">
        <f t="shared" si="7"/>
        <v>#VALUE!</v>
      </c>
      <c r="X60" s="42"/>
      <c r="Y60" s="39"/>
    </row>
    <row r="61" spans="5:25" ht="31" thickTop="1" thickBot="1" x14ac:dyDescent="0.4">
      <c r="E61" s="35"/>
      <c r="F61" s="35"/>
      <c r="G61" s="8" t="e">
        <f t="shared" si="0"/>
        <v>#VALUE!</v>
      </c>
      <c r="H61" s="10" t="e">
        <f t="shared" si="1"/>
        <v>#VALUE!</v>
      </c>
      <c r="I61" s="9" t="e">
        <f t="shared" si="2"/>
        <v>#VALUE!</v>
      </c>
      <c r="J61" s="10" t="e">
        <f t="shared" si="3"/>
        <v>#VALUE!</v>
      </c>
      <c r="K61" s="42"/>
      <c r="S61" s="35"/>
      <c r="T61" s="8" t="e">
        <f t="shared" si="4"/>
        <v>#VALUE!</v>
      </c>
      <c r="U61" s="10" t="e">
        <f t="shared" si="5"/>
        <v>#VALUE!</v>
      </c>
      <c r="V61" s="9" t="e">
        <f t="shared" si="6"/>
        <v>#VALUE!</v>
      </c>
      <c r="W61" s="10" t="e">
        <f t="shared" si="7"/>
        <v>#VALUE!</v>
      </c>
      <c r="X61" s="42"/>
      <c r="Y61" s="39"/>
    </row>
    <row r="62" spans="5:25" ht="31" thickTop="1" thickBot="1" x14ac:dyDescent="0.4">
      <c r="E62" s="35"/>
      <c r="F62" s="35"/>
      <c r="G62" s="8" t="e">
        <f t="shared" si="0"/>
        <v>#VALUE!</v>
      </c>
      <c r="H62" s="10" t="e">
        <f t="shared" si="1"/>
        <v>#VALUE!</v>
      </c>
      <c r="I62" s="9" t="e">
        <f t="shared" si="2"/>
        <v>#VALUE!</v>
      </c>
      <c r="J62" s="10" t="e">
        <f t="shared" si="3"/>
        <v>#VALUE!</v>
      </c>
      <c r="K62" s="42"/>
      <c r="S62" s="35"/>
      <c r="T62" s="8" t="e">
        <f t="shared" si="4"/>
        <v>#VALUE!</v>
      </c>
      <c r="U62" s="10" t="e">
        <f t="shared" si="5"/>
        <v>#VALUE!</v>
      </c>
      <c r="V62" s="9" t="e">
        <f t="shared" si="6"/>
        <v>#VALUE!</v>
      </c>
      <c r="W62" s="10" t="e">
        <f t="shared" si="7"/>
        <v>#VALUE!</v>
      </c>
      <c r="X62" s="42"/>
      <c r="Y62" s="39"/>
    </row>
    <row r="63" spans="5:25" ht="31" thickTop="1" thickBot="1" x14ac:dyDescent="0.4">
      <c r="E63" s="35"/>
      <c r="F63" s="35"/>
      <c r="G63" s="8" t="e">
        <f t="shared" si="0"/>
        <v>#VALUE!</v>
      </c>
      <c r="H63" s="10" t="e">
        <f t="shared" si="1"/>
        <v>#VALUE!</v>
      </c>
      <c r="I63" s="9" t="e">
        <f t="shared" si="2"/>
        <v>#VALUE!</v>
      </c>
      <c r="J63" s="10" t="e">
        <f t="shared" si="3"/>
        <v>#VALUE!</v>
      </c>
      <c r="K63" s="42"/>
      <c r="S63" s="35"/>
      <c r="T63" s="8" t="e">
        <f t="shared" si="4"/>
        <v>#VALUE!</v>
      </c>
      <c r="U63" s="10" t="e">
        <f t="shared" si="5"/>
        <v>#VALUE!</v>
      </c>
      <c r="V63" s="9" t="e">
        <f t="shared" si="6"/>
        <v>#VALUE!</v>
      </c>
      <c r="W63" s="10" t="e">
        <f t="shared" si="7"/>
        <v>#VALUE!</v>
      </c>
      <c r="X63" s="42"/>
      <c r="Y63" s="39"/>
    </row>
    <row r="64" spans="5:25" ht="31" thickTop="1" thickBot="1" x14ac:dyDescent="0.4">
      <c r="E64" s="35"/>
      <c r="F64" s="35"/>
      <c r="G64" s="8" t="e">
        <f t="shared" si="0"/>
        <v>#VALUE!</v>
      </c>
      <c r="H64" s="10" t="e">
        <f t="shared" si="1"/>
        <v>#VALUE!</v>
      </c>
      <c r="I64" s="9" t="e">
        <f t="shared" si="2"/>
        <v>#VALUE!</v>
      </c>
      <c r="J64" s="10" t="e">
        <f t="shared" si="3"/>
        <v>#VALUE!</v>
      </c>
      <c r="K64" s="42"/>
      <c r="S64" s="35"/>
      <c r="T64" s="8" t="e">
        <f t="shared" si="4"/>
        <v>#VALUE!</v>
      </c>
      <c r="U64" s="10" t="e">
        <f t="shared" si="5"/>
        <v>#VALUE!</v>
      </c>
      <c r="V64" s="9" t="e">
        <f t="shared" si="6"/>
        <v>#VALUE!</v>
      </c>
      <c r="W64" s="10" t="e">
        <f t="shared" si="7"/>
        <v>#VALUE!</v>
      </c>
      <c r="X64" s="42"/>
      <c r="Y64" s="39"/>
    </row>
    <row r="65" spans="5:25" ht="31" thickTop="1" thickBot="1" x14ac:dyDescent="0.4">
      <c r="E65" s="35"/>
      <c r="F65" s="35"/>
      <c r="G65" s="8" t="e">
        <f t="shared" si="0"/>
        <v>#VALUE!</v>
      </c>
      <c r="H65" s="10" t="e">
        <f t="shared" si="1"/>
        <v>#VALUE!</v>
      </c>
      <c r="I65" s="9" t="e">
        <f t="shared" si="2"/>
        <v>#VALUE!</v>
      </c>
      <c r="J65" s="10" t="e">
        <f t="shared" si="3"/>
        <v>#VALUE!</v>
      </c>
      <c r="K65" s="42"/>
      <c r="S65" s="35"/>
      <c r="T65" s="8" t="e">
        <f t="shared" si="4"/>
        <v>#VALUE!</v>
      </c>
      <c r="U65" s="10" t="e">
        <f t="shared" si="5"/>
        <v>#VALUE!</v>
      </c>
      <c r="V65" s="9" t="e">
        <f t="shared" si="6"/>
        <v>#VALUE!</v>
      </c>
      <c r="W65" s="10" t="e">
        <f t="shared" si="7"/>
        <v>#VALUE!</v>
      </c>
      <c r="X65" s="42"/>
      <c r="Y65" s="39"/>
    </row>
    <row r="66" spans="5:25" ht="31" thickTop="1" thickBot="1" x14ac:dyDescent="0.4">
      <c r="E66" s="35"/>
      <c r="F66" s="35"/>
      <c r="G66" s="8" t="e">
        <f t="shared" si="0"/>
        <v>#VALUE!</v>
      </c>
      <c r="H66" s="10" t="e">
        <f t="shared" si="1"/>
        <v>#VALUE!</v>
      </c>
      <c r="I66" s="9" t="e">
        <f t="shared" si="2"/>
        <v>#VALUE!</v>
      </c>
      <c r="J66" s="10" t="e">
        <f t="shared" si="3"/>
        <v>#VALUE!</v>
      </c>
      <c r="K66" s="42"/>
      <c r="S66" s="35"/>
      <c r="T66" s="8" t="e">
        <f t="shared" si="4"/>
        <v>#VALUE!</v>
      </c>
      <c r="U66" s="10" t="e">
        <f t="shared" si="5"/>
        <v>#VALUE!</v>
      </c>
      <c r="V66" s="9" t="e">
        <f t="shared" si="6"/>
        <v>#VALUE!</v>
      </c>
      <c r="W66" s="10" t="e">
        <f t="shared" si="7"/>
        <v>#VALUE!</v>
      </c>
      <c r="X66" s="42"/>
      <c r="Y66" s="39"/>
    </row>
    <row r="67" spans="5:25" ht="31" thickTop="1" thickBot="1" x14ac:dyDescent="0.4">
      <c r="E67" s="35"/>
      <c r="F67" s="35"/>
      <c r="G67" s="8" t="e">
        <f t="shared" si="0"/>
        <v>#VALUE!</v>
      </c>
      <c r="H67" s="10" t="e">
        <f t="shared" si="1"/>
        <v>#VALUE!</v>
      </c>
      <c r="I67" s="9" t="e">
        <f t="shared" si="2"/>
        <v>#VALUE!</v>
      </c>
      <c r="J67" s="10" t="e">
        <f t="shared" si="3"/>
        <v>#VALUE!</v>
      </c>
      <c r="K67" s="42"/>
      <c r="S67" s="35"/>
      <c r="T67" s="8" t="e">
        <f t="shared" si="4"/>
        <v>#VALUE!</v>
      </c>
      <c r="U67" s="10" t="e">
        <f t="shared" si="5"/>
        <v>#VALUE!</v>
      </c>
      <c r="V67" s="9" t="e">
        <f t="shared" si="6"/>
        <v>#VALUE!</v>
      </c>
      <c r="W67" s="10" t="e">
        <f t="shared" si="7"/>
        <v>#VALUE!</v>
      </c>
      <c r="X67" s="42"/>
      <c r="Y67" s="39"/>
    </row>
    <row r="68" spans="5:25" ht="31" thickTop="1" thickBot="1" x14ac:dyDescent="0.4">
      <c r="E68" s="35"/>
      <c r="F68" s="35"/>
      <c r="G68" s="8" t="e">
        <f t="shared" si="0"/>
        <v>#VALUE!</v>
      </c>
      <c r="H68" s="10" t="e">
        <f t="shared" si="1"/>
        <v>#VALUE!</v>
      </c>
      <c r="I68" s="9" t="e">
        <f t="shared" si="2"/>
        <v>#VALUE!</v>
      </c>
      <c r="J68" s="10" t="e">
        <f t="shared" si="3"/>
        <v>#VALUE!</v>
      </c>
      <c r="K68" s="42"/>
      <c r="S68" s="35"/>
      <c r="T68" s="8" t="e">
        <f t="shared" si="4"/>
        <v>#VALUE!</v>
      </c>
      <c r="U68" s="10" t="e">
        <f t="shared" si="5"/>
        <v>#VALUE!</v>
      </c>
      <c r="V68" s="9" t="e">
        <f t="shared" si="6"/>
        <v>#VALUE!</v>
      </c>
      <c r="W68" s="10" t="e">
        <f t="shared" si="7"/>
        <v>#VALUE!</v>
      </c>
      <c r="X68" s="42"/>
      <c r="Y68" s="39"/>
    </row>
    <row r="69" spans="5:25" ht="31" thickTop="1" thickBot="1" x14ac:dyDescent="0.4">
      <c r="E69" s="35"/>
      <c r="F69" s="35"/>
      <c r="G69" s="8" t="e">
        <f t="shared" si="0"/>
        <v>#VALUE!</v>
      </c>
      <c r="H69" s="10" t="e">
        <f t="shared" si="1"/>
        <v>#VALUE!</v>
      </c>
      <c r="I69" s="9" t="e">
        <f t="shared" si="2"/>
        <v>#VALUE!</v>
      </c>
      <c r="J69" s="10" t="e">
        <f t="shared" si="3"/>
        <v>#VALUE!</v>
      </c>
      <c r="K69" s="42"/>
      <c r="S69" s="35"/>
      <c r="T69" s="8" t="e">
        <f t="shared" si="4"/>
        <v>#VALUE!</v>
      </c>
      <c r="U69" s="10" t="e">
        <f t="shared" si="5"/>
        <v>#VALUE!</v>
      </c>
      <c r="V69" s="9" t="e">
        <f t="shared" si="6"/>
        <v>#VALUE!</v>
      </c>
      <c r="W69" s="10" t="e">
        <f t="shared" si="7"/>
        <v>#VALUE!</v>
      </c>
      <c r="X69" s="42"/>
      <c r="Y69" s="39"/>
    </row>
    <row r="70" spans="5:25" ht="31" thickTop="1" thickBot="1" x14ac:dyDescent="0.4">
      <c r="E70" s="35"/>
      <c r="F70" s="35"/>
      <c r="G70" s="8" t="e">
        <f t="shared" si="0"/>
        <v>#VALUE!</v>
      </c>
      <c r="H70" s="10" t="e">
        <f t="shared" si="1"/>
        <v>#VALUE!</v>
      </c>
      <c r="I70" s="9" t="e">
        <f t="shared" si="2"/>
        <v>#VALUE!</v>
      </c>
      <c r="J70" s="10" t="e">
        <f t="shared" si="3"/>
        <v>#VALUE!</v>
      </c>
      <c r="K70" s="42"/>
      <c r="S70" s="35"/>
      <c r="T70" s="8" t="e">
        <f t="shared" si="4"/>
        <v>#VALUE!</v>
      </c>
      <c r="U70" s="10" t="e">
        <f t="shared" si="5"/>
        <v>#VALUE!</v>
      </c>
      <c r="V70" s="9" t="e">
        <f t="shared" si="6"/>
        <v>#VALUE!</v>
      </c>
      <c r="W70" s="10" t="e">
        <f t="shared" si="7"/>
        <v>#VALUE!</v>
      </c>
      <c r="X70" s="42"/>
      <c r="Y70" s="39"/>
    </row>
    <row r="71" spans="5:25" ht="31" thickTop="1" thickBot="1" x14ac:dyDescent="0.4">
      <c r="E71" s="35"/>
      <c r="F71" s="35"/>
      <c r="G71" s="8" t="e">
        <f t="shared" si="0"/>
        <v>#VALUE!</v>
      </c>
      <c r="H71" s="10" t="e">
        <f t="shared" si="1"/>
        <v>#VALUE!</v>
      </c>
      <c r="I71" s="9" t="e">
        <f t="shared" si="2"/>
        <v>#VALUE!</v>
      </c>
      <c r="J71" s="10" t="e">
        <f t="shared" si="3"/>
        <v>#VALUE!</v>
      </c>
      <c r="K71" s="42"/>
      <c r="S71" s="35"/>
      <c r="T71" s="8" t="e">
        <f t="shared" si="4"/>
        <v>#VALUE!</v>
      </c>
      <c r="U71" s="10" t="e">
        <f t="shared" si="5"/>
        <v>#VALUE!</v>
      </c>
      <c r="V71" s="9" t="e">
        <f t="shared" si="6"/>
        <v>#VALUE!</v>
      </c>
      <c r="W71" s="10" t="e">
        <f t="shared" si="7"/>
        <v>#VALUE!</v>
      </c>
      <c r="X71" s="42"/>
      <c r="Y71" s="39"/>
    </row>
    <row r="72" spans="5:25" ht="31" thickTop="1" thickBot="1" x14ac:dyDescent="0.4">
      <c r="E72" s="35"/>
      <c r="F72" s="35"/>
      <c r="G72" s="8" t="e">
        <f t="shared" si="0"/>
        <v>#VALUE!</v>
      </c>
      <c r="H72" s="10" t="e">
        <f t="shared" si="1"/>
        <v>#VALUE!</v>
      </c>
      <c r="I72" s="9" t="e">
        <f t="shared" si="2"/>
        <v>#VALUE!</v>
      </c>
      <c r="J72" s="10" t="e">
        <f t="shared" si="3"/>
        <v>#VALUE!</v>
      </c>
      <c r="K72" s="42"/>
      <c r="S72" s="35"/>
      <c r="T72" s="8" t="e">
        <f t="shared" si="4"/>
        <v>#VALUE!</v>
      </c>
      <c r="U72" s="10" t="e">
        <f t="shared" si="5"/>
        <v>#VALUE!</v>
      </c>
      <c r="V72" s="9" t="e">
        <f t="shared" si="6"/>
        <v>#VALUE!</v>
      </c>
      <c r="W72" s="10" t="e">
        <f t="shared" si="7"/>
        <v>#VALUE!</v>
      </c>
      <c r="X72" s="42"/>
      <c r="Y72" s="39"/>
    </row>
    <row r="73" spans="5:25" ht="31" thickTop="1" thickBot="1" x14ac:dyDescent="0.4">
      <c r="E73" s="35"/>
      <c r="F73" s="35"/>
      <c r="G73" s="8" t="e">
        <f t="shared" si="0"/>
        <v>#VALUE!</v>
      </c>
      <c r="H73" s="10" t="e">
        <f t="shared" si="1"/>
        <v>#VALUE!</v>
      </c>
      <c r="I73" s="9" t="e">
        <f t="shared" si="2"/>
        <v>#VALUE!</v>
      </c>
      <c r="J73" s="10" t="e">
        <f t="shared" si="3"/>
        <v>#VALUE!</v>
      </c>
      <c r="K73" s="42"/>
      <c r="S73" s="35"/>
      <c r="T73" s="8" t="e">
        <f t="shared" si="4"/>
        <v>#VALUE!</v>
      </c>
      <c r="U73" s="10" t="e">
        <f t="shared" si="5"/>
        <v>#VALUE!</v>
      </c>
      <c r="V73" s="9" t="e">
        <f t="shared" si="6"/>
        <v>#VALUE!</v>
      </c>
      <c r="W73" s="10" t="e">
        <f t="shared" si="7"/>
        <v>#VALUE!</v>
      </c>
      <c r="X73" s="42"/>
      <c r="Y73" s="39"/>
    </row>
    <row r="74" spans="5:25" ht="31" thickTop="1" thickBot="1" x14ac:dyDescent="0.4">
      <c r="E74" s="35"/>
      <c r="F74" s="35"/>
      <c r="G74" s="8" t="e">
        <f t="shared" si="0"/>
        <v>#VALUE!</v>
      </c>
      <c r="H74" s="10" t="e">
        <f t="shared" si="1"/>
        <v>#VALUE!</v>
      </c>
      <c r="I74" s="9" t="e">
        <f t="shared" si="2"/>
        <v>#VALUE!</v>
      </c>
      <c r="J74" s="10" t="e">
        <f t="shared" si="3"/>
        <v>#VALUE!</v>
      </c>
      <c r="K74" s="42"/>
      <c r="S74" s="35"/>
      <c r="T74" s="8" t="e">
        <f t="shared" si="4"/>
        <v>#VALUE!</v>
      </c>
      <c r="U74" s="10" t="e">
        <f t="shared" si="5"/>
        <v>#VALUE!</v>
      </c>
      <c r="V74" s="9" t="e">
        <f t="shared" si="6"/>
        <v>#VALUE!</v>
      </c>
      <c r="W74" s="10" t="e">
        <f t="shared" si="7"/>
        <v>#VALUE!</v>
      </c>
      <c r="X74" s="42"/>
      <c r="Y74" s="39"/>
    </row>
    <row r="75" spans="5:25" ht="31" thickTop="1" thickBot="1" x14ac:dyDescent="0.4">
      <c r="E75" s="35"/>
      <c r="F75" s="35"/>
      <c r="G75" s="8" t="e">
        <f t="shared" si="0"/>
        <v>#VALUE!</v>
      </c>
      <c r="H75" s="10" t="e">
        <f t="shared" si="1"/>
        <v>#VALUE!</v>
      </c>
      <c r="I75" s="9" t="e">
        <f t="shared" si="2"/>
        <v>#VALUE!</v>
      </c>
      <c r="J75" s="10" t="e">
        <f t="shared" si="3"/>
        <v>#VALUE!</v>
      </c>
      <c r="K75" s="42"/>
      <c r="S75" s="35"/>
      <c r="T75" s="8" t="e">
        <f t="shared" si="4"/>
        <v>#VALUE!</v>
      </c>
      <c r="U75" s="10" t="e">
        <f t="shared" si="5"/>
        <v>#VALUE!</v>
      </c>
      <c r="V75" s="9" t="e">
        <f t="shared" si="6"/>
        <v>#VALUE!</v>
      </c>
      <c r="W75" s="10" t="e">
        <f t="shared" si="7"/>
        <v>#VALUE!</v>
      </c>
      <c r="X75" s="42"/>
      <c r="Y75" s="39"/>
    </row>
    <row r="76" spans="5:25" ht="31" thickTop="1" thickBot="1" x14ac:dyDescent="0.4">
      <c r="E76" s="35"/>
      <c r="F76" s="35"/>
      <c r="G76" s="8" t="e">
        <f t="shared" si="0"/>
        <v>#VALUE!</v>
      </c>
      <c r="H76" s="10" t="e">
        <f t="shared" si="1"/>
        <v>#VALUE!</v>
      </c>
      <c r="I76" s="9" t="e">
        <f t="shared" si="2"/>
        <v>#VALUE!</v>
      </c>
      <c r="J76" s="10" t="e">
        <f t="shared" si="3"/>
        <v>#VALUE!</v>
      </c>
      <c r="K76" s="42"/>
      <c r="S76" s="35"/>
      <c r="T76" s="8" t="e">
        <f t="shared" si="4"/>
        <v>#VALUE!</v>
      </c>
      <c r="U76" s="10" t="e">
        <f t="shared" si="5"/>
        <v>#VALUE!</v>
      </c>
      <c r="V76" s="9" t="e">
        <f t="shared" si="6"/>
        <v>#VALUE!</v>
      </c>
      <c r="W76" s="10" t="e">
        <f t="shared" si="7"/>
        <v>#VALUE!</v>
      </c>
      <c r="X76" s="42"/>
      <c r="Y76" s="39"/>
    </row>
    <row r="77" spans="5:25" ht="31" thickTop="1" thickBot="1" x14ac:dyDescent="0.4">
      <c r="E77" s="35"/>
      <c r="F77" s="35"/>
      <c r="G77" s="8" t="e">
        <f t="shared" si="0"/>
        <v>#VALUE!</v>
      </c>
      <c r="H77" s="10" t="e">
        <f t="shared" si="1"/>
        <v>#VALUE!</v>
      </c>
      <c r="I77" s="9" t="e">
        <f t="shared" si="2"/>
        <v>#VALUE!</v>
      </c>
      <c r="J77" s="10" t="e">
        <f t="shared" si="3"/>
        <v>#VALUE!</v>
      </c>
      <c r="K77" s="42"/>
      <c r="S77" s="35"/>
      <c r="T77" s="8" t="e">
        <f t="shared" si="4"/>
        <v>#VALUE!</v>
      </c>
      <c r="U77" s="10" t="e">
        <f t="shared" si="5"/>
        <v>#VALUE!</v>
      </c>
      <c r="V77" s="9" t="e">
        <f t="shared" si="6"/>
        <v>#VALUE!</v>
      </c>
      <c r="W77" s="10" t="e">
        <f t="shared" si="7"/>
        <v>#VALUE!</v>
      </c>
      <c r="X77" s="42"/>
      <c r="Y77" s="39"/>
    </row>
    <row r="78" spans="5:25" ht="31" thickTop="1" thickBot="1" x14ac:dyDescent="0.4">
      <c r="E78" s="35"/>
      <c r="F78" s="35"/>
      <c r="G78" s="8" t="e">
        <f t="shared" si="0"/>
        <v>#VALUE!</v>
      </c>
      <c r="H78" s="10" t="e">
        <f t="shared" si="1"/>
        <v>#VALUE!</v>
      </c>
      <c r="I78" s="9" t="e">
        <f t="shared" si="2"/>
        <v>#VALUE!</v>
      </c>
      <c r="J78" s="10" t="e">
        <f t="shared" si="3"/>
        <v>#VALUE!</v>
      </c>
      <c r="K78" s="42"/>
      <c r="S78" s="35"/>
      <c r="T78" s="8" t="e">
        <f t="shared" si="4"/>
        <v>#VALUE!</v>
      </c>
      <c r="U78" s="10" t="e">
        <f t="shared" si="5"/>
        <v>#VALUE!</v>
      </c>
      <c r="V78" s="9" t="e">
        <f t="shared" si="6"/>
        <v>#VALUE!</v>
      </c>
      <c r="W78" s="10" t="e">
        <f t="shared" si="7"/>
        <v>#VALUE!</v>
      </c>
      <c r="X78" s="42"/>
      <c r="Y78" s="39"/>
    </row>
    <row r="79" spans="5:25" ht="31" thickTop="1" thickBot="1" x14ac:dyDescent="0.4">
      <c r="E79" s="35"/>
      <c r="F79" s="35"/>
      <c r="G79" s="8" t="e">
        <f t="shared" ref="G79:G112" si="8">IF(G78+1&gt;$J$7+$J$10,"N A",G78+1)</f>
        <v>#VALUE!</v>
      </c>
      <c r="H79" s="10" t="e">
        <f t="shared" ref="H79:H112" si="9">IF(G79= "N A", "N A",J78)</f>
        <v>#VALUE!</v>
      </c>
      <c r="I79" s="9" t="e">
        <f t="shared" ref="I79:I112" si="10">IF(G79&lt;=$J$7,I78+I78*$J$9,0)</f>
        <v>#VALUE!</v>
      </c>
      <c r="J79" s="10" t="e">
        <f t="shared" ref="J79:J112" si="11">IF(G79= "N A", "N A",FV(NOMINAL($J$8,12)/12,12,-I79,-H79,1))</f>
        <v>#VALUE!</v>
      </c>
      <c r="K79" s="42"/>
      <c r="S79" s="35"/>
      <c r="T79" s="8" t="e">
        <f t="shared" ref="T79:T112" si="12">IF(T78+1&gt;$W$7+$W$10,"N A",T78+1)</f>
        <v>#VALUE!</v>
      </c>
      <c r="U79" s="10" t="e">
        <f t="shared" ref="U79:U112" si="13">IF(T79= "N A", "N A",W78)</f>
        <v>#VALUE!</v>
      </c>
      <c r="V79" s="9" t="e">
        <f t="shared" ref="V79:V112" si="14">IF(T79&lt;=$W$7,V78+$W$9,0)</f>
        <v>#VALUE!</v>
      </c>
      <c r="W79" s="10" t="e">
        <f t="shared" ref="W79:W112" si="15">IF(T79= "N A", "N A",FV(NOMINAL($W$8,12)/12,12,-V79,-U79,1))</f>
        <v>#VALUE!</v>
      </c>
      <c r="X79" s="42"/>
      <c r="Y79" s="39"/>
    </row>
    <row r="80" spans="5:25" ht="31" thickTop="1" thickBot="1" x14ac:dyDescent="0.4">
      <c r="E80" s="35"/>
      <c r="F80" s="35"/>
      <c r="G80" s="8" t="e">
        <f t="shared" si="8"/>
        <v>#VALUE!</v>
      </c>
      <c r="H80" s="10" t="e">
        <f t="shared" si="9"/>
        <v>#VALUE!</v>
      </c>
      <c r="I80" s="9" t="e">
        <f t="shared" si="10"/>
        <v>#VALUE!</v>
      </c>
      <c r="J80" s="10" t="e">
        <f t="shared" si="11"/>
        <v>#VALUE!</v>
      </c>
      <c r="K80" s="42"/>
      <c r="S80" s="35"/>
      <c r="T80" s="8" t="e">
        <f t="shared" si="12"/>
        <v>#VALUE!</v>
      </c>
      <c r="U80" s="10" t="e">
        <f t="shared" si="13"/>
        <v>#VALUE!</v>
      </c>
      <c r="V80" s="9" t="e">
        <f t="shared" si="14"/>
        <v>#VALUE!</v>
      </c>
      <c r="W80" s="10" t="e">
        <f t="shared" si="15"/>
        <v>#VALUE!</v>
      </c>
      <c r="X80" s="42"/>
      <c r="Y80" s="39"/>
    </row>
    <row r="81" spans="5:25" ht="31" thickTop="1" thickBot="1" x14ac:dyDescent="0.4">
      <c r="E81" s="35"/>
      <c r="F81" s="35"/>
      <c r="G81" s="8" t="e">
        <f t="shared" si="8"/>
        <v>#VALUE!</v>
      </c>
      <c r="H81" s="10" t="e">
        <f t="shared" si="9"/>
        <v>#VALUE!</v>
      </c>
      <c r="I81" s="9" t="e">
        <f t="shared" si="10"/>
        <v>#VALUE!</v>
      </c>
      <c r="J81" s="10" t="e">
        <f t="shared" si="11"/>
        <v>#VALUE!</v>
      </c>
      <c r="K81" s="42"/>
      <c r="S81" s="35"/>
      <c r="T81" s="8" t="e">
        <f t="shared" si="12"/>
        <v>#VALUE!</v>
      </c>
      <c r="U81" s="10" t="e">
        <f t="shared" si="13"/>
        <v>#VALUE!</v>
      </c>
      <c r="V81" s="9" t="e">
        <f t="shared" si="14"/>
        <v>#VALUE!</v>
      </c>
      <c r="W81" s="10" t="e">
        <f t="shared" si="15"/>
        <v>#VALUE!</v>
      </c>
      <c r="X81" s="42"/>
      <c r="Y81" s="39"/>
    </row>
    <row r="82" spans="5:25" ht="31" thickTop="1" thickBot="1" x14ac:dyDescent="0.4">
      <c r="E82" s="35"/>
      <c r="F82" s="35"/>
      <c r="G82" s="8" t="e">
        <f t="shared" si="8"/>
        <v>#VALUE!</v>
      </c>
      <c r="H82" s="10" t="e">
        <f t="shared" si="9"/>
        <v>#VALUE!</v>
      </c>
      <c r="I82" s="9" t="e">
        <f t="shared" si="10"/>
        <v>#VALUE!</v>
      </c>
      <c r="J82" s="10" t="e">
        <f t="shared" si="11"/>
        <v>#VALUE!</v>
      </c>
      <c r="K82" s="42"/>
      <c r="S82" s="35"/>
      <c r="T82" s="8" t="e">
        <f t="shared" si="12"/>
        <v>#VALUE!</v>
      </c>
      <c r="U82" s="10" t="e">
        <f t="shared" si="13"/>
        <v>#VALUE!</v>
      </c>
      <c r="V82" s="9" t="e">
        <f t="shared" si="14"/>
        <v>#VALUE!</v>
      </c>
      <c r="W82" s="10" t="e">
        <f t="shared" si="15"/>
        <v>#VALUE!</v>
      </c>
      <c r="X82" s="42"/>
      <c r="Y82" s="39"/>
    </row>
    <row r="83" spans="5:25" ht="31" thickTop="1" thickBot="1" x14ac:dyDescent="0.4">
      <c r="E83" s="35"/>
      <c r="F83" s="35"/>
      <c r="G83" s="8" t="e">
        <f t="shared" si="8"/>
        <v>#VALUE!</v>
      </c>
      <c r="H83" s="10" t="e">
        <f t="shared" si="9"/>
        <v>#VALUE!</v>
      </c>
      <c r="I83" s="9" t="e">
        <f t="shared" si="10"/>
        <v>#VALUE!</v>
      </c>
      <c r="J83" s="10" t="e">
        <f t="shared" si="11"/>
        <v>#VALUE!</v>
      </c>
      <c r="K83" s="42"/>
      <c r="S83" s="35"/>
      <c r="T83" s="8" t="e">
        <f t="shared" si="12"/>
        <v>#VALUE!</v>
      </c>
      <c r="U83" s="10" t="e">
        <f t="shared" si="13"/>
        <v>#VALUE!</v>
      </c>
      <c r="V83" s="9" t="e">
        <f t="shared" si="14"/>
        <v>#VALUE!</v>
      </c>
      <c r="W83" s="10" t="e">
        <f t="shared" si="15"/>
        <v>#VALUE!</v>
      </c>
      <c r="X83" s="42"/>
      <c r="Y83" s="39"/>
    </row>
    <row r="84" spans="5:25" ht="31" thickTop="1" thickBot="1" x14ac:dyDescent="0.4">
      <c r="E84" s="35"/>
      <c r="F84" s="35"/>
      <c r="G84" s="8" t="e">
        <f t="shared" si="8"/>
        <v>#VALUE!</v>
      </c>
      <c r="H84" s="10" t="e">
        <f t="shared" si="9"/>
        <v>#VALUE!</v>
      </c>
      <c r="I84" s="9" t="e">
        <f t="shared" si="10"/>
        <v>#VALUE!</v>
      </c>
      <c r="J84" s="10" t="e">
        <f t="shared" si="11"/>
        <v>#VALUE!</v>
      </c>
      <c r="K84" s="42"/>
      <c r="S84" s="35"/>
      <c r="T84" s="8" t="e">
        <f t="shared" si="12"/>
        <v>#VALUE!</v>
      </c>
      <c r="U84" s="10" t="e">
        <f t="shared" si="13"/>
        <v>#VALUE!</v>
      </c>
      <c r="V84" s="9" t="e">
        <f t="shared" si="14"/>
        <v>#VALUE!</v>
      </c>
      <c r="W84" s="10" t="e">
        <f t="shared" si="15"/>
        <v>#VALUE!</v>
      </c>
      <c r="X84" s="42"/>
      <c r="Y84" s="39"/>
    </row>
    <row r="85" spans="5:25" ht="31" thickTop="1" thickBot="1" x14ac:dyDescent="0.4">
      <c r="E85" s="35"/>
      <c r="F85" s="35"/>
      <c r="G85" s="8" t="e">
        <f t="shared" si="8"/>
        <v>#VALUE!</v>
      </c>
      <c r="H85" s="10" t="e">
        <f t="shared" si="9"/>
        <v>#VALUE!</v>
      </c>
      <c r="I85" s="9" t="e">
        <f t="shared" si="10"/>
        <v>#VALUE!</v>
      </c>
      <c r="J85" s="10" t="e">
        <f t="shared" si="11"/>
        <v>#VALUE!</v>
      </c>
      <c r="K85" s="42"/>
      <c r="S85" s="35"/>
      <c r="T85" s="8" t="e">
        <f t="shared" si="12"/>
        <v>#VALUE!</v>
      </c>
      <c r="U85" s="10" t="e">
        <f t="shared" si="13"/>
        <v>#VALUE!</v>
      </c>
      <c r="V85" s="9" t="e">
        <f t="shared" si="14"/>
        <v>#VALUE!</v>
      </c>
      <c r="W85" s="10" t="e">
        <f t="shared" si="15"/>
        <v>#VALUE!</v>
      </c>
      <c r="X85" s="42"/>
      <c r="Y85" s="39"/>
    </row>
    <row r="86" spans="5:25" ht="31" thickTop="1" thickBot="1" x14ac:dyDescent="0.4">
      <c r="E86" s="35"/>
      <c r="F86" s="35"/>
      <c r="G86" s="8" t="e">
        <f t="shared" si="8"/>
        <v>#VALUE!</v>
      </c>
      <c r="H86" s="10" t="e">
        <f t="shared" si="9"/>
        <v>#VALUE!</v>
      </c>
      <c r="I86" s="9" t="e">
        <f t="shared" si="10"/>
        <v>#VALUE!</v>
      </c>
      <c r="J86" s="10" t="e">
        <f t="shared" si="11"/>
        <v>#VALUE!</v>
      </c>
      <c r="K86" s="42"/>
      <c r="S86" s="35"/>
      <c r="T86" s="8" t="e">
        <f t="shared" si="12"/>
        <v>#VALUE!</v>
      </c>
      <c r="U86" s="10" t="e">
        <f t="shared" si="13"/>
        <v>#VALUE!</v>
      </c>
      <c r="V86" s="9" t="e">
        <f t="shared" si="14"/>
        <v>#VALUE!</v>
      </c>
      <c r="W86" s="10" t="e">
        <f t="shared" si="15"/>
        <v>#VALUE!</v>
      </c>
      <c r="X86" s="42"/>
      <c r="Y86" s="39"/>
    </row>
    <row r="87" spans="5:25" ht="31" thickTop="1" thickBot="1" x14ac:dyDescent="0.4">
      <c r="E87" s="35"/>
      <c r="F87" s="35"/>
      <c r="G87" s="8" t="e">
        <f t="shared" si="8"/>
        <v>#VALUE!</v>
      </c>
      <c r="H87" s="10" t="e">
        <f t="shared" si="9"/>
        <v>#VALUE!</v>
      </c>
      <c r="I87" s="9" t="e">
        <f t="shared" si="10"/>
        <v>#VALUE!</v>
      </c>
      <c r="J87" s="10" t="e">
        <f t="shared" si="11"/>
        <v>#VALUE!</v>
      </c>
      <c r="K87" s="42"/>
      <c r="S87" s="35"/>
      <c r="T87" s="8" t="e">
        <f t="shared" si="12"/>
        <v>#VALUE!</v>
      </c>
      <c r="U87" s="10" t="e">
        <f t="shared" si="13"/>
        <v>#VALUE!</v>
      </c>
      <c r="V87" s="9" t="e">
        <f t="shared" si="14"/>
        <v>#VALUE!</v>
      </c>
      <c r="W87" s="10" t="e">
        <f t="shared" si="15"/>
        <v>#VALUE!</v>
      </c>
      <c r="X87" s="42"/>
      <c r="Y87" s="39"/>
    </row>
    <row r="88" spans="5:25" ht="31" thickTop="1" thickBot="1" x14ac:dyDescent="0.4">
      <c r="E88" s="35"/>
      <c r="F88" s="35"/>
      <c r="G88" s="8" t="e">
        <f t="shared" si="8"/>
        <v>#VALUE!</v>
      </c>
      <c r="H88" s="10" t="e">
        <f t="shared" si="9"/>
        <v>#VALUE!</v>
      </c>
      <c r="I88" s="9" t="e">
        <f t="shared" si="10"/>
        <v>#VALUE!</v>
      </c>
      <c r="J88" s="10" t="e">
        <f t="shared" si="11"/>
        <v>#VALUE!</v>
      </c>
      <c r="K88" s="42"/>
      <c r="S88" s="35"/>
      <c r="T88" s="8" t="e">
        <f t="shared" si="12"/>
        <v>#VALUE!</v>
      </c>
      <c r="U88" s="10" t="e">
        <f t="shared" si="13"/>
        <v>#VALUE!</v>
      </c>
      <c r="V88" s="9" t="e">
        <f t="shared" si="14"/>
        <v>#VALUE!</v>
      </c>
      <c r="W88" s="10" t="e">
        <f t="shared" si="15"/>
        <v>#VALUE!</v>
      </c>
      <c r="X88" s="42"/>
      <c r="Y88" s="39"/>
    </row>
    <row r="89" spans="5:25" ht="31" thickTop="1" thickBot="1" x14ac:dyDescent="0.4">
      <c r="E89" s="35"/>
      <c r="F89" s="35"/>
      <c r="G89" s="8" t="e">
        <f t="shared" si="8"/>
        <v>#VALUE!</v>
      </c>
      <c r="H89" s="10" t="e">
        <f t="shared" si="9"/>
        <v>#VALUE!</v>
      </c>
      <c r="I89" s="9" t="e">
        <f t="shared" si="10"/>
        <v>#VALUE!</v>
      </c>
      <c r="J89" s="10" t="e">
        <f t="shared" si="11"/>
        <v>#VALUE!</v>
      </c>
      <c r="K89" s="42"/>
      <c r="S89" s="35"/>
      <c r="T89" s="8" t="e">
        <f t="shared" si="12"/>
        <v>#VALUE!</v>
      </c>
      <c r="U89" s="10" t="e">
        <f t="shared" si="13"/>
        <v>#VALUE!</v>
      </c>
      <c r="V89" s="9" t="e">
        <f t="shared" si="14"/>
        <v>#VALUE!</v>
      </c>
      <c r="W89" s="10" t="e">
        <f t="shared" si="15"/>
        <v>#VALUE!</v>
      </c>
      <c r="X89" s="42"/>
      <c r="Y89" s="39"/>
    </row>
    <row r="90" spans="5:25" ht="31" thickTop="1" thickBot="1" x14ac:dyDescent="0.4">
      <c r="E90" s="35"/>
      <c r="F90" s="35"/>
      <c r="G90" s="8" t="e">
        <f t="shared" si="8"/>
        <v>#VALUE!</v>
      </c>
      <c r="H90" s="10" t="e">
        <f t="shared" si="9"/>
        <v>#VALUE!</v>
      </c>
      <c r="I90" s="9" t="e">
        <f t="shared" si="10"/>
        <v>#VALUE!</v>
      </c>
      <c r="J90" s="10" t="e">
        <f t="shared" si="11"/>
        <v>#VALUE!</v>
      </c>
      <c r="K90" s="42"/>
      <c r="S90" s="35"/>
      <c r="T90" s="8" t="e">
        <f t="shared" si="12"/>
        <v>#VALUE!</v>
      </c>
      <c r="U90" s="10" t="e">
        <f t="shared" si="13"/>
        <v>#VALUE!</v>
      </c>
      <c r="V90" s="9" t="e">
        <f t="shared" si="14"/>
        <v>#VALUE!</v>
      </c>
      <c r="W90" s="10" t="e">
        <f t="shared" si="15"/>
        <v>#VALUE!</v>
      </c>
      <c r="X90" s="42"/>
      <c r="Y90" s="39"/>
    </row>
    <row r="91" spans="5:25" ht="31" thickTop="1" thickBot="1" x14ac:dyDescent="0.4">
      <c r="E91" s="35"/>
      <c r="F91" s="35"/>
      <c r="G91" s="8" t="e">
        <f t="shared" si="8"/>
        <v>#VALUE!</v>
      </c>
      <c r="H91" s="10" t="e">
        <f t="shared" si="9"/>
        <v>#VALUE!</v>
      </c>
      <c r="I91" s="9" t="e">
        <f t="shared" si="10"/>
        <v>#VALUE!</v>
      </c>
      <c r="J91" s="10" t="e">
        <f t="shared" si="11"/>
        <v>#VALUE!</v>
      </c>
      <c r="K91" s="42"/>
      <c r="S91" s="35"/>
      <c r="T91" s="8" t="e">
        <f t="shared" si="12"/>
        <v>#VALUE!</v>
      </c>
      <c r="U91" s="10" t="e">
        <f t="shared" si="13"/>
        <v>#VALUE!</v>
      </c>
      <c r="V91" s="9" t="e">
        <f t="shared" si="14"/>
        <v>#VALUE!</v>
      </c>
      <c r="W91" s="10" t="e">
        <f t="shared" si="15"/>
        <v>#VALUE!</v>
      </c>
      <c r="X91" s="42"/>
      <c r="Y91" s="39"/>
    </row>
    <row r="92" spans="5:25" ht="31" thickTop="1" thickBot="1" x14ac:dyDescent="0.4">
      <c r="E92" s="35"/>
      <c r="F92" s="35"/>
      <c r="G92" s="8" t="e">
        <f t="shared" si="8"/>
        <v>#VALUE!</v>
      </c>
      <c r="H92" s="10" t="e">
        <f t="shared" si="9"/>
        <v>#VALUE!</v>
      </c>
      <c r="I92" s="9" t="e">
        <f t="shared" si="10"/>
        <v>#VALUE!</v>
      </c>
      <c r="J92" s="10" t="e">
        <f t="shared" si="11"/>
        <v>#VALUE!</v>
      </c>
      <c r="K92" s="42"/>
      <c r="S92" s="35"/>
      <c r="T92" s="8" t="e">
        <f t="shared" si="12"/>
        <v>#VALUE!</v>
      </c>
      <c r="U92" s="10" t="e">
        <f t="shared" si="13"/>
        <v>#VALUE!</v>
      </c>
      <c r="V92" s="9" t="e">
        <f t="shared" si="14"/>
        <v>#VALUE!</v>
      </c>
      <c r="W92" s="10" t="e">
        <f t="shared" si="15"/>
        <v>#VALUE!</v>
      </c>
      <c r="X92" s="42"/>
      <c r="Y92" s="39"/>
    </row>
    <row r="93" spans="5:25" ht="31" thickTop="1" thickBot="1" x14ac:dyDescent="0.4">
      <c r="E93" s="35"/>
      <c r="F93" s="35"/>
      <c r="G93" s="8" t="e">
        <f t="shared" si="8"/>
        <v>#VALUE!</v>
      </c>
      <c r="H93" s="10" t="e">
        <f t="shared" si="9"/>
        <v>#VALUE!</v>
      </c>
      <c r="I93" s="9" t="e">
        <f t="shared" si="10"/>
        <v>#VALUE!</v>
      </c>
      <c r="J93" s="10" t="e">
        <f t="shared" si="11"/>
        <v>#VALUE!</v>
      </c>
      <c r="K93" s="42"/>
      <c r="S93" s="35"/>
      <c r="T93" s="8" t="e">
        <f t="shared" si="12"/>
        <v>#VALUE!</v>
      </c>
      <c r="U93" s="10" t="e">
        <f t="shared" si="13"/>
        <v>#VALUE!</v>
      </c>
      <c r="V93" s="9" t="e">
        <f t="shared" si="14"/>
        <v>#VALUE!</v>
      </c>
      <c r="W93" s="10" t="e">
        <f t="shared" si="15"/>
        <v>#VALUE!</v>
      </c>
      <c r="X93" s="42"/>
      <c r="Y93" s="39"/>
    </row>
    <row r="94" spans="5:25" ht="31" thickTop="1" thickBot="1" x14ac:dyDescent="0.4">
      <c r="E94" s="35"/>
      <c r="F94" s="35"/>
      <c r="G94" s="8" t="e">
        <f t="shared" si="8"/>
        <v>#VALUE!</v>
      </c>
      <c r="H94" s="10" t="e">
        <f t="shared" si="9"/>
        <v>#VALUE!</v>
      </c>
      <c r="I94" s="9" t="e">
        <f t="shared" si="10"/>
        <v>#VALUE!</v>
      </c>
      <c r="J94" s="10" t="e">
        <f t="shared" si="11"/>
        <v>#VALUE!</v>
      </c>
      <c r="K94" s="42"/>
      <c r="S94" s="35"/>
      <c r="T94" s="8" t="e">
        <f t="shared" si="12"/>
        <v>#VALUE!</v>
      </c>
      <c r="U94" s="10" t="e">
        <f t="shared" si="13"/>
        <v>#VALUE!</v>
      </c>
      <c r="V94" s="9" t="e">
        <f t="shared" si="14"/>
        <v>#VALUE!</v>
      </c>
      <c r="W94" s="10" t="e">
        <f t="shared" si="15"/>
        <v>#VALUE!</v>
      </c>
      <c r="X94" s="42"/>
      <c r="Y94" s="39"/>
    </row>
    <row r="95" spans="5:25" ht="31" thickTop="1" thickBot="1" x14ac:dyDescent="0.4">
      <c r="E95" s="35"/>
      <c r="F95" s="35"/>
      <c r="G95" s="8" t="e">
        <f t="shared" si="8"/>
        <v>#VALUE!</v>
      </c>
      <c r="H95" s="10" t="e">
        <f t="shared" si="9"/>
        <v>#VALUE!</v>
      </c>
      <c r="I95" s="9" t="e">
        <f t="shared" si="10"/>
        <v>#VALUE!</v>
      </c>
      <c r="J95" s="10" t="e">
        <f t="shared" si="11"/>
        <v>#VALUE!</v>
      </c>
      <c r="K95" s="42"/>
      <c r="S95" s="35"/>
      <c r="T95" s="8" t="e">
        <f t="shared" si="12"/>
        <v>#VALUE!</v>
      </c>
      <c r="U95" s="10" t="e">
        <f t="shared" si="13"/>
        <v>#VALUE!</v>
      </c>
      <c r="V95" s="9" t="e">
        <f t="shared" si="14"/>
        <v>#VALUE!</v>
      </c>
      <c r="W95" s="10" t="e">
        <f t="shared" si="15"/>
        <v>#VALUE!</v>
      </c>
      <c r="X95" s="42"/>
      <c r="Y95" s="39"/>
    </row>
    <row r="96" spans="5:25" ht="31" thickTop="1" thickBot="1" x14ac:dyDescent="0.4">
      <c r="E96" s="35"/>
      <c r="F96" s="35"/>
      <c r="G96" s="8" t="e">
        <f t="shared" si="8"/>
        <v>#VALUE!</v>
      </c>
      <c r="H96" s="10" t="e">
        <f t="shared" si="9"/>
        <v>#VALUE!</v>
      </c>
      <c r="I96" s="9" t="e">
        <f t="shared" si="10"/>
        <v>#VALUE!</v>
      </c>
      <c r="J96" s="10" t="e">
        <f t="shared" si="11"/>
        <v>#VALUE!</v>
      </c>
      <c r="K96" s="42"/>
      <c r="S96" s="35"/>
      <c r="T96" s="8" t="e">
        <f t="shared" si="12"/>
        <v>#VALUE!</v>
      </c>
      <c r="U96" s="10" t="e">
        <f t="shared" si="13"/>
        <v>#VALUE!</v>
      </c>
      <c r="V96" s="9" t="e">
        <f t="shared" si="14"/>
        <v>#VALUE!</v>
      </c>
      <c r="W96" s="10" t="e">
        <f t="shared" si="15"/>
        <v>#VALUE!</v>
      </c>
      <c r="X96" s="42"/>
      <c r="Y96" s="39"/>
    </row>
    <row r="97" spans="5:25" ht="31" thickTop="1" thickBot="1" x14ac:dyDescent="0.4">
      <c r="E97" s="35"/>
      <c r="F97" s="35"/>
      <c r="G97" s="8" t="e">
        <f t="shared" si="8"/>
        <v>#VALUE!</v>
      </c>
      <c r="H97" s="10" t="e">
        <f t="shared" si="9"/>
        <v>#VALUE!</v>
      </c>
      <c r="I97" s="9" t="e">
        <f t="shared" si="10"/>
        <v>#VALUE!</v>
      </c>
      <c r="J97" s="10" t="e">
        <f t="shared" si="11"/>
        <v>#VALUE!</v>
      </c>
      <c r="K97" s="42"/>
      <c r="S97" s="35"/>
      <c r="T97" s="8" t="e">
        <f t="shared" si="12"/>
        <v>#VALUE!</v>
      </c>
      <c r="U97" s="10" t="e">
        <f t="shared" si="13"/>
        <v>#VALUE!</v>
      </c>
      <c r="V97" s="9" t="e">
        <f t="shared" si="14"/>
        <v>#VALUE!</v>
      </c>
      <c r="W97" s="10" t="e">
        <f t="shared" si="15"/>
        <v>#VALUE!</v>
      </c>
      <c r="X97" s="42"/>
      <c r="Y97" s="39"/>
    </row>
    <row r="98" spans="5:25" ht="31" thickTop="1" thickBot="1" x14ac:dyDescent="0.4">
      <c r="E98" s="35"/>
      <c r="F98" s="35"/>
      <c r="G98" s="8" t="e">
        <f t="shared" si="8"/>
        <v>#VALUE!</v>
      </c>
      <c r="H98" s="10" t="e">
        <f t="shared" si="9"/>
        <v>#VALUE!</v>
      </c>
      <c r="I98" s="9" t="e">
        <f t="shared" si="10"/>
        <v>#VALUE!</v>
      </c>
      <c r="J98" s="10" t="e">
        <f t="shared" si="11"/>
        <v>#VALUE!</v>
      </c>
      <c r="K98" s="42"/>
      <c r="S98" s="35"/>
      <c r="T98" s="8" t="e">
        <f t="shared" si="12"/>
        <v>#VALUE!</v>
      </c>
      <c r="U98" s="10" t="e">
        <f t="shared" si="13"/>
        <v>#VALUE!</v>
      </c>
      <c r="V98" s="9" t="e">
        <f t="shared" si="14"/>
        <v>#VALUE!</v>
      </c>
      <c r="W98" s="10" t="e">
        <f t="shared" si="15"/>
        <v>#VALUE!</v>
      </c>
      <c r="X98" s="42"/>
      <c r="Y98" s="39"/>
    </row>
    <row r="99" spans="5:25" ht="31" thickTop="1" thickBot="1" x14ac:dyDescent="0.4">
      <c r="E99" s="35"/>
      <c r="F99" s="35"/>
      <c r="G99" s="8" t="e">
        <f t="shared" si="8"/>
        <v>#VALUE!</v>
      </c>
      <c r="H99" s="10" t="e">
        <f t="shared" si="9"/>
        <v>#VALUE!</v>
      </c>
      <c r="I99" s="9" t="e">
        <f t="shared" si="10"/>
        <v>#VALUE!</v>
      </c>
      <c r="J99" s="10" t="e">
        <f t="shared" si="11"/>
        <v>#VALUE!</v>
      </c>
      <c r="K99" s="42"/>
      <c r="S99" s="35"/>
      <c r="T99" s="8" t="e">
        <f t="shared" si="12"/>
        <v>#VALUE!</v>
      </c>
      <c r="U99" s="10" t="e">
        <f t="shared" si="13"/>
        <v>#VALUE!</v>
      </c>
      <c r="V99" s="9" t="e">
        <f t="shared" si="14"/>
        <v>#VALUE!</v>
      </c>
      <c r="W99" s="10" t="e">
        <f t="shared" si="15"/>
        <v>#VALUE!</v>
      </c>
      <c r="X99" s="42"/>
      <c r="Y99" s="39"/>
    </row>
    <row r="100" spans="5:25" ht="31" thickTop="1" thickBot="1" x14ac:dyDescent="0.4">
      <c r="E100" s="35"/>
      <c r="F100" s="35"/>
      <c r="G100" s="8" t="e">
        <f t="shared" si="8"/>
        <v>#VALUE!</v>
      </c>
      <c r="H100" s="10" t="e">
        <f t="shared" si="9"/>
        <v>#VALUE!</v>
      </c>
      <c r="I100" s="9" t="e">
        <f t="shared" si="10"/>
        <v>#VALUE!</v>
      </c>
      <c r="J100" s="10" t="e">
        <f t="shared" si="11"/>
        <v>#VALUE!</v>
      </c>
      <c r="K100" s="42"/>
      <c r="S100" s="35"/>
      <c r="T100" s="8" t="e">
        <f t="shared" si="12"/>
        <v>#VALUE!</v>
      </c>
      <c r="U100" s="10" t="e">
        <f t="shared" si="13"/>
        <v>#VALUE!</v>
      </c>
      <c r="V100" s="9" t="e">
        <f t="shared" si="14"/>
        <v>#VALUE!</v>
      </c>
      <c r="W100" s="10" t="e">
        <f t="shared" si="15"/>
        <v>#VALUE!</v>
      </c>
      <c r="X100" s="42"/>
      <c r="Y100" s="39"/>
    </row>
    <row r="101" spans="5:25" ht="31" thickTop="1" thickBot="1" x14ac:dyDescent="0.4">
      <c r="E101" s="35"/>
      <c r="F101" s="35"/>
      <c r="G101" s="8" t="e">
        <f t="shared" si="8"/>
        <v>#VALUE!</v>
      </c>
      <c r="H101" s="10" t="e">
        <f t="shared" si="9"/>
        <v>#VALUE!</v>
      </c>
      <c r="I101" s="9" t="e">
        <f t="shared" si="10"/>
        <v>#VALUE!</v>
      </c>
      <c r="J101" s="10" t="e">
        <f t="shared" si="11"/>
        <v>#VALUE!</v>
      </c>
      <c r="K101" s="42"/>
      <c r="S101" s="35"/>
      <c r="T101" s="8" t="e">
        <f t="shared" si="12"/>
        <v>#VALUE!</v>
      </c>
      <c r="U101" s="10" t="e">
        <f t="shared" si="13"/>
        <v>#VALUE!</v>
      </c>
      <c r="V101" s="9" t="e">
        <f t="shared" si="14"/>
        <v>#VALUE!</v>
      </c>
      <c r="W101" s="10" t="e">
        <f t="shared" si="15"/>
        <v>#VALUE!</v>
      </c>
      <c r="X101" s="42"/>
      <c r="Y101" s="39"/>
    </row>
    <row r="102" spans="5:25" ht="31" thickTop="1" thickBot="1" x14ac:dyDescent="0.4">
      <c r="E102" s="35"/>
      <c r="F102" s="35"/>
      <c r="G102" s="8" t="e">
        <f t="shared" si="8"/>
        <v>#VALUE!</v>
      </c>
      <c r="H102" s="10" t="e">
        <f t="shared" si="9"/>
        <v>#VALUE!</v>
      </c>
      <c r="I102" s="9" t="e">
        <f t="shared" si="10"/>
        <v>#VALUE!</v>
      </c>
      <c r="J102" s="10" t="e">
        <f t="shared" si="11"/>
        <v>#VALUE!</v>
      </c>
      <c r="K102" s="42"/>
      <c r="S102" s="35"/>
      <c r="T102" s="8" t="e">
        <f t="shared" si="12"/>
        <v>#VALUE!</v>
      </c>
      <c r="U102" s="10" t="e">
        <f t="shared" si="13"/>
        <v>#VALUE!</v>
      </c>
      <c r="V102" s="9" t="e">
        <f t="shared" si="14"/>
        <v>#VALUE!</v>
      </c>
      <c r="W102" s="10" t="e">
        <f t="shared" si="15"/>
        <v>#VALUE!</v>
      </c>
      <c r="X102" s="42"/>
      <c r="Y102" s="39"/>
    </row>
    <row r="103" spans="5:25" ht="31" thickTop="1" thickBot="1" x14ac:dyDescent="0.4">
      <c r="E103" s="35"/>
      <c r="F103" s="35"/>
      <c r="G103" s="8" t="e">
        <f t="shared" si="8"/>
        <v>#VALUE!</v>
      </c>
      <c r="H103" s="10" t="e">
        <f t="shared" si="9"/>
        <v>#VALUE!</v>
      </c>
      <c r="I103" s="9" t="e">
        <f t="shared" si="10"/>
        <v>#VALUE!</v>
      </c>
      <c r="J103" s="10" t="e">
        <f t="shared" si="11"/>
        <v>#VALUE!</v>
      </c>
      <c r="K103" s="42"/>
      <c r="S103" s="35"/>
      <c r="T103" s="8" t="e">
        <f t="shared" si="12"/>
        <v>#VALUE!</v>
      </c>
      <c r="U103" s="10" t="e">
        <f t="shared" si="13"/>
        <v>#VALUE!</v>
      </c>
      <c r="V103" s="9" t="e">
        <f t="shared" si="14"/>
        <v>#VALUE!</v>
      </c>
      <c r="W103" s="10" t="e">
        <f t="shared" si="15"/>
        <v>#VALUE!</v>
      </c>
      <c r="X103" s="42"/>
      <c r="Y103" s="39"/>
    </row>
    <row r="104" spans="5:25" ht="31" thickTop="1" thickBot="1" x14ac:dyDescent="0.4">
      <c r="E104" s="35"/>
      <c r="F104" s="35"/>
      <c r="G104" s="8" t="e">
        <f t="shared" si="8"/>
        <v>#VALUE!</v>
      </c>
      <c r="H104" s="10" t="e">
        <f t="shared" si="9"/>
        <v>#VALUE!</v>
      </c>
      <c r="I104" s="9" t="e">
        <f t="shared" si="10"/>
        <v>#VALUE!</v>
      </c>
      <c r="J104" s="10" t="e">
        <f t="shared" si="11"/>
        <v>#VALUE!</v>
      </c>
      <c r="K104" s="42"/>
      <c r="S104" s="35"/>
      <c r="T104" s="8" t="e">
        <f t="shared" si="12"/>
        <v>#VALUE!</v>
      </c>
      <c r="U104" s="10" t="e">
        <f t="shared" si="13"/>
        <v>#VALUE!</v>
      </c>
      <c r="V104" s="9" t="e">
        <f t="shared" si="14"/>
        <v>#VALUE!</v>
      </c>
      <c r="W104" s="10" t="e">
        <f t="shared" si="15"/>
        <v>#VALUE!</v>
      </c>
      <c r="X104" s="42"/>
      <c r="Y104" s="39"/>
    </row>
    <row r="105" spans="5:25" ht="31" thickTop="1" thickBot="1" x14ac:dyDescent="0.4">
      <c r="E105" s="35"/>
      <c r="F105" s="35"/>
      <c r="G105" s="8" t="e">
        <f t="shared" si="8"/>
        <v>#VALUE!</v>
      </c>
      <c r="H105" s="10" t="e">
        <f t="shared" si="9"/>
        <v>#VALUE!</v>
      </c>
      <c r="I105" s="9" t="e">
        <f t="shared" si="10"/>
        <v>#VALUE!</v>
      </c>
      <c r="J105" s="10" t="e">
        <f t="shared" si="11"/>
        <v>#VALUE!</v>
      </c>
      <c r="K105" s="42"/>
      <c r="S105" s="35"/>
      <c r="T105" s="8" t="e">
        <f t="shared" si="12"/>
        <v>#VALUE!</v>
      </c>
      <c r="U105" s="10" t="e">
        <f t="shared" si="13"/>
        <v>#VALUE!</v>
      </c>
      <c r="V105" s="9" t="e">
        <f t="shared" si="14"/>
        <v>#VALUE!</v>
      </c>
      <c r="W105" s="10" t="e">
        <f t="shared" si="15"/>
        <v>#VALUE!</v>
      </c>
      <c r="X105" s="42"/>
      <c r="Y105" s="39"/>
    </row>
    <row r="106" spans="5:25" ht="31" thickTop="1" thickBot="1" x14ac:dyDescent="0.4">
      <c r="E106" s="35"/>
      <c r="F106" s="35"/>
      <c r="G106" s="8" t="e">
        <f t="shared" si="8"/>
        <v>#VALUE!</v>
      </c>
      <c r="H106" s="10" t="e">
        <f t="shared" si="9"/>
        <v>#VALUE!</v>
      </c>
      <c r="I106" s="9" t="e">
        <f t="shared" si="10"/>
        <v>#VALUE!</v>
      </c>
      <c r="J106" s="10" t="e">
        <f t="shared" si="11"/>
        <v>#VALUE!</v>
      </c>
      <c r="K106" s="42"/>
      <c r="S106" s="35"/>
      <c r="T106" s="8" t="e">
        <f t="shared" si="12"/>
        <v>#VALUE!</v>
      </c>
      <c r="U106" s="10" t="e">
        <f t="shared" si="13"/>
        <v>#VALUE!</v>
      </c>
      <c r="V106" s="9" t="e">
        <f t="shared" si="14"/>
        <v>#VALUE!</v>
      </c>
      <c r="W106" s="10" t="e">
        <f t="shared" si="15"/>
        <v>#VALUE!</v>
      </c>
      <c r="X106" s="42"/>
      <c r="Y106" s="39"/>
    </row>
    <row r="107" spans="5:25" ht="31" thickTop="1" thickBot="1" x14ac:dyDescent="0.4">
      <c r="E107" s="35"/>
      <c r="F107" s="35"/>
      <c r="G107" s="8" t="e">
        <f t="shared" si="8"/>
        <v>#VALUE!</v>
      </c>
      <c r="H107" s="10" t="e">
        <f t="shared" si="9"/>
        <v>#VALUE!</v>
      </c>
      <c r="I107" s="9" t="e">
        <f t="shared" si="10"/>
        <v>#VALUE!</v>
      </c>
      <c r="J107" s="10" t="e">
        <f t="shared" si="11"/>
        <v>#VALUE!</v>
      </c>
      <c r="K107" s="42"/>
      <c r="S107" s="35"/>
      <c r="T107" s="8" t="e">
        <f t="shared" si="12"/>
        <v>#VALUE!</v>
      </c>
      <c r="U107" s="10" t="e">
        <f t="shared" si="13"/>
        <v>#VALUE!</v>
      </c>
      <c r="V107" s="9" t="e">
        <f t="shared" si="14"/>
        <v>#VALUE!</v>
      </c>
      <c r="W107" s="10" t="e">
        <f t="shared" si="15"/>
        <v>#VALUE!</v>
      </c>
      <c r="X107" s="42"/>
      <c r="Y107" s="39"/>
    </row>
    <row r="108" spans="5:25" ht="31" thickTop="1" thickBot="1" x14ac:dyDescent="0.4">
      <c r="E108" s="35"/>
      <c r="F108" s="35"/>
      <c r="G108" s="8" t="e">
        <f t="shared" si="8"/>
        <v>#VALUE!</v>
      </c>
      <c r="H108" s="10" t="e">
        <f t="shared" si="9"/>
        <v>#VALUE!</v>
      </c>
      <c r="I108" s="9" t="e">
        <f t="shared" si="10"/>
        <v>#VALUE!</v>
      </c>
      <c r="J108" s="10" t="e">
        <f t="shared" si="11"/>
        <v>#VALUE!</v>
      </c>
      <c r="K108" s="42"/>
      <c r="S108" s="35"/>
      <c r="T108" s="8" t="e">
        <f t="shared" si="12"/>
        <v>#VALUE!</v>
      </c>
      <c r="U108" s="10" t="e">
        <f t="shared" si="13"/>
        <v>#VALUE!</v>
      </c>
      <c r="V108" s="9" t="e">
        <f t="shared" si="14"/>
        <v>#VALUE!</v>
      </c>
      <c r="W108" s="10" t="e">
        <f t="shared" si="15"/>
        <v>#VALUE!</v>
      </c>
      <c r="X108" s="42"/>
      <c r="Y108" s="39"/>
    </row>
    <row r="109" spans="5:25" ht="31" thickTop="1" thickBot="1" x14ac:dyDescent="0.4">
      <c r="E109" s="35"/>
      <c r="F109" s="35"/>
      <c r="G109" s="8" t="e">
        <f t="shared" si="8"/>
        <v>#VALUE!</v>
      </c>
      <c r="H109" s="10" t="e">
        <f t="shared" si="9"/>
        <v>#VALUE!</v>
      </c>
      <c r="I109" s="9" t="e">
        <f t="shared" si="10"/>
        <v>#VALUE!</v>
      </c>
      <c r="J109" s="10" t="e">
        <f t="shared" si="11"/>
        <v>#VALUE!</v>
      </c>
      <c r="K109" s="42"/>
      <c r="S109" s="35"/>
      <c r="T109" s="8" t="e">
        <f t="shared" si="12"/>
        <v>#VALUE!</v>
      </c>
      <c r="U109" s="10" t="e">
        <f t="shared" si="13"/>
        <v>#VALUE!</v>
      </c>
      <c r="V109" s="9" t="e">
        <f t="shared" si="14"/>
        <v>#VALUE!</v>
      </c>
      <c r="W109" s="10" t="e">
        <f t="shared" si="15"/>
        <v>#VALUE!</v>
      </c>
      <c r="X109" s="42"/>
      <c r="Y109" s="39"/>
    </row>
    <row r="110" spans="5:25" ht="31" thickTop="1" thickBot="1" x14ac:dyDescent="0.4">
      <c r="E110" s="35"/>
      <c r="F110" s="35"/>
      <c r="G110" s="8" t="e">
        <f t="shared" si="8"/>
        <v>#VALUE!</v>
      </c>
      <c r="H110" s="10" t="e">
        <f t="shared" si="9"/>
        <v>#VALUE!</v>
      </c>
      <c r="I110" s="9" t="e">
        <f t="shared" si="10"/>
        <v>#VALUE!</v>
      </c>
      <c r="J110" s="10" t="e">
        <f t="shared" si="11"/>
        <v>#VALUE!</v>
      </c>
      <c r="K110" s="42"/>
      <c r="S110" s="35"/>
      <c r="T110" s="8" t="e">
        <f t="shared" si="12"/>
        <v>#VALUE!</v>
      </c>
      <c r="U110" s="10" t="e">
        <f t="shared" si="13"/>
        <v>#VALUE!</v>
      </c>
      <c r="V110" s="9" t="e">
        <f t="shared" si="14"/>
        <v>#VALUE!</v>
      </c>
      <c r="W110" s="10" t="e">
        <f t="shared" si="15"/>
        <v>#VALUE!</v>
      </c>
      <c r="X110" s="42"/>
      <c r="Y110" s="39"/>
    </row>
    <row r="111" spans="5:25" ht="31" thickTop="1" thickBot="1" x14ac:dyDescent="0.4">
      <c r="E111" s="35"/>
      <c r="F111" s="35"/>
      <c r="G111" s="8" t="e">
        <f t="shared" si="8"/>
        <v>#VALUE!</v>
      </c>
      <c r="H111" s="10" t="e">
        <f t="shared" si="9"/>
        <v>#VALUE!</v>
      </c>
      <c r="I111" s="9" t="e">
        <f t="shared" si="10"/>
        <v>#VALUE!</v>
      </c>
      <c r="J111" s="10" t="e">
        <f t="shared" si="11"/>
        <v>#VALUE!</v>
      </c>
      <c r="K111" s="42"/>
      <c r="S111" s="35"/>
      <c r="T111" s="8" t="e">
        <f t="shared" si="12"/>
        <v>#VALUE!</v>
      </c>
      <c r="U111" s="10" t="e">
        <f t="shared" si="13"/>
        <v>#VALUE!</v>
      </c>
      <c r="V111" s="9" t="e">
        <f t="shared" si="14"/>
        <v>#VALUE!</v>
      </c>
      <c r="W111" s="10" t="e">
        <f t="shared" si="15"/>
        <v>#VALUE!</v>
      </c>
      <c r="X111" s="42"/>
      <c r="Y111" s="39"/>
    </row>
    <row r="112" spans="5:25" ht="31" thickTop="1" thickBot="1" x14ac:dyDescent="0.4">
      <c r="E112" s="35"/>
      <c r="F112" s="35"/>
      <c r="G112" s="8" t="e">
        <f t="shared" si="8"/>
        <v>#VALUE!</v>
      </c>
      <c r="H112" s="10" t="e">
        <f t="shared" si="9"/>
        <v>#VALUE!</v>
      </c>
      <c r="I112" s="9" t="e">
        <f t="shared" si="10"/>
        <v>#VALUE!</v>
      </c>
      <c r="J112" s="10" t="e">
        <f t="shared" si="11"/>
        <v>#VALUE!</v>
      </c>
      <c r="K112" s="42"/>
      <c r="S112" s="35"/>
      <c r="T112" s="8" t="e">
        <f t="shared" si="12"/>
        <v>#VALUE!</v>
      </c>
      <c r="U112" s="10" t="e">
        <f t="shared" si="13"/>
        <v>#VALUE!</v>
      </c>
      <c r="V112" s="9" t="e">
        <f t="shared" si="14"/>
        <v>#VALUE!</v>
      </c>
      <c r="W112" s="10" t="e">
        <f t="shared" si="15"/>
        <v>#VALUE!</v>
      </c>
      <c r="X112" s="42"/>
      <c r="Y112" s="39"/>
    </row>
    <row r="113" spans="5:25" ht="14" customHeight="1" thickTop="1" thickBot="1" x14ac:dyDescent="0.4">
      <c r="E113" s="35"/>
      <c r="F113" s="36"/>
      <c r="G113" s="37"/>
      <c r="H113" s="37"/>
      <c r="I113" s="37"/>
      <c r="J113" s="37"/>
      <c r="K113" s="38"/>
      <c r="S113" s="36"/>
      <c r="T113" s="37"/>
      <c r="U113" s="37"/>
      <c r="V113" s="37"/>
      <c r="W113" s="37"/>
      <c r="X113" s="38"/>
      <c r="Y113" s="39"/>
    </row>
    <row r="114" spans="5:25" ht="31" thickTop="1" thickBot="1" x14ac:dyDescent="0.4">
      <c r="E114" s="36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8"/>
    </row>
    <row r="115" spans="5:25" ht="30" thickTop="1" x14ac:dyDescent="0.35"/>
  </sheetData>
  <sheetProtection algorithmName="SHA-512" hashValue="iEb7zOr1QE37QqHebXP0sXdrVBOhGgZWUTO6o9wzO6iq3/FoxeYySBDP+dxvSs7wwgw03t3Bv8J772xQEzsr+w==" saltValue="CVwCKfy+5324IMH7MsoOoQ==" spinCount="100000" sheet="1" objects="1" scenarios="1"/>
  <mergeCells count="31">
    <mergeCell ref="T9:V9"/>
    <mergeCell ref="G7:I7"/>
    <mergeCell ref="G6:I6"/>
    <mergeCell ref="T6:V6"/>
    <mergeCell ref="T7:V7"/>
    <mergeCell ref="T8:V8"/>
    <mergeCell ref="E2:Y2"/>
    <mergeCell ref="E3:E114"/>
    <mergeCell ref="F114:Y114"/>
    <mergeCell ref="Y3:Y113"/>
    <mergeCell ref="G4:J4"/>
    <mergeCell ref="T4:W4"/>
    <mergeCell ref="F3:K3"/>
    <mergeCell ref="F4:F113"/>
    <mergeCell ref="G113:K113"/>
    <mergeCell ref="K4:K112"/>
    <mergeCell ref="S3:X3"/>
    <mergeCell ref="S4:S113"/>
    <mergeCell ref="T113:X113"/>
    <mergeCell ref="X4:X112"/>
    <mergeCell ref="G8:I8"/>
    <mergeCell ref="G9:I9"/>
    <mergeCell ref="G10:I10"/>
    <mergeCell ref="T10:V10"/>
    <mergeCell ref="N21:Q21"/>
    <mergeCell ref="N22:Q22"/>
    <mergeCell ref="M14:Q14"/>
    <mergeCell ref="N15:Q15"/>
    <mergeCell ref="N16:Q16"/>
    <mergeCell ref="N17:Q17"/>
    <mergeCell ref="M20:Q20"/>
  </mergeCells>
  <hyperlinks>
    <hyperlink ref="N17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2BE00BEF-8E7A-3646-9438-4F66150C59F7}"/>
    <hyperlink ref="N15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E3CD1970-7C87-D144-9F50-C20F416BB633}"/>
    <hyperlink ref="N16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FF5EED24-39AE-F740-BB53-58C8390BA0D5}"/>
    <hyperlink ref="N21" r:id="rId4" xr:uid="{F55E1C94-03E4-2A40-8069-186352A2AE32}"/>
    <hyperlink ref="N22" r:id="rId5" xr:uid="{AEEC990B-FF83-DC46-BB5F-306263507859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2021-05-18T04:38:08Z</dcterms:created>
  <dcterms:modified xsi:type="dcterms:W3CDTF">2023-08-05T13:38:21Z</dcterms:modified>
</cp:coreProperties>
</file>