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1242D534-1E3E-8143-884D-66E5DF0FF275}" xr6:coauthVersionLast="47" xr6:coauthVersionMax="47" xr10:uidLastSave="{00000000-0000-0000-0000-000000000000}"/>
  <bookViews>
    <workbookView xWindow="0" yWindow="760" windowWidth="34560" windowHeight="19940" xr2:uid="{2127D547-A988-B440-8D60-51BCF891B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4" i="1"/>
  <c r="D25" i="1" s="1"/>
  <c r="C29" i="1"/>
  <c r="D15" i="1" l="1"/>
  <c r="D29" i="1"/>
  <c r="D31" i="1" s="1"/>
  <c r="D33" i="1" l="1"/>
</calcChain>
</file>

<file path=xl/sharedStrings.xml><?xml version="1.0" encoding="utf-8"?>
<sst xmlns="http://schemas.openxmlformats.org/spreadsheetml/2006/main" count="22" uniqueCount="22">
  <si>
    <t>LOAN AMOUNT</t>
  </si>
  <si>
    <t>INTEREST RATE</t>
  </si>
  <si>
    <t>EMI</t>
  </si>
  <si>
    <t>TENURE in years</t>
  </si>
  <si>
    <t>NO OF EMIs PAID</t>
  </si>
  <si>
    <t>OUTSTANDING LOAN</t>
  </si>
  <si>
    <t>CHANGE IN INTEREST RATE</t>
  </si>
  <si>
    <t>FIXED EMI</t>
  </si>
  <si>
    <t>RATE CHANGE</t>
  </si>
  <si>
    <t>CHANGE IN TOTAL AMOUNT TO BE PAID</t>
  </si>
  <si>
    <t>CHANGE IN AMOUNT TO BE PAID</t>
  </si>
  <si>
    <t>CURRENT SCENARIO OF HOME LOAN</t>
  </si>
  <si>
    <t>SCENARIO POST CHANGES IN RATES</t>
  </si>
  <si>
    <t>CHOOSE YOUR OPTION</t>
  </si>
  <si>
    <t>https://angel-one.onelink.me/Wjgr/8vxyj8iq</t>
  </si>
  <si>
    <t>https://tinyurl.com/y8sbw9w8</t>
  </si>
  <si>
    <t>https://zerodha.com/open-account?c=ZMPVNW</t>
  </si>
  <si>
    <t>TO SUPPORT OUR CHANNEL USE THE LINKS BELOW</t>
  </si>
  <si>
    <t xml:space="preserve">LINK FOR UPSTOX </t>
  </si>
  <si>
    <t>LINK FOR ZERODHA</t>
  </si>
  <si>
    <t>TOTAL AMOUNT TO BE PAID</t>
  </si>
  <si>
    <t>LINK FOR ANGEL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</si>
</sst>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b/>
      <sz val="36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36"/>
      <color theme="10"/>
      <name val="Aptos Narrow"/>
      <family val="2"/>
      <scheme val="minor"/>
    </font>
    <font>
      <u/>
      <sz val="32"/>
      <color theme="10"/>
      <name val="Aptos Narrow"/>
      <family val="2"/>
      <scheme val="minor"/>
    </font>
    <font>
      <u/>
      <sz val="30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5" fillId="0" borderId="1" xfId="2" applyFont="1" applyBorder="1" applyAlignment="1" applyProtection="1"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3" fillId="3" borderId="5" xfId="0" applyFont="1" applyFill="1" applyBorder="1" applyAlignment="1" applyProtection="1">
      <alignment horizontal="center"/>
      <protection hidden="1"/>
    </xf>
    <xf numFmtId="0" fontId="3" fillId="3" borderId="2" xfId="0" applyFont="1" applyFill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left"/>
      <protection hidden="1"/>
    </xf>
    <xf numFmtId="8" fontId="2" fillId="0" borderId="1" xfId="0" applyNumberFormat="1" applyFont="1" applyBorder="1" applyProtection="1">
      <protection hidden="1"/>
    </xf>
    <xf numFmtId="0" fontId="2" fillId="0" borderId="3" xfId="0" applyFont="1" applyBorder="1" applyAlignment="1" applyProtection="1">
      <alignment horizontal="left"/>
      <protection hidden="1"/>
    </xf>
    <xf numFmtId="8" fontId="2" fillId="0" borderId="3" xfId="0" applyNumberFormat="1" applyFont="1" applyBorder="1" applyProtection="1">
      <protection hidden="1"/>
    </xf>
    <xf numFmtId="0" fontId="3" fillId="3" borderId="1" xfId="0" applyFont="1" applyFill="1" applyBorder="1" applyAlignment="1" applyProtection="1">
      <alignment horizontal="center"/>
      <protection hidden="1"/>
    </xf>
    <xf numFmtId="0" fontId="3" fillId="3" borderId="11" xfId="0" applyFont="1" applyFill="1" applyBorder="1" applyAlignment="1" applyProtection="1">
      <alignment horizontal="center"/>
      <protection hidden="1"/>
    </xf>
    <xf numFmtId="0" fontId="6" fillId="0" borderId="1" xfId="2" applyFont="1" applyBorder="1" applyAlignment="1" applyProtection="1">
      <alignment horizontal="left"/>
      <protection hidden="1"/>
    </xf>
    <xf numFmtId="0" fontId="7" fillId="0" borderId="1" xfId="2" applyFont="1" applyBorder="1" applyAlignment="1" applyProtection="1">
      <alignment horizontal="left"/>
      <protection hidden="1"/>
    </xf>
    <xf numFmtId="8" fontId="2" fillId="0" borderId="1" xfId="0" applyNumberFormat="1" applyFont="1" applyBorder="1" applyAlignment="1" applyProtection="1">
      <alignment horizontal="center"/>
      <protection hidden="1"/>
    </xf>
    <xf numFmtId="8" fontId="2" fillId="0" borderId="3" xfId="0" applyNumberFormat="1" applyFont="1" applyBorder="1" applyAlignment="1" applyProtection="1">
      <alignment horizontal="left"/>
      <protection hidden="1"/>
    </xf>
    <xf numFmtId="10" fontId="2" fillId="0" borderId="1" xfId="0" applyNumberFormat="1" applyFont="1" applyBorder="1" applyAlignment="1" applyProtection="1">
      <alignment horizontal="center"/>
      <protection hidden="1"/>
    </xf>
    <xf numFmtId="2" fontId="2" fillId="0" borderId="1" xfId="0" applyNumberFormat="1" applyFont="1" applyBorder="1" applyProtection="1">
      <protection hidden="1"/>
    </xf>
    <xf numFmtId="164" fontId="2" fillId="0" borderId="1" xfId="0" applyNumberFormat="1" applyFont="1" applyBorder="1" applyProtection="1"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164" fontId="2" fillId="2" borderId="1" xfId="0" applyNumberFormat="1" applyFont="1" applyFill="1" applyBorder="1" applyProtection="1">
      <protection locked="0"/>
    </xf>
    <xf numFmtId="10" fontId="2" fillId="2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8" fontId="3" fillId="3" borderId="14" xfId="0" applyNumberFormat="1" applyFont="1" applyFill="1" applyBorder="1" applyAlignment="1" applyProtection="1">
      <alignment horizontal="center"/>
      <protection hidden="1"/>
    </xf>
    <xf numFmtId="8" fontId="3" fillId="3" borderId="15" xfId="0" applyNumberFormat="1" applyFont="1" applyFill="1" applyBorder="1" applyAlignment="1" applyProtection="1">
      <alignment horizontal="center"/>
      <protection hidden="1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3853050</xdr:colOff>
      <xdr:row>3</xdr:row>
      <xdr:rowOff>64577</xdr:rowOff>
    </xdr:from>
    <xdr:to>
      <xdr:col>3</xdr:col>
      <xdr:colOff>1042864</xdr:colOff>
      <xdr:row>7</xdr:row>
      <xdr:rowOff>559662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7885C-484C-35B3-1273-58A86D995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30169" y="1872713"/>
          <a:ext cx="4982017" cy="2905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s://angel-one.onelink.me/Wjgr/8vxyj8iq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57FB-E5E6-444B-9CAA-94A0DB05620C}">
  <dimension ref="B8:E35"/>
  <sheetViews>
    <sheetView showGridLines="0" tabSelected="1" topLeftCell="A3" zoomScale="53" workbookViewId="0">
      <selection activeCell="J17" sqref="J17"/>
    </sheetView>
  </sheetViews>
  <sheetFormatPr baseColWidth="10" defaultColWidth="81.5" defaultRowHeight="47" x14ac:dyDescent="0.55000000000000004"/>
  <cols>
    <col min="1" max="1" width="159.1640625" style="2" customWidth="1"/>
    <col min="2" max="2" width="3.5" style="2" customWidth="1"/>
    <col min="3" max="3" width="102.1640625" style="3" bestFit="1" customWidth="1"/>
    <col min="4" max="4" width="74.83203125" style="2" customWidth="1"/>
    <col min="5" max="5" width="3.83203125" style="2" customWidth="1"/>
    <col min="6" max="16384" width="81.5" style="2"/>
  </cols>
  <sheetData>
    <row r="8" spans="2:5" ht="48" thickBot="1" x14ac:dyDescent="0.6"/>
    <row r="9" spans="2:5" ht="25" customHeight="1" thickTop="1" thickBot="1" x14ac:dyDescent="0.6">
      <c r="B9" s="4"/>
      <c r="C9" s="5"/>
      <c r="D9" s="5"/>
      <c r="E9" s="6"/>
    </row>
    <row r="10" spans="2:5" ht="49" thickTop="1" thickBot="1" x14ac:dyDescent="0.6">
      <c r="B10" s="7"/>
      <c r="C10" s="8" t="s">
        <v>11</v>
      </c>
      <c r="D10" s="9"/>
      <c r="E10" s="10"/>
    </row>
    <row r="11" spans="2:5" ht="49" thickTop="1" thickBot="1" x14ac:dyDescent="0.6">
      <c r="B11" s="7"/>
      <c r="C11" s="11" t="s">
        <v>0</v>
      </c>
      <c r="D11" s="27">
        <v>5000000</v>
      </c>
      <c r="E11" s="10"/>
    </row>
    <row r="12" spans="2:5" ht="49" thickTop="1" thickBot="1" x14ac:dyDescent="0.6">
      <c r="B12" s="7"/>
      <c r="C12" s="11" t="s">
        <v>1</v>
      </c>
      <c r="D12" s="28">
        <v>8.5000000000000006E-2</v>
      </c>
      <c r="E12" s="10"/>
    </row>
    <row r="13" spans="2:5" ht="49" thickTop="1" thickBot="1" x14ac:dyDescent="0.6">
      <c r="B13" s="7"/>
      <c r="C13" s="11" t="s">
        <v>3</v>
      </c>
      <c r="D13" s="29">
        <v>25</v>
      </c>
      <c r="E13" s="10"/>
    </row>
    <row r="14" spans="2:5" ht="49" thickTop="1" thickBot="1" x14ac:dyDescent="0.6">
      <c r="B14" s="7"/>
      <c r="C14" s="11" t="s">
        <v>2</v>
      </c>
      <c r="D14" s="12">
        <f>PMT(NOMINAL(D12,12)/12,D13*12,-D11,0,0)</f>
        <v>39208.211407681862</v>
      </c>
      <c r="E14" s="10"/>
    </row>
    <row r="15" spans="2:5" ht="49" thickTop="1" thickBot="1" x14ac:dyDescent="0.6">
      <c r="B15" s="7"/>
      <c r="C15" s="11" t="s">
        <v>20</v>
      </c>
      <c r="D15" s="12">
        <f>D14*D13*12</f>
        <v>11762463.422304559</v>
      </c>
      <c r="E15" s="10"/>
    </row>
    <row r="16" spans="2:5" ht="27" customHeight="1" thickTop="1" thickBot="1" x14ac:dyDescent="0.6">
      <c r="B16" s="7"/>
      <c r="C16" s="13"/>
      <c r="D16" s="14"/>
      <c r="E16" s="10"/>
    </row>
    <row r="17" spans="2:5" ht="49" thickTop="1" thickBot="1" x14ac:dyDescent="0.6">
      <c r="B17" s="7"/>
      <c r="C17" s="15" t="s">
        <v>17</v>
      </c>
      <c r="D17" s="16"/>
      <c r="E17" s="10"/>
    </row>
    <row r="18" spans="2:5" ht="49" thickTop="1" thickBot="1" x14ac:dyDescent="0.6">
      <c r="B18" s="7"/>
      <c r="C18" s="17" t="s">
        <v>14</v>
      </c>
      <c r="D18" s="32" t="s">
        <v>21</v>
      </c>
      <c r="E18" s="10"/>
    </row>
    <row r="19" spans="2:5" ht="49" thickTop="1" thickBot="1" x14ac:dyDescent="0.6">
      <c r="B19" s="7"/>
      <c r="C19" s="1" t="s">
        <v>15</v>
      </c>
      <c r="D19" s="32" t="s">
        <v>18</v>
      </c>
      <c r="E19" s="10"/>
    </row>
    <row r="20" spans="2:5" ht="49" thickTop="1" thickBot="1" x14ac:dyDescent="0.6">
      <c r="B20" s="7"/>
      <c r="C20" s="18" t="s">
        <v>16</v>
      </c>
      <c r="D20" s="33" t="s">
        <v>19</v>
      </c>
      <c r="E20" s="10"/>
    </row>
    <row r="21" spans="2:5" ht="29" customHeight="1" thickTop="1" thickBot="1" x14ac:dyDescent="0.6">
      <c r="B21" s="7"/>
      <c r="C21" s="13"/>
      <c r="D21" s="14"/>
      <c r="E21" s="10"/>
    </row>
    <row r="22" spans="2:5" ht="49" thickTop="1" thickBot="1" x14ac:dyDescent="0.6">
      <c r="B22" s="7"/>
      <c r="C22" s="8" t="s">
        <v>12</v>
      </c>
      <c r="D22" s="9"/>
      <c r="E22" s="10"/>
    </row>
    <row r="23" spans="2:5" ht="49" thickTop="1" thickBot="1" x14ac:dyDescent="0.6">
      <c r="B23" s="7"/>
      <c r="C23" s="11" t="s">
        <v>8</v>
      </c>
      <c r="D23" s="30">
        <v>-2.5000000000000001E-3</v>
      </c>
      <c r="E23" s="10"/>
    </row>
    <row r="24" spans="2:5" ht="49" thickTop="1" thickBot="1" x14ac:dyDescent="0.6">
      <c r="B24" s="7"/>
      <c r="C24" s="11" t="s">
        <v>4</v>
      </c>
      <c r="D24" s="31">
        <v>15</v>
      </c>
      <c r="E24" s="10"/>
    </row>
    <row r="25" spans="2:5" ht="49" thickTop="1" thickBot="1" x14ac:dyDescent="0.6">
      <c r="B25" s="7"/>
      <c r="C25" s="11" t="s">
        <v>5</v>
      </c>
      <c r="D25" s="19">
        <f>PV(NOMINAL(D12,12)/12,D13*12-D24,-D14,0,0)</f>
        <v>4919725.1496539265</v>
      </c>
      <c r="E25" s="10"/>
    </row>
    <row r="26" spans="2:5" ht="24" customHeight="1" thickTop="1" thickBot="1" x14ac:dyDescent="0.6">
      <c r="B26" s="7"/>
      <c r="C26" s="13"/>
      <c r="D26" s="20"/>
      <c r="E26" s="10"/>
    </row>
    <row r="27" spans="2:5" ht="49" thickTop="1" thickBot="1" x14ac:dyDescent="0.6">
      <c r="B27" s="7"/>
      <c r="C27" s="11" t="s">
        <v>13</v>
      </c>
      <c r="D27" s="31" t="s">
        <v>7</v>
      </c>
      <c r="E27" s="10"/>
    </row>
    <row r="28" spans="2:5" ht="49" thickTop="1" thickBot="1" x14ac:dyDescent="0.6">
      <c r="B28" s="7"/>
      <c r="C28" s="11" t="s">
        <v>6</v>
      </c>
      <c r="D28" s="21">
        <f>D12+D23</f>
        <v>8.2500000000000004E-2</v>
      </c>
      <c r="E28" s="10"/>
    </row>
    <row r="29" spans="2:5" ht="49" thickTop="1" thickBot="1" x14ac:dyDescent="0.6">
      <c r="B29" s="7"/>
      <c r="C29" s="11" t="str">
        <f>IF(D27= "FIXED EMI", "NEW TENURE LEFT", "CHANGED EMI")</f>
        <v>NEW TENURE LEFT</v>
      </c>
      <c r="D29" s="22">
        <f>IF(C29="NEW TENURE LEFT",NPER(NOMINAL(D28,12)/12,-D14,D25,0,0),-PMT(NOMINAL(D28,12)/12,D13*12-D24,D25,0,0))</f>
        <v>269.71297081263731</v>
      </c>
      <c r="E29" s="10"/>
    </row>
    <row r="30" spans="2:5" ht="22" customHeight="1" thickTop="1" thickBot="1" x14ac:dyDescent="0.6">
      <c r="B30" s="7"/>
      <c r="E30" s="10"/>
    </row>
    <row r="31" spans="2:5" ht="49" thickTop="1" thickBot="1" x14ac:dyDescent="0.6">
      <c r="B31" s="7"/>
      <c r="C31" s="11" t="s">
        <v>9</v>
      </c>
      <c r="D31" s="23">
        <f>IF(D27= "FIXED TENURE",D24*D14+D29*(D13*12-D24),D29*D14+D14*D24)</f>
        <v>11163086.350131039</v>
      </c>
      <c r="E31" s="10"/>
    </row>
    <row r="32" spans="2:5" ht="25" customHeight="1" thickTop="1" thickBot="1" x14ac:dyDescent="0.6">
      <c r="B32" s="7"/>
      <c r="E32" s="10"/>
    </row>
    <row r="33" spans="2:5" ht="49" thickTop="1" thickBot="1" x14ac:dyDescent="0.6">
      <c r="B33" s="7"/>
      <c r="C33" s="11" t="s">
        <v>10</v>
      </c>
      <c r="D33" s="12">
        <f>D15-D31</f>
        <v>599377.07217352092</v>
      </c>
      <c r="E33" s="10"/>
    </row>
    <row r="34" spans="2:5" ht="25" customHeight="1" thickTop="1" thickBot="1" x14ac:dyDescent="0.6">
      <c r="B34" s="24"/>
      <c r="C34" s="25"/>
      <c r="D34" s="25"/>
      <c r="E34" s="26"/>
    </row>
    <row r="35" spans="2:5" ht="48" thickTop="1" x14ac:dyDescent="0.55000000000000004"/>
  </sheetData>
  <sheetProtection algorithmName="SHA-512" hashValue="GS8tMMUbpu7/jN+Edoynjr4D4r1Gs0/Olha97RzkKb07z2od1xx8T2NL5bWH2yb6/AhY50plY+s0FT9wsarCeg==" saltValue="yW0PYYuYPI1RF1bhWFNu8g==" spinCount="100000" sheet="1" objects="1" scenarios="1"/>
  <mergeCells count="7">
    <mergeCell ref="C22:D22"/>
    <mergeCell ref="C10:D10"/>
    <mergeCell ref="B9:E9"/>
    <mergeCell ref="B34:D34"/>
    <mergeCell ref="E10:E34"/>
    <mergeCell ref="B10:B33"/>
    <mergeCell ref="C17:D17"/>
  </mergeCells>
  <dataValidations count="1">
    <dataValidation type="list" allowBlank="1" showInputMessage="1" showErrorMessage="1" sqref="D27" xr:uid="{033E7A4A-9F02-9946-8C2C-D09067E45296}">
      <formula1>"FIXED EMI, FIXED TENURE"</formula1>
    </dataValidation>
  </dataValidations>
  <hyperlinks>
    <hyperlink ref="C18" r:id="rId1" xr:uid="{513AAB39-92CB-DA45-96A4-113A07D67FAC}"/>
    <hyperlink ref="C19" r:id="rId2" xr:uid="{6E1B0A18-0894-4143-9BD8-F3E22EE3E5CE}"/>
    <hyperlink ref="C20" r:id="rId3" xr:uid="{D2FA4DBE-61A7-824B-87CE-4EB652359B6D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2025-02-07T07:02:34Z</dcterms:created>
  <dcterms:modified xsi:type="dcterms:W3CDTF">2025-02-07T13:03:31Z</dcterms:modified>
</cp:coreProperties>
</file>