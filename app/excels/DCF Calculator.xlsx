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CBFBD805-0987-B941-A775-CD1F32A823BD}" xr6:coauthVersionLast="47" xr6:coauthVersionMax="47" xr10:uidLastSave="{00000000-0000-0000-0000-000000000000}"/>
  <bookViews>
    <workbookView xWindow="0" yWindow="500" windowWidth="28800" windowHeight="15740" activeTab="5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Data Sheet" sheetId="6" r:id="rId5"/>
    <sheet name="DCF" sheetId="7" r:id="rId6"/>
  </sheets>
  <definedNames>
    <definedName name="UPDATE">'Data Sheet'!$E$1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" i="7" l="1"/>
  <c r="D16" i="7"/>
  <c r="G9" i="4"/>
  <c r="H9" i="4"/>
  <c r="I9" i="4"/>
  <c r="J9" i="4"/>
  <c r="K9" i="4"/>
  <c r="K10" i="4"/>
  <c r="C16" i="7"/>
  <c r="E16" i="7"/>
  <c r="D17" i="7"/>
  <c r="C17" i="7"/>
  <c r="E17" i="7"/>
  <c r="D18" i="7"/>
  <c r="C18" i="7"/>
  <c r="E18" i="7"/>
  <c r="D19" i="7"/>
  <c r="C19" i="7"/>
  <c r="E19" i="7"/>
  <c r="D20" i="7"/>
  <c r="C20" i="7"/>
  <c r="E20" i="7"/>
  <c r="D21" i="7"/>
  <c r="C21" i="7"/>
  <c r="E21" i="7"/>
  <c r="D22" i="7"/>
  <c r="C22" i="7"/>
  <c r="E22" i="7"/>
  <c r="D23" i="7"/>
  <c r="C23" i="7"/>
  <c r="E23" i="7"/>
  <c r="D24" i="7"/>
  <c r="C24" i="7"/>
  <c r="E24" i="7"/>
  <c r="D25" i="7"/>
  <c r="C25" i="7"/>
  <c r="E25" i="7"/>
  <c r="D29" i="7"/>
  <c r="D28" i="7"/>
  <c r="D30" i="7"/>
  <c r="D31" i="7"/>
  <c r="C11" i="7"/>
  <c r="C9" i="4"/>
  <c r="B9" i="4"/>
  <c r="C11" i="4"/>
  <c r="D9" i="4"/>
  <c r="D11" i="4"/>
  <c r="E9" i="4"/>
  <c r="E11" i="4"/>
  <c r="F9" i="4"/>
  <c r="F11" i="4"/>
  <c r="G11" i="4"/>
  <c r="H11" i="4"/>
  <c r="I11" i="4"/>
  <c r="J11" i="4"/>
  <c r="K11" i="4"/>
  <c r="K12" i="4"/>
  <c r="D32" i="7"/>
  <c r="P16" i="7"/>
  <c r="O16" i="7"/>
  <c r="P17" i="7"/>
  <c r="O17" i="7"/>
  <c r="P18" i="7"/>
  <c r="O18" i="7"/>
  <c r="P19" i="7"/>
  <c r="O19" i="7"/>
  <c r="P20" i="7"/>
  <c r="O20" i="7"/>
  <c r="P21" i="7"/>
  <c r="O21" i="7"/>
  <c r="P22" i="7"/>
  <c r="O22" i="7"/>
  <c r="P23" i="7"/>
  <c r="O23" i="7"/>
  <c r="P24" i="7"/>
  <c r="O24" i="7"/>
  <c r="P25" i="7"/>
  <c r="O25" i="7"/>
  <c r="P28" i="7"/>
  <c r="P30" i="7"/>
  <c r="Q16" i="7"/>
  <c r="Q17" i="7"/>
  <c r="Q18" i="7"/>
  <c r="Q19" i="7"/>
  <c r="Q20" i="7"/>
  <c r="Q21" i="7"/>
  <c r="Q22" i="7"/>
  <c r="Q23" i="7"/>
  <c r="Q24" i="7"/>
  <c r="Q25" i="7"/>
  <c r="P29" i="7"/>
  <c r="P31" i="7"/>
  <c r="P32" i="7"/>
  <c r="J16" i="7"/>
  <c r="I16" i="7"/>
  <c r="J17" i="7"/>
  <c r="I17" i="7"/>
  <c r="J18" i="7"/>
  <c r="I18" i="7"/>
  <c r="J19" i="7"/>
  <c r="I19" i="7"/>
  <c r="J20" i="7"/>
  <c r="I20" i="7"/>
  <c r="J21" i="7"/>
  <c r="I21" i="7"/>
  <c r="J22" i="7"/>
  <c r="I22" i="7"/>
  <c r="J23" i="7"/>
  <c r="I23" i="7"/>
  <c r="J24" i="7"/>
  <c r="I24" i="7"/>
  <c r="J25" i="7"/>
  <c r="I25" i="7"/>
  <c r="J28" i="7"/>
  <c r="J30" i="7"/>
  <c r="K16" i="7"/>
  <c r="K17" i="7"/>
  <c r="K18" i="7"/>
  <c r="K19" i="7"/>
  <c r="K20" i="7"/>
  <c r="K21" i="7"/>
  <c r="K22" i="7"/>
  <c r="K23" i="7"/>
  <c r="K24" i="7"/>
  <c r="K25" i="7"/>
  <c r="J29" i="7"/>
  <c r="J31" i="7"/>
  <c r="J32" i="7"/>
  <c r="C4" i="2"/>
  <c r="C5" i="2"/>
  <c r="C6" i="2"/>
  <c r="D4" i="2"/>
  <c r="D5" i="2"/>
  <c r="D6" i="2"/>
  <c r="D10" i="1"/>
  <c r="D9" i="1"/>
  <c r="D24" i="2"/>
  <c r="E4" i="2"/>
  <c r="E5" i="2"/>
  <c r="E6" i="2"/>
  <c r="E10" i="1"/>
  <c r="E9" i="1"/>
  <c r="E24" i="2"/>
  <c r="F4" i="2"/>
  <c r="F5" i="2"/>
  <c r="F6" i="2"/>
  <c r="F10" i="1"/>
  <c r="F9" i="1"/>
  <c r="F24" i="2"/>
  <c r="G4" i="2"/>
  <c r="G5" i="2"/>
  <c r="G6" i="2"/>
  <c r="G10" i="1"/>
  <c r="G9" i="1"/>
  <c r="G24" i="2"/>
  <c r="H4" i="2"/>
  <c r="H5" i="2"/>
  <c r="H6" i="2"/>
  <c r="H10" i="1"/>
  <c r="H9" i="1"/>
  <c r="H24" i="2"/>
  <c r="I4" i="2"/>
  <c r="I5" i="2"/>
  <c r="I6" i="2"/>
  <c r="I10" i="1"/>
  <c r="I9" i="1"/>
  <c r="I24" i="2"/>
  <c r="J4" i="2"/>
  <c r="J5" i="2"/>
  <c r="J6" i="2"/>
  <c r="J10" i="1"/>
  <c r="J9" i="1"/>
  <c r="J24" i="2"/>
  <c r="K4" i="2"/>
  <c r="K5" i="2"/>
  <c r="K6" i="2"/>
  <c r="K10" i="1"/>
  <c r="K9" i="1"/>
  <c r="K24" i="2"/>
  <c r="B4" i="2"/>
  <c r="B5" i="2"/>
  <c r="B6" i="2"/>
  <c r="C10" i="1"/>
  <c r="C9" i="1"/>
  <c r="C24" i="2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K12" i="1"/>
  <c r="K13" i="1"/>
  <c r="C12" i="1"/>
  <c r="C13" i="1"/>
  <c r="F12" i="1"/>
  <c r="F13" i="1"/>
  <c r="G12" i="1"/>
  <c r="G13" i="1"/>
  <c r="J12" i="1"/>
  <c r="J13" i="1"/>
  <c r="B12" i="1"/>
  <c r="B13" i="1"/>
  <c r="D12" i="1"/>
  <c r="D13" i="1"/>
  <c r="E12" i="1"/>
  <c r="E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E23" i="2"/>
  <c r="I12" i="1"/>
  <c r="I23" i="2"/>
  <c r="J23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11" i="1"/>
  <c r="D11" i="1"/>
  <c r="E11" i="1"/>
  <c r="F11" i="1"/>
  <c r="G11" i="1"/>
  <c r="H11" i="1"/>
  <c r="I11" i="1"/>
  <c r="J11" i="1"/>
  <c r="K11" i="1"/>
  <c r="H12" i="1"/>
  <c r="C15" i="1"/>
  <c r="C14" i="1"/>
  <c r="D15" i="1"/>
  <c r="D14" i="1"/>
  <c r="E15" i="1"/>
  <c r="E14" i="1"/>
  <c r="F15" i="1"/>
  <c r="F14" i="1"/>
  <c r="G15" i="1"/>
  <c r="G14" i="1"/>
  <c r="H15" i="1"/>
  <c r="H13" i="1"/>
  <c r="H14" i="1"/>
  <c r="I15" i="1"/>
  <c r="I13" i="1"/>
  <c r="I14" i="1"/>
  <c r="J15" i="1"/>
  <c r="J14" i="1"/>
  <c r="K15" i="1"/>
  <c r="K14" i="1"/>
  <c r="B15" i="1"/>
  <c r="B14" i="1"/>
  <c r="B7" i="1"/>
  <c r="B4" i="1"/>
  <c r="A1" i="1"/>
  <c r="E1" i="6"/>
  <c r="E1" i="2"/>
  <c r="E1" i="4"/>
  <c r="E1" i="3"/>
  <c r="H16" i="2"/>
  <c r="D16" i="2"/>
  <c r="K23" i="2"/>
  <c r="G16" i="2"/>
  <c r="F23" i="2"/>
  <c r="C23" i="2"/>
  <c r="I16" i="2"/>
  <c r="E16" i="2"/>
  <c r="K16" i="2"/>
  <c r="C16" i="2"/>
  <c r="G23" i="2"/>
  <c r="J16" i="2"/>
  <c r="F16" i="2"/>
  <c r="B23" i="2"/>
  <c r="E6" i="1"/>
  <c r="E19" i="1"/>
  <c r="H23" i="2"/>
  <c r="D23" i="2"/>
  <c r="I6" i="1"/>
  <c r="I19" i="1"/>
  <c r="J6" i="1"/>
  <c r="J19" i="1"/>
  <c r="F6" i="1"/>
  <c r="F19" i="1"/>
  <c r="K6" i="1"/>
  <c r="K19" i="1"/>
  <c r="G6" i="1"/>
  <c r="G19" i="1"/>
  <c r="C6" i="1"/>
  <c r="C19" i="1"/>
  <c r="H6" i="1"/>
  <c r="H19" i="1"/>
  <c r="D6" i="1"/>
  <c r="D19" i="1"/>
  <c r="B6" i="1"/>
  <c r="H1" i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3" i="2"/>
  <c r="J14" i="3"/>
  <c r="H14" i="3"/>
  <c r="F14" i="3"/>
  <c r="D14" i="3"/>
  <c r="B12" i="3"/>
  <c r="B11" i="3"/>
  <c r="B10" i="3"/>
  <c r="B9" i="3"/>
  <c r="B8" i="3"/>
  <c r="B7" i="3"/>
  <c r="B4" i="3"/>
  <c r="B3" i="3"/>
  <c r="H23" i="1"/>
  <c r="I23" i="1"/>
  <c r="J23" i="1"/>
  <c r="K23" i="1"/>
  <c r="L4" i="1"/>
  <c r="L23" i="1"/>
  <c r="N23" i="1"/>
  <c r="N4" i="1"/>
  <c r="B19" i="1"/>
  <c r="H24" i="1"/>
  <c r="I24" i="1"/>
  <c r="J24" i="1"/>
  <c r="K24" i="1"/>
  <c r="L6" i="1"/>
  <c r="L19" i="1"/>
  <c r="L24" i="1"/>
  <c r="N24" i="1"/>
  <c r="N6" i="1"/>
  <c r="L8" i="1"/>
  <c r="N8" i="1"/>
  <c r="L9" i="1"/>
  <c r="N9" i="1"/>
  <c r="N10" i="1"/>
  <c r="L10" i="1"/>
  <c r="L11" i="1"/>
  <c r="N11" i="1"/>
  <c r="N12" i="1"/>
  <c r="N13" i="1"/>
  <c r="M23" i="1"/>
  <c r="M4" i="1"/>
  <c r="M24" i="1"/>
  <c r="M6" i="1"/>
  <c r="M8" i="1"/>
  <c r="M9" i="1"/>
  <c r="M10" i="1"/>
  <c r="M11" i="1"/>
  <c r="M12" i="1"/>
  <c r="M13" i="1"/>
  <c r="L12" i="1"/>
  <c r="L13" i="1"/>
  <c r="L15" i="1"/>
  <c r="B11" i="1"/>
  <c r="B10" i="1"/>
  <c r="B9" i="1"/>
  <c r="B8" i="1"/>
  <c r="B20" i="2"/>
  <c r="B3" i="1"/>
  <c r="B16" i="2"/>
  <c r="B14" i="3"/>
  <c r="E14" i="3"/>
  <c r="I14" i="3"/>
  <c r="C14" i="3"/>
  <c r="G14" i="3"/>
  <c r="K14" i="3"/>
  <c r="G20" i="2"/>
  <c r="I20" i="2"/>
  <c r="K20" i="2"/>
  <c r="D20" i="2"/>
  <c r="F20" i="2"/>
  <c r="L14" i="1"/>
  <c r="L25" i="1"/>
  <c r="H20" i="2"/>
  <c r="J20" i="2"/>
  <c r="C20" i="2"/>
  <c r="E20" i="2"/>
  <c r="L7" i="1"/>
  <c r="A1" i="3"/>
  <c r="A1" i="2"/>
  <c r="A1" i="4"/>
  <c r="L5" i="1"/>
  <c r="H25" i="1"/>
  <c r="J25" i="1"/>
  <c r="K25" i="1"/>
  <c r="M25" i="1"/>
  <c r="I25" i="1"/>
  <c r="N25" i="1"/>
  <c r="N5" i="1"/>
  <c r="M5" i="1"/>
  <c r="M14" i="1"/>
  <c r="M15" i="1"/>
  <c r="N14" i="1"/>
  <c r="N15" i="1"/>
</calcChain>
</file>

<file path=xl/sharedStrings.xml><?xml version="1.0" encoding="utf-8"?>
<sst xmlns="http://schemas.openxmlformats.org/spreadsheetml/2006/main" count="199" uniqueCount="118">
  <si>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</si>
  <si>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</si>
  <si>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</si>
  <si>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</si>
  <si>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</si>
  <si>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</si>
  <si>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</si>
  <si>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</si>
  <si>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</si>
  <si>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</si>
  <si>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</si>
  <si>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</si>
  <si>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</si>
  <si>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</si>
  <si>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</si>
  <si>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</si>
  <si>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</si>
  <si>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</si>
  <si>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</si>
  <si>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</si>
  <si>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</si>
  <si>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</si>
  <si>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</si>
  <si>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</si>
  <si>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</si>
  <si>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</si>
  <si>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</si>
  <si>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</si>
  <si>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</si>
  <si>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</si>
  <si>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</si>
  <si>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</si>
  <si>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</si>
  <si>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</si>
  <si>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</si>
  <si>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</si>
  <si>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</si>
  <si>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</si>
  <si>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</si>
  <si>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</si>
  <si>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</si>
  <si>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</si>
  <si>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</si>
  <si>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</si>
  <si>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</si>
  <si>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</si>
  <si>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</si>
  <si>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</si>
  <si>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</si>
  <si>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</si>
  <si>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</si>
  <si>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</si>
  <si>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</si>
  <si>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</si>
  <si>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</si>
  <si>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</si>
  <si>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</si>
  <si>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</si>
  <si>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</si>
  <si>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</si>
  <si>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</si>
  <si>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</si>
  <si>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</si>
  <si>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</si>
  <si>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</si>
  <si>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</si>
  <si>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</si>
  <si>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</si>
  <si>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</si>
  <si>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</si>
  <si>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</si>
  <si>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</si>
  <si>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</si>
  <si>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</si>
  <si>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</si>
  <si>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</si>
  <si>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</si>
  <si>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</si>
  <si>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</si>
  <si>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</si>
  <si>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</si>
  <si>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Growth Rate</t>
  </si>
  <si>
    <t>FCF</t>
  </si>
  <si>
    <t>1 To 5</t>
  </si>
  <si>
    <t>Discount Rate</t>
  </si>
  <si>
    <t>Terminal Growth Rate</t>
  </si>
  <si>
    <t>Shares Outstanding</t>
  </si>
  <si>
    <t>Net Debt level</t>
  </si>
  <si>
    <t>6 To 10</t>
  </si>
  <si>
    <t>Terminal Year Cash Flow</t>
  </si>
  <si>
    <t>PV of Year 1-10 Cash Flows</t>
  </si>
  <si>
    <t>Terminal Value</t>
  </si>
  <si>
    <t>Total PV of Cash flows:</t>
  </si>
  <si>
    <t>DCF Price</t>
  </si>
  <si>
    <t>FINAL CALCULATION</t>
  </si>
  <si>
    <t>YEAR</t>
  </si>
  <si>
    <t>GROWTH</t>
  </si>
  <si>
    <t>PRESENT VALUE</t>
  </si>
  <si>
    <t>YEARS</t>
  </si>
  <si>
    <t>AVERAGE FCF</t>
  </si>
  <si>
    <t>CAPEX</t>
  </si>
  <si>
    <t>GROWTH RATE</t>
  </si>
  <si>
    <t>OPTIMISTIC CASE</t>
  </si>
  <si>
    <t>BALANCED CASE</t>
  </si>
  <si>
    <t>CONSERVATIVE CASE</t>
  </si>
  <si>
    <t>Angel Broking</t>
  </si>
  <si>
    <t>Upstox</t>
  </si>
  <si>
    <t>Zerodha</t>
  </si>
  <si>
    <t>www.tinyurl.com/y8sbw9w8</t>
  </si>
  <si>
    <t>www.zerodha.com/open-account?c=ZMPVNW</t>
  </si>
  <si>
    <t>Fyers</t>
  </si>
  <si>
    <t>IIFL Securities</t>
  </si>
  <si>
    <t>www.tinyurl.com/6uchvnvh</t>
  </si>
  <si>
    <t>Tijori Finance Discount Link</t>
  </si>
  <si>
    <t>www.tinyurl.com/vk645vp3</t>
  </si>
  <si>
    <t>www.tinyurl.com/y3r42a2x</t>
  </si>
  <si>
    <t>To Support your channel, open the Demat Account by using the links below &amp; Also avail 15% discount on Tijori</t>
  </si>
  <si>
    <t>www.tinyurl.com/wdunurz5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</si>
</sst>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₹&quot;\ #,##0.00;[Red]&quot;₹&quot;\ \-#,##0.00"/>
    <numFmt numFmtId="165" formatCode="_ * #,##0.00_ ;_ * \-#,##0.00_ ;_ * &quot;-&quot;??_ ;_ @_ "/>
    <numFmt numFmtId="166" formatCode="[$-409]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22"/>
      <color rgb="FF000000"/>
      <name val="Helvetica Neue"/>
      <family val="2"/>
    </font>
    <font>
      <u/>
      <sz val="22"/>
      <color theme="10"/>
      <name val="Calibri"/>
      <family val="2"/>
    </font>
    <font>
      <u/>
      <sz val="24"/>
      <color theme="10"/>
      <name val="Calibri"/>
      <family val="2"/>
    </font>
    <font>
      <b/>
      <sz val="24"/>
      <color rgb="FF1F6BC0"/>
      <name val="Helvetica Neue"/>
      <family val="2"/>
    </font>
    <font>
      <b/>
      <sz val="22"/>
      <color rgb="FF1F6BC0"/>
      <name val="Helvetica Neue"/>
      <family val="2"/>
    </font>
    <font>
      <sz val="24"/>
      <color rgb="FF000000"/>
      <name val="Helvetica Neue"/>
      <family val="2"/>
    </font>
    <font>
      <b/>
      <sz val="26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0"/>
      </bottom>
      <diagonal/>
    </border>
    <border>
      <left style="thick">
        <color theme="1"/>
      </left>
      <right style="thick">
        <color theme="1"/>
      </right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/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0"/>
      </left>
      <right style="thick">
        <color theme="0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 style="thick">
        <color theme="0"/>
      </top>
      <bottom style="thick">
        <color theme="0"/>
      </bottom>
      <diagonal/>
    </border>
    <border>
      <left style="thick">
        <color indexed="64"/>
      </left>
      <right style="thick">
        <color indexed="64"/>
      </right>
      <top/>
      <bottom style="thick">
        <color theme="0"/>
      </bottom>
      <diagonal/>
    </border>
    <border>
      <left style="thick">
        <color indexed="64"/>
      </left>
      <right/>
      <top style="thick">
        <color theme="0"/>
      </top>
      <bottom style="thick">
        <color indexed="64"/>
      </bottom>
      <diagonal/>
    </border>
    <border>
      <left/>
      <right/>
      <top style="thick">
        <color theme="0"/>
      </top>
      <bottom style="thick">
        <color indexed="64"/>
      </bottom>
      <diagonal/>
    </border>
    <border>
      <left/>
      <right style="thick">
        <color indexed="64"/>
      </right>
      <top style="thick">
        <color theme="0"/>
      </top>
      <bottom style="thick">
        <color indexed="64"/>
      </bottom>
      <diagonal/>
    </border>
  </borders>
  <cellStyleXfs count="7">
    <xf numFmtId="0" fontId="0" fillId="0" borderId="0"/>
    <xf numFmtId="165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00">
    <xf numFmtId="0" fontId="0" fillId="0" borderId="0" xfId="0"/>
    <xf numFmtId="165" fontId="1" fillId="0" borderId="0" xfId="1" applyFont="1" applyBorder="1"/>
    <xf numFmtId="0" fontId="1" fillId="0" borderId="0" xfId="0" applyFont="1" applyFill="1" applyBorder="1"/>
    <xf numFmtId="0" fontId="6" fillId="0" borderId="0" xfId="0" applyFont="1" applyFill="1" applyBorder="1" applyAlignment="1"/>
    <xf numFmtId="0" fontId="1" fillId="0" borderId="0" xfId="0" applyFont="1" applyFill="1" applyBorder="1" applyAlignment="1"/>
    <xf numFmtId="165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5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5" fontId="2" fillId="2" borderId="0" xfId="3" applyNumberFormat="1" applyFont="1" applyBorder="1"/>
    <xf numFmtId="165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6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5" fontId="0" fillId="0" borderId="0" xfId="1" applyNumberFormat="1" applyFont="1" applyBorder="1" applyAlignment="1">
      <alignment horizontal="center"/>
    </xf>
    <xf numFmtId="165" fontId="1" fillId="0" borderId="0" xfId="1" applyNumberFormat="1" applyFont="1" applyBorder="1" applyAlignment="1">
      <alignment horizontal="center"/>
    </xf>
    <xf numFmtId="165" fontId="0" fillId="0" borderId="0" xfId="1" applyNumberFormat="1" applyFont="1" applyBorder="1"/>
    <xf numFmtId="10" fontId="1" fillId="0" borderId="0" xfId="0" applyNumberFormat="1" applyFont="1" applyBorder="1"/>
    <xf numFmtId="166" fontId="2" fillId="5" borderId="0" xfId="1" applyNumberFormat="1" applyFont="1" applyFill="1" applyBorder="1"/>
    <xf numFmtId="166" fontId="7" fillId="0" borderId="0" xfId="1" applyNumberFormat="1" applyFont="1" applyFill="1" applyBorder="1"/>
    <xf numFmtId="0" fontId="0" fillId="0" borderId="0" xfId="0" applyFont="1" applyFill="1" applyBorder="1"/>
    <xf numFmtId="0" fontId="7" fillId="0" borderId="0" xfId="0" applyFont="1" applyFill="1" applyBorder="1"/>
    <xf numFmtId="43" fontId="0" fillId="0" borderId="0" xfId="1" applyNumberFormat="1" applyFont="1" applyBorder="1"/>
    <xf numFmtId="9" fontId="0" fillId="0" borderId="0" xfId="6" applyFont="1" applyBorder="1"/>
    <xf numFmtId="0" fontId="8" fillId="0" borderId="0" xfId="0" applyFont="1"/>
    <xf numFmtId="9" fontId="0" fillId="0" borderId="0" xfId="0" applyNumberFormat="1" applyFont="1" applyBorder="1"/>
    <xf numFmtId="165" fontId="0" fillId="0" borderId="0" xfId="0" applyNumberFormat="1" applyFont="1" applyBorder="1"/>
    <xf numFmtId="0" fontId="8" fillId="0" borderId="0" xfId="0" applyFont="1" applyProtection="1">
      <protection hidden="1"/>
    </xf>
    <xf numFmtId="0" fontId="9" fillId="7" borderId="8" xfId="0" applyFont="1" applyFill="1" applyBorder="1" applyProtection="1">
      <protection hidden="1"/>
    </xf>
    <xf numFmtId="3" fontId="8" fillId="0" borderId="1" xfId="0" applyNumberFormat="1" applyFont="1" applyBorder="1" applyProtection="1">
      <protection hidden="1"/>
    </xf>
    <xf numFmtId="0" fontId="9" fillId="7" borderId="20" xfId="0" applyFont="1" applyFill="1" applyBorder="1" applyProtection="1">
      <protection hidden="1"/>
    </xf>
    <xf numFmtId="0" fontId="17" fillId="7" borderId="18" xfId="0" applyFont="1" applyFill="1" applyBorder="1" applyProtection="1">
      <protection hidden="1"/>
    </xf>
    <xf numFmtId="0" fontId="9" fillId="7" borderId="18" xfId="0" applyFont="1" applyFill="1" applyBorder="1" applyProtection="1">
      <protection hidden="1"/>
    </xf>
    <xf numFmtId="0" fontId="8" fillId="0" borderId="17" xfId="0" applyFont="1" applyBorder="1" applyProtection="1">
      <protection hidden="1"/>
    </xf>
    <xf numFmtId="0" fontId="12" fillId="0" borderId="17" xfId="2" applyFont="1" applyBorder="1" applyAlignment="1" applyProtection="1">
      <protection hidden="1"/>
    </xf>
    <xf numFmtId="0" fontId="11" fillId="0" borderId="17" xfId="0" applyFont="1" applyBorder="1" applyAlignment="1" applyProtection="1">
      <protection hidden="1"/>
    </xf>
    <xf numFmtId="0" fontId="8" fillId="0" borderId="0" xfId="0" applyFont="1" applyBorder="1" applyProtection="1">
      <protection hidden="1"/>
    </xf>
    <xf numFmtId="0" fontId="9" fillId="7" borderId="2" xfId="0" applyFont="1" applyFill="1" applyBorder="1" applyAlignment="1" applyProtection="1">
      <alignment horizontal="center"/>
      <protection hidden="1"/>
    </xf>
    <xf numFmtId="0" fontId="9" fillId="7" borderId="11" xfId="0" applyFont="1" applyFill="1" applyBorder="1" applyAlignment="1" applyProtection="1">
      <alignment horizontal="center"/>
      <protection hidden="1"/>
    </xf>
    <xf numFmtId="0" fontId="9" fillId="7" borderId="10" xfId="0" applyFont="1" applyFill="1" applyBorder="1" applyAlignment="1" applyProtection="1">
      <alignment horizontal="center"/>
      <protection hidden="1"/>
    </xf>
    <xf numFmtId="0" fontId="9" fillId="7" borderId="12" xfId="0" applyFont="1" applyFill="1" applyBorder="1" applyAlignment="1" applyProtection="1">
      <alignment horizontal="center"/>
      <protection hidden="1"/>
    </xf>
    <xf numFmtId="0" fontId="9" fillId="7" borderId="13" xfId="0" applyFont="1" applyFill="1" applyBorder="1" applyAlignment="1" applyProtection="1">
      <alignment horizontal="center"/>
      <protection hidden="1"/>
    </xf>
    <xf numFmtId="0" fontId="9" fillId="7" borderId="3" xfId="0" applyFont="1" applyFill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9" fontId="8" fillId="0" borderId="1" xfId="6" applyFont="1" applyBorder="1" applyAlignment="1" applyProtection="1">
      <alignment horizont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9" fontId="8" fillId="0" borderId="1" xfId="0" applyNumberFormat="1" applyFont="1" applyBorder="1" applyAlignment="1" applyProtection="1">
      <alignment horizontal="center"/>
      <protection hidden="1"/>
    </xf>
    <xf numFmtId="0" fontId="8" fillId="0" borderId="1" xfId="0" applyFont="1" applyBorder="1" applyProtection="1">
      <protection hidden="1"/>
    </xf>
    <xf numFmtId="164" fontId="8" fillId="0" borderId="0" xfId="0" applyNumberFormat="1" applyFont="1" applyAlignment="1" applyProtection="1">
      <protection hidden="1"/>
    </xf>
    <xf numFmtId="0" fontId="9" fillId="7" borderId="21" xfId="0" applyFont="1" applyFill="1" applyBorder="1" applyProtection="1">
      <protection hidden="1"/>
    </xf>
    <xf numFmtId="0" fontId="17" fillId="7" borderId="21" xfId="0" applyFont="1" applyFill="1" applyBorder="1" applyProtection="1">
      <protection hidden="1"/>
    </xf>
    <xf numFmtId="0" fontId="9" fillId="7" borderId="9" xfId="0" applyFont="1" applyFill="1" applyBorder="1" applyProtection="1">
      <protection hidden="1"/>
    </xf>
    <xf numFmtId="0" fontId="9" fillId="7" borderId="7" xfId="0" applyFont="1" applyFill="1" applyBorder="1" applyProtection="1">
      <protection hidden="1"/>
    </xf>
    <xf numFmtId="0" fontId="9" fillId="7" borderId="6" xfId="0" applyFont="1" applyFill="1" applyBorder="1" applyProtection="1">
      <protection hidden="1"/>
    </xf>
    <xf numFmtId="0" fontId="8" fillId="0" borderId="15" xfId="0" applyFont="1" applyBorder="1" applyProtection="1">
      <protection hidden="1"/>
    </xf>
    <xf numFmtId="0" fontId="9" fillId="7" borderId="5" xfId="0" applyFont="1" applyFill="1" applyBorder="1" applyAlignment="1" applyProtection="1">
      <alignment horizontal="center"/>
      <protection hidden="1"/>
    </xf>
    <xf numFmtId="0" fontId="8" fillId="0" borderId="1" xfId="0" applyNumberFormat="1" applyFont="1" applyBorder="1" applyAlignment="1" applyProtection="1">
      <alignment horizontal="center"/>
      <protection hidden="1"/>
    </xf>
    <xf numFmtId="0" fontId="9" fillId="7" borderId="5" xfId="0" applyFont="1" applyFill="1" applyBorder="1" applyProtection="1">
      <protection hidden="1"/>
    </xf>
    <xf numFmtId="0" fontId="9" fillId="7" borderId="14" xfId="0" applyFont="1" applyFill="1" applyBorder="1" applyProtection="1">
      <protection hidden="1"/>
    </xf>
    <xf numFmtId="165" fontId="4" fillId="0" borderId="0" xfId="2" applyNumberFormat="1" applyBorder="1" applyAlignment="1" applyProtection="1">
      <alignment horizontal="center"/>
    </xf>
    <xf numFmtId="165" fontId="2" fillId="4" borderId="0" xfId="5" applyNumberFormat="1" applyFont="1" applyBorder="1" applyAlignment="1">
      <alignment horizontal="center"/>
    </xf>
    <xf numFmtId="164" fontId="8" fillId="0" borderId="2" xfId="0" applyNumberFormat="1" applyFont="1" applyBorder="1" applyAlignment="1" applyProtection="1">
      <alignment horizontal="center"/>
      <protection hidden="1"/>
    </xf>
    <xf numFmtId="164" fontId="8" fillId="0" borderId="4" xfId="0" applyNumberFormat="1" applyFont="1" applyBorder="1" applyAlignment="1" applyProtection="1">
      <alignment horizontal="center"/>
      <protection hidden="1"/>
    </xf>
    <xf numFmtId="0" fontId="9" fillId="8" borderId="2" xfId="0" applyFont="1" applyFill="1" applyBorder="1" applyAlignment="1" applyProtection="1">
      <alignment horizontal="center"/>
      <protection hidden="1"/>
    </xf>
    <xf numFmtId="0" fontId="9" fillId="8" borderId="3" xfId="0" applyFont="1" applyFill="1" applyBorder="1" applyAlignment="1" applyProtection="1">
      <alignment horizontal="center"/>
      <protection hidden="1"/>
    </xf>
    <xf numFmtId="0" fontId="9" fillId="8" borderId="4" xfId="0" applyFont="1" applyFill="1" applyBorder="1" applyAlignment="1" applyProtection="1">
      <alignment horizontal="center"/>
      <protection hidden="1"/>
    </xf>
    <xf numFmtId="0" fontId="10" fillId="9" borderId="2" xfId="0" applyFont="1" applyFill="1" applyBorder="1" applyAlignment="1" applyProtection="1">
      <alignment horizontal="center"/>
      <protection hidden="1"/>
    </xf>
    <xf numFmtId="0" fontId="10" fillId="9" borderId="3" xfId="0" applyFont="1" applyFill="1" applyBorder="1" applyAlignment="1" applyProtection="1">
      <alignment horizontal="center"/>
      <protection hidden="1"/>
    </xf>
    <xf numFmtId="0" fontId="10" fillId="9" borderId="4" xfId="0" applyFont="1" applyFill="1" applyBorder="1" applyAlignment="1" applyProtection="1">
      <alignment horizontal="center"/>
      <protection hidden="1"/>
    </xf>
    <xf numFmtId="0" fontId="10" fillId="10" borderId="2" xfId="0" applyFont="1" applyFill="1" applyBorder="1" applyAlignment="1" applyProtection="1">
      <alignment horizontal="center"/>
      <protection hidden="1"/>
    </xf>
    <xf numFmtId="0" fontId="10" fillId="10" borderId="3" xfId="0" applyFont="1" applyFill="1" applyBorder="1" applyAlignment="1" applyProtection="1">
      <alignment horizontal="center"/>
      <protection hidden="1"/>
    </xf>
    <xf numFmtId="0" fontId="10" fillId="10" borderId="4" xfId="0" applyFont="1" applyFill="1" applyBorder="1" applyAlignment="1" applyProtection="1">
      <alignment horizontal="center"/>
      <protection hidden="1"/>
    </xf>
    <xf numFmtId="0" fontId="9" fillId="7" borderId="1" xfId="0" applyFont="1" applyFill="1" applyBorder="1" applyAlignment="1" applyProtection="1">
      <alignment horizontal="center"/>
      <protection hidden="1"/>
    </xf>
    <xf numFmtId="0" fontId="8" fillId="0" borderId="2" xfId="0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164" fontId="8" fillId="0" borderId="1" xfId="0" applyNumberFormat="1" applyFont="1" applyBorder="1" applyAlignment="1" applyProtection="1">
      <alignment horizontal="center"/>
      <protection hidden="1"/>
    </xf>
    <xf numFmtId="0" fontId="8" fillId="0" borderId="1" xfId="0" applyFont="1" applyBorder="1" applyAlignment="1" applyProtection="1">
      <alignment horizontal="center"/>
      <protection hidden="1"/>
    </xf>
    <xf numFmtId="0" fontId="9" fillId="7" borderId="2" xfId="0" applyFont="1" applyFill="1" applyBorder="1" applyAlignment="1" applyProtection="1">
      <alignment horizontal="center"/>
      <protection hidden="1"/>
    </xf>
    <xf numFmtId="0" fontId="9" fillId="7" borderId="3" xfId="0" applyFont="1" applyFill="1" applyBorder="1" applyAlignment="1" applyProtection="1">
      <alignment horizontal="center"/>
      <protection hidden="1"/>
    </xf>
    <xf numFmtId="0" fontId="9" fillId="7" borderId="4" xfId="0" applyFont="1" applyFill="1" applyBorder="1" applyAlignment="1" applyProtection="1">
      <alignment horizontal="center"/>
      <protection hidden="1"/>
    </xf>
    <xf numFmtId="0" fontId="9" fillId="7" borderId="18" xfId="0" applyFont="1" applyFill="1" applyBorder="1" applyAlignment="1" applyProtection="1">
      <alignment horizontal="center"/>
      <protection hidden="1"/>
    </xf>
    <xf numFmtId="0" fontId="12" fillId="0" borderId="16" xfId="2" applyFont="1" applyBorder="1" applyAlignment="1" applyProtection="1">
      <alignment horizontal="center"/>
      <protection hidden="1"/>
    </xf>
    <xf numFmtId="0" fontId="9" fillId="7" borderId="19" xfId="0" applyFont="1" applyFill="1" applyBorder="1" applyAlignment="1" applyProtection="1">
      <alignment horizontal="center"/>
      <protection hidden="1"/>
    </xf>
    <xf numFmtId="0" fontId="13" fillId="0" borderId="16" xfId="2" applyFont="1" applyBorder="1" applyAlignment="1" applyProtection="1">
      <alignment horizontal="center"/>
      <protection hidden="1"/>
    </xf>
    <xf numFmtId="0" fontId="16" fillId="0" borderId="16" xfId="0" applyFont="1" applyBorder="1" applyAlignment="1" applyProtection="1">
      <alignment horizontal="center"/>
      <protection hidden="1"/>
    </xf>
    <xf numFmtId="0" fontId="14" fillId="0" borderId="16" xfId="0" applyFont="1" applyBorder="1" applyAlignment="1" applyProtection="1">
      <alignment horizontal="center"/>
      <protection hidden="1"/>
    </xf>
    <xf numFmtId="0" fontId="13" fillId="0" borderId="18" xfId="2" applyFont="1" applyBorder="1" applyAlignment="1" applyProtection="1">
      <alignment horizontal="center"/>
      <protection hidden="1"/>
    </xf>
    <xf numFmtId="0" fontId="12" fillId="0" borderId="22" xfId="2" applyFont="1" applyBorder="1" applyAlignment="1" applyProtection="1">
      <alignment horizontal="center"/>
      <protection hidden="1"/>
    </xf>
    <xf numFmtId="0" fontId="12" fillId="0" borderId="23" xfId="2" applyFont="1" applyBorder="1" applyAlignment="1" applyProtection="1">
      <alignment horizontal="center"/>
      <protection hidden="1"/>
    </xf>
    <xf numFmtId="0" fontId="12" fillId="0" borderId="24" xfId="2" applyFont="1" applyBorder="1" applyAlignment="1" applyProtection="1">
      <alignment horizontal="center"/>
      <protection hidden="1"/>
    </xf>
    <xf numFmtId="0" fontId="15" fillId="0" borderId="16" xfId="0" applyFont="1" applyBorder="1" applyAlignment="1" applyProtection="1">
      <alignment horizontal="center"/>
      <protection hidden="1"/>
    </xf>
    <xf numFmtId="165" fontId="8" fillId="6" borderId="1" xfId="0" applyNumberFormat="1" applyFont="1" applyFill="1" applyBorder="1" applyProtection="1">
      <protection locked="0"/>
    </xf>
    <xf numFmtId="9" fontId="8" fillId="6" borderId="1" xfId="0" applyNumberFormat="1" applyFont="1" applyFill="1" applyBorder="1" applyProtection="1">
      <protection locked="0"/>
    </xf>
    <xf numFmtId="9" fontId="8" fillId="6" borderId="1" xfId="0" applyNumberFormat="1" applyFont="1" applyFill="1" applyBorder="1" applyAlignment="1" applyProtection="1">
      <alignment horizontal="center"/>
      <protection locked="0"/>
    </xf>
    <xf numFmtId="0" fontId="8" fillId="6" borderId="1" xfId="0" applyNumberFormat="1" applyFont="1" applyFill="1" applyBorder="1" applyProtection="1">
      <protection locked="0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6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567447</xdr:colOff>
      <xdr:row>1</xdr:row>
      <xdr:rowOff>270214</xdr:rowOff>
    </xdr:from>
    <xdr:to>
      <xdr:col>6</xdr:col>
      <xdr:colOff>162128</xdr:colOff>
      <xdr:row>7</xdr:row>
      <xdr:rowOff>162739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8F6A5-40DC-724F-A8A4-75344DD2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7660" y="675533"/>
          <a:ext cx="3350638" cy="243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179421</xdr:colOff>
      <xdr:row>1</xdr:row>
      <xdr:rowOff>314529</xdr:rowOff>
    </xdr:from>
    <xdr:to>
      <xdr:col>11</xdr:col>
      <xdr:colOff>449634</xdr:colOff>
      <xdr:row>7</xdr:row>
      <xdr:rowOff>207054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A99B4C-6888-5441-BCC0-646744EB3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85166" y="719848"/>
          <a:ext cx="3350638" cy="24325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://www.tinyurl.com/vk645vp3" TargetMode="External"/><Relationship Id="rId7" Type="http://schemas.openxmlformats.org/officeDocument/2006/relationships/printerSettings" Target="../printerSettings/printerSettings6.bin"/><Relationship Id="rId2" Type="http://schemas.openxmlformats.org/officeDocument/2006/relationships/hyperlink" Target="http://www.tinyurl.com/6uchvnvh" TargetMode="External"/><Relationship Id="rId1" Type="http://schemas.openxmlformats.org/officeDocument/2006/relationships/hyperlink" Target="http://www.zerodha.com/open-account?c=ZMPVNW" TargetMode="External"/><Relationship Id="rId6" Type="http://schemas.openxmlformats.org/officeDocument/2006/relationships/hyperlink" Target="http://www.tinyurl.com/wdunurz5" TargetMode="External"/><Relationship Id="rId5" Type="http://schemas.openxmlformats.org/officeDocument/2006/relationships/hyperlink" Target="http://www.tinyurl.com/y3r42a2x" TargetMode="External"/><Relationship Id="rId4" Type="http://schemas.openxmlformats.org/officeDocument/2006/relationships/hyperlink" Target="http://www.tinyurl.com/y8sbw9w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11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  <v>40999</v>
      </c>
      <c r="C3" s="16">
        <f>'Data Sheet'!C16</f>
        <v>41364</v>
      </c>
      <c r="D3" s="16">
        <f>'Data Sheet'!D16</f>
        <v>41729</v>
      </c>
      <c r="E3" s="16">
        <f>'Data Sheet'!E16</f>
        <v>42094</v>
      </c>
      <c r="F3" s="16">
        <f>'Data Sheet'!F16</f>
        <v>42460</v>
      </c>
      <c r="G3" s="16">
        <f>'Data Sheet'!G16</f>
        <v>42825</v>
      </c>
      <c r="H3" s="16">
        <f>'Data Sheet'!H16</f>
        <v>43190</v>
      </c>
      <c r="I3" s="16">
        <f>'Data Sheet'!I16</f>
        <v>43555</v>
      </c>
      <c r="J3" s="16">
        <f>'Data Sheet'!J16</f>
        <v>43921</v>
      </c>
      <c r="K3" s="16">
        <f>'Data Sheet'!K16</f>
        <v>44286</v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  <v>26516.03</v>
      </c>
      <c r="C4" s="1">
        <f>'Data Sheet'!C17</f>
        <v>31618.33</v>
      </c>
      <c r="D4" s="1">
        <f>'Data Sheet'!D17</f>
        <v>35306.43</v>
      </c>
      <c r="E4" s="1">
        <f>'Data Sheet'!E17</f>
        <v>38817.15</v>
      </c>
      <c r="F4" s="1">
        <f>'Data Sheet'!F17</f>
        <v>39192.1</v>
      </c>
      <c r="G4" s="1">
        <f>'Data Sheet'!G17</f>
        <v>42767.6</v>
      </c>
      <c r="H4" s="1">
        <f>'Data Sheet'!H17</f>
        <v>43448.94</v>
      </c>
      <c r="I4" s="1">
        <f>'Data Sheet'!I17</f>
        <v>48339.58</v>
      </c>
      <c r="J4" s="1">
        <f>'Data Sheet'!J17</f>
        <v>49387.7</v>
      </c>
      <c r="K4" s="1">
        <f>'Data Sheet'!K17</f>
        <v>49257.45</v>
      </c>
      <c r="L4" s="1">
        <f>SUM(Quarters!H4:K4)</f>
        <v>52745.96</v>
      </c>
      <c r="M4" s="1">
        <f>$K4+M23*K4</f>
        <v>52745.96</v>
      </c>
      <c r="N4" s="1">
        <f>$K4+N23*L4</f>
        <v>51510.319597715024</v>
      </c>
    </row>
    <row r="5" spans="1:14" x14ac:dyDescent="0.2">
      <c r="A5" s="6" t="s">
        <v>7</v>
      </c>
      <c r="B5" s="9">
        <f>SUM('Data Sheet'!B18,'Data Sheet'!B20:B24, -1*'Data Sheet'!B19)</f>
        <v>17272.07</v>
      </c>
      <c r="C5" s="9">
        <f>SUM('Data Sheet'!C18,'Data Sheet'!C20:C24, -1*'Data Sheet'!C19)</f>
        <v>20397.75</v>
      </c>
      <c r="D5" s="9">
        <f>SUM('Data Sheet'!D18,'Data Sheet'!D20:D24, -1*'Data Sheet'!D19)</f>
        <v>22226.530000000002</v>
      </c>
      <c r="E5" s="9">
        <f>SUM('Data Sheet'!E18,'Data Sheet'!E20:E24, -1*'Data Sheet'!E19)</f>
        <v>24565.529999999995</v>
      </c>
      <c r="F5" s="9">
        <f>SUM('Data Sheet'!F18,'Data Sheet'!F20:F24, -1*'Data Sheet'!F19)</f>
        <v>24660.609999999997</v>
      </c>
      <c r="G5" s="9">
        <f>SUM('Data Sheet'!G18,'Data Sheet'!G20:G24, -1*'Data Sheet'!G19)</f>
        <v>27298.09</v>
      </c>
      <c r="H5" s="9">
        <f>SUM('Data Sheet'!H18,'Data Sheet'!H20:H24, -1*'Data Sheet'!H19)</f>
        <v>26928.35</v>
      </c>
      <c r="I5" s="9">
        <f>SUM('Data Sheet'!I18,'Data Sheet'!I20:I24, -1*'Data Sheet'!I19)</f>
        <v>29802.19</v>
      </c>
      <c r="J5" s="9">
        <f>SUM('Data Sheet'!J18,'Data Sheet'!J20:J24, -1*'Data Sheet'!J19)</f>
        <v>30044.16</v>
      </c>
      <c r="K5" s="9">
        <f>SUM('Data Sheet'!K18,'Data Sheet'!K20:K24, -1*'Data Sheet'!K19)</f>
        <v>32192.670000000002</v>
      </c>
      <c r="L5" s="9">
        <f>SUM(Quarters!H5:K5)</f>
        <v>34245.08</v>
      </c>
      <c r="M5" s="9">
        <f t="shared" ref="M5:N5" si="0">M4-M6</f>
        <v>33028.508929867749</v>
      </c>
      <c r="N5" s="9">
        <f t="shared" si="0"/>
        <v>33442.845962976484</v>
      </c>
    </row>
    <row r="6" spans="1:14" s="8" customFormat="1" x14ac:dyDescent="0.2">
      <c r="A6" s="8" t="s">
        <v>8</v>
      </c>
      <c r="B6" s="1">
        <f>B4-B5</f>
        <v>9243.9599999999991</v>
      </c>
      <c r="C6" s="1">
        <f t="shared" ref="C6:K6" si="1">C4-C5</f>
        <v>11220.580000000002</v>
      </c>
      <c r="D6" s="1">
        <f t="shared" si="1"/>
        <v>13079.899999999998</v>
      </c>
      <c r="E6" s="1">
        <f t="shared" si="1"/>
        <v>14251.620000000006</v>
      </c>
      <c r="F6" s="1">
        <f t="shared" si="1"/>
        <v>14531.490000000002</v>
      </c>
      <c r="G6" s="1">
        <f t="shared" si="1"/>
        <v>15469.509999999998</v>
      </c>
      <c r="H6" s="1">
        <f t="shared" si="1"/>
        <v>16520.590000000004</v>
      </c>
      <c r="I6" s="1">
        <f t="shared" si="1"/>
        <v>18537.390000000003</v>
      </c>
      <c r="J6" s="1">
        <f t="shared" si="1"/>
        <v>19343.539999999997</v>
      </c>
      <c r="K6" s="1">
        <f t="shared" si="1"/>
        <v>17064.779999999995</v>
      </c>
      <c r="L6" s="1">
        <f>SUM(Quarters!H6:K6)</f>
        <v>18500.879999999997</v>
      </c>
      <c r="M6" s="1">
        <f>M4*M24</f>
        <v>19717.451070132251</v>
      </c>
      <c r="N6" s="1">
        <f>N4*N24</f>
        <v>18067.473634738544</v>
      </c>
    </row>
    <row r="7" spans="1:14" x14ac:dyDescent="0.2">
      <c r="A7" s="6" t="s">
        <v>9</v>
      </c>
      <c r="B7" s="9">
        <f>'Data Sheet'!B25</f>
        <v>771.71</v>
      </c>
      <c r="C7" s="9">
        <f>'Data Sheet'!C25</f>
        <v>852.31</v>
      </c>
      <c r="D7" s="9">
        <f>'Data Sheet'!D25</f>
        <v>965.74</v>
      </c>
      <c r="E7" s="9">
        <f>'Data Sheet'!E25</f>
        <v>1229.3499999999999</v>
      </c>
      <c r="F7" s="9">
        <f>'Data Sheet'!F25</f>
        <v>1483.11</v>
      </c>
      <c r="G7" s="9">
        <f>'Data Sheet'!G25</f>
        <v>1758.63</v>
      </c>
      <c r="H7" s="9">
        <f>'Data Sheet'!H25</f>
        <v>2239.81</v>
      </c>
      <c r="I7" s="9">
        <f>'Data Sheet'!I25</f>
        <v>2080.44</v>
      </c>
      <c r="J7" s="9">
        <f>'Data Sheet'!J25</f>
        <v>2417.3200000000002</v>
      </c>
      <c r="K7" s="9">
        <f>'Data Sheet'!K25</f>
        <v>2576.9499999999998</v>
      </c>
      <c r="L7" s="9">
        <f>SUM(Quarters!H7:K7)</f>
        <v>2154.4700000000003</v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  <v>745.48</v>
      </c>
      <c r="C8" s="9">
        <f>'Data Sheet'!C26</f>
        <v>859.11</v>
      </c>
      <c r="D8" s="9">
        <f>'Data Sheet'!D26</f>
        <v>964.92</v>
      </c>
      <c r="E8" s="9">
        <f>'Data Sheet'!E26</f>
        <v>1027.96</v>
      </c>
      <c r="F8" s="9">
        <f>'Data Sheet'!F26</f>
        <v>1077.4000000000001</v>
      </c>
      <c r="G8" s="9">
        <f>'Data Sheet'!G26</f>
        <v>1152.79</v>
      </c>
      <c r="H8" s="9">
        <f>'Data Sheet'!H26</f>
        <v>1236.28</v>
      </c>
      <c r="I8" s="9">
        <f>'Data Sheet'!I26</f>
        <v>1396.61</v>
      </c>
      <c r="J8" s="9">
        <f>'Data Sheet'!J26</f>
        <v>1644.91</v>
      </c>
      <c r="K8" s="9">
        <f>'Data Sheet'!K26</f>
        <v>1645.59</v>
      </c>
      <c r="L8" s="9">
        <f>SUM(Quarters!H8:K8)</f>
        <v>1640.73</v>
      </c>
      <c r="M8" s="9">
        <f>+$L8</f>
        <v>1640.73</v>
      </c>
      <c r="N8" s="9">
        <f>+$L8</f>
        <v>1640.73</v>
      </c>
    </row>
    <row r="9" spans="1:14" x14ac:dyDescent="0.2">
      <c r="A9" s="6" t="s">
        <v>11</v>
      </c>
      <c r="B9" s="9">
        <f>'Data Sheet'!B27</f>
        <v>102.04</v>
      </c>
      <c r="C9" s="9">
        <f>'Data Sheet'!C27</f>
        <v>108.13</v>
      </c>
      <c r="D9" s="9">
        <f>'Data Sheet'!D27</f>
        <v>29.17</v>
      </c>
      <c r="E9" s="9">
        <f>'Data Sheet'!E27</f>
        <v>90.96</v>
      </c>
      <c r="F9" s="9">
        <f>'Data Sheet'!F27</f>
        <v>78.13</v>
      </c>
      <c r="G9" s="9">
        <f>'Data Sheet'!G27</f>
        <v>49.03</v>
      </c>
      <c r="H9" s="9">
        <f>'Data Sheet'!H27</f>
        <v>115.01</v>
      </c>
      <c r="I9" s="9">
        <f>'Data Sheet'!I27</f>
        <v>71.400000000000006</v>
      </c>
      <c r="J9" s="9">
        <f>'Data Sheet'!J27</f>
        <v>81.38</v>
      </c>
      <c r="K9" s="9">
        <f>'Data Sheet'!K27</f>
        <v>57.97</v>
      </c>
      <c r="L9" s="9">
        <f>SUM(Quarters!H9:K9)</f>
        <v>38.099999999999994</v>
      </c>
      <c r="M9" s="9">
        <f>+$L9</f>
        <v>38.099999999999994</v>
      </c>
      <c r="N9" s="9">
        <f>+$L9</f>
        <v>38.099999999999994</v>
      </c>
    </row>
    <row r="10" spans="1:14" x14ac:dyDescent="0.2">
      <c r="A10" s="6" t="s">
        <v>12</v>
      </c>
      <c r="B10" s="9">
        <f>'Data Sheet'!B28</f>
        <v>9168.15</v>
      </c>
      <c r="C10" s="9">
        <f>'Data Sheet'!C28</f>
        <v>11105.65</v>
      </c>
      <c r="D10" s="9">
        <f>'Data Sheet'!D28</f>
        <v>13051.55</v>
      </c>
      <c r="E10" s="9">
        <f>'Data Sheet'!E28</f>
        <v>14362.05</v>
      </c>
      <c r="F10" s="9">
        <f>'Data Sheet'!F28</f>
        <v>14859.07</v>
      </c>
      <c r="G10" s="9">
        <f>'Data Sheet'!G28</f>
        <v>16026.32</v>
      </c>
      <c r="H10" s="9">
        <f>'Data Sheet'!H28</f>
        <v>17409.11</v>
      </c>
      <c r="I10" s="9">
        <f>'Data Sheet'!I28</f>
        <v>19149.82</v>
      </c>
      <c r="J10" s="9">
        <f>'Data Sheet'!J28</f>
        <v>20034.57</v>
      </c>
      <c r="K10" s="9">
        <f>'Data Sheet'!K28</f>
        <v>17938.169999999998</v>
      </c>
      <c r="L10" s="9">
        <f>SUM(Quarters!H10:K10)</f>
        <v>18976.52</v>
      </c>
      <c r="M10" s="9">
        <f>M6+M7-SUM(M8:M9)</f>
        <v>18038.621070132249</v>
      </c>
      <c r="N10" s="9">
        <f>N6+N7-SUM(N8:N9)</f>
        <v>16388.643634738546</v>
      </c>
    </row>
    <row r="11" spans="1:14" x14ac:dyDescent="0.2">
      <c r="A11" s="6" t="s">
        <v>13</v>
      </c>
      <c r="B11" s="9">
        <f>'Data Sheet'!B29</f>
        <v>2845.76</v>
      </c>
      <c r="C11" s="9">
        <f>'Data Sheet'!C29</f>
        <v>3412.07</v>
      </c>
      <c r="D11" s="9">
        <f>'Data Sheet'!D29</f>
        <v>4060.93</v>
      </c>
      <c r="E11" s="9">
        <f>'Data Sheet'!E29</f>
        <v>4596.42</v>
      </c>
      <c r="F11" s="9">
        <f>'Data Sheet'!F29</f>
        <v>5358.21</v>
      </c>
      <c r="G11" s="9">
        <f>'Data Sheet'!G29</f>
        <v>5549.09</v>
      </c>
      <c r="H11" s="9">
        <f>'Data Sheet'!H29</f>
        <v>5916.43</v>
      </c>
      <c r="I11" s="9">
        <f>'Data Sheet'!I29</f>
        <v>6313.92</v>
      </c>
      <c r="J11" s="9">
        <f>'Data Sheet'!J29</f>
        <v>4441.79</v>
      </c>
      <c r="K11" s="9">
        <f>'Data Sheet'!K29</f>
        <v>4555.29</v>
      </c>
      <c r="L11" s="9">
        <f>SUM(Quarters!H11:K11)</f>
        <v>4810.3500000000004</v>
      </c>
      <c r="M11" s="10">
        <f>IF($L10&gt;0,$L11/$L10,0)</f>
        <v>0.25348957553861301</v>
      </c>
      <c r="N11" s="10">
        <f>IF($L10&gt;0,$L11/$L10,0)</f>
        <v>0.25348957553861301</v>
      </c>
    </row>
    <row r="12" spans="1:14" s="8" customFormat="1" x14ac:dyDescent="0.2">
      <c r="A12" s="8" t="s">
        <v>14</v>
      </c>
      <c r="B12" s="1">
        <f>'Data Sheet'!B30</f>
        <v>6258.14</v>
      </c>
      <c r="C12" s="1">
        <f>'Data Sheet'!C30</f>
        <v>7608.07</v>
      </c>
      <c r="D12" s="1">
        <f>'Data Sheet'!D30</f>
        <v>8891.3799999999992</v>
      </c>
      <c r="E12" s="1">
        <f>'Data Sheet'!E30</f>
        <v>9663.17</v>
      </c>
      <c r="F12" s="1">
        <f>'Data Sheet'!F30</f>
        <v>9344.4500000000007</v>
      </c>
      <c r="G12" s="1">
        <f>'Data Sheet'!G30</f>
        <v>10289.44</v>
      </c>
      <c r="H12" s="1">
        <f>'Data Sheet'!H30</f>
        <v>11271.2</v>
      </c>
      <c r="I12" s="1">
        <f>'Data Sheet'!I30</f>
        <v>12592.33</v>
      </c>
      <c r="J12" s="1">
        <f>'Data Sheet'!J30</f>
        <v>15306.23</v>
      </c>
      <c r="K12" s="1">
        <f>'Data Sheet'!K30</f>
        <v>13161.19</v>
      </c>
      <c r="L12" s="1">
        <f>SUM(Quarters!H12:K12)</f>
        <v>13926.67</v>
      </c>
      <c r="M12" s="1">
        <f>M10-M11*M10</f>
        <v>13466.018671762544</v>
      </c>
      <c r="N12" s="1">
        <f>N10-N11*N10</f>
        <v>12234.29331611508</v>
      </c>
    </row>
    <row r="13" spans="1:14" x14ac:dyDescent="0.2">
      <c r="A13" s="11" t="s">
        <v>48</v>
      </c>
      <c r="B13" s="9">
        <f>IF('Data Sheet'!B93&gt;0,B12/'Data Sheet'!B93,0)</f>
        <v>5.3362495310208402</v>
      </c>
      <c r="C13" s="9">
        <f>IF('Data Sheet'!C93&gt;0,C12/'Data Sheet'!C93,0)</f>
        <v>6.418849713567373</v>
      </c>
      <c r="D13" s="9">
        <f>IF('Data Sheet'!D93&gt;0,D12/'Data Sheet'!D93,0)</f>
        <v>7.45308387399621</v>
      </c>
      <c r="E13" s="9">
        <f>IF('Data Sheet'!E93&gt;0,E12/'Data Sheet'!E93,0)</f>
        <v>8.0370364209493239</v>
      </c>
      <c r="F13" s="9">
        <f>IF('Data Sheet'!F93&gt;0,F12/'Data Sheet'!F93,0)</f>
        <v>7.7413675978394147</v>
      </c>
      <c r="G13" s="9">
        <f>IF('Data Sheet'!G93&gt;0,G12/'Data Sheet'!G93,0)</f>
        <v>8.4704875117309051</v>
      </c>
      <c r="H13" s="9">
        <f>IF('Data Sheet'!H93&gt;0,H12/'Data Sheet'!H93,0)</f>
        <v>9.2354334128135172</v>
      </c>
      <c r="I13" s="9">
        <f>IF('Data Sheet'!I93&gt;0,I12/'Data Sheet'!I93,0)</f>
        <v>10.272241528396393</v>
      </c>
      <c r="J13" s="9">
        <f>IF('Data Sheet'!J93&gt;0,J12/'Data Sheet'!J93,0)</f>
        <v>12.451985812141032</v>
      </c>
      <c r="K13" s="9">
        <f>IF('Data Sheet'!K93&gt;0,K12/'Data Sheet'!K93,0)</f>
        <v>10.692504549590536</v>
      </c>
      <c r="L13" s="9">
        <f>IF('Data Sheet'!$B6&gt;0,'Profit &amp; Loss'!L12/'Data Sheet'!$B6,0)</f>
        <v>11.308170468984692</v>
      </c>
      <c r="M13" s="9">
        <f>IF('Data Sheet'!$B6&gt;0,'Profit &amp; Loss'!M12/'Data Sheet'!$B6,0)</f>
        <v>10.93413103626507</v>
      </c>
      <c r="N13" s="9">
        <f>IF('Data Sheet'!$B6&gt;0,'Profit &amp; Loss'!N12/'Data Sheet'!$B6,0)</f>
        <v>9.9339953044187403</v>
      </c>
    </row>
    <row r="14" spans="1:14" x14ac:dyDescent="0.2">
      <c r="A14" s="6" t="s">
        <v>16</v>
      </c>
      <c r="B14" s="9">
        <f>IF(B15&gt;0,B15/B13,"")</f>
        <v>28.347624885349319</v>
      </c>
      <c r="C14" s="9">
        <f t="shared" ref="C14:K14" si="2">IF(C15&gt;0,C15/C13,"")</f>
        <v>32.139714934273741</v>
      </c>
      <c r="D14" s="9">
        <f t="shared" si="2"/>
        <v>31.56143201617747</v>
      </c>
      <c r="E14" s="9">
        <f t="shared" si="2"/>
        <v>27.028619583428622</v>
      </c>
      <c r="F14" s="9">
        <f t="shared" si="2"/>
        <v>28.267615151239504</v>
      </c>
      <c r="G14" s="9">
        <f t="shared" si="2"/>
        <v>33.091365710864736</v>
      </c>
      <c r="H14" s="9">
        <f t="shared" si="2"/>
        <v>27.665187823834195</v>
      </c>
      <c r="I14" s="9">
        <f t="shared" si="2"/>
        <v>28.937208999446483</v>
      </c>
      <c r="J14" s="9">
        <f t="shared" si="2"/>
        <v>13.788965277537315</v>
      </c>
      <c r="K14" s="9">
        <f t="shared" si="2"/>
        <v>20.434875569762308</v>
      </c>
      <c r="L14" s="9">
        <f t="shared" ref="L14" si="3">IF(L13&gt;0,L15/L13,0)</f>
        <v>18.508741141995898</v>
      </c>
      <c r="M14" s="9">
        <f>M25</f>
        <v>20.417447747185502</v>
      </c>
      <c r="N14" s="9">
        <f>N25</f>
        <v>18.508741141995898</v>
      </c>
    </row>
    <row r="15" spans="1:14" s="8" customFormat="1" x14ac:dyDescent="0.2">
      <c r="A15" s="8" t="s">
        <v>49</v>
      </c>
      <c r="B15" s="1">
        <f>'Data Sheet'!B90</f>
        <v>151.27000000000001</v>
      </c>
      <c r="C15" s="1">
        <f>'Data Sheet'!C90</f>
        <v>206.3</v>
      </c>
      <c r="D15" s="1">
        <f>'Data Sheet'!D90</f>
        <v>235.23</v>
      </c>
      <c r="E15" s="1">
        <f>'Data Sheet'!E90</f>
        <v>217.23</v>
      </c>
      <c r="F15" s="1">
        <f>'Data Sheet'!F90</f>
        <v>218.83</v>
      </c>
      <c r="G15" s="1">
        <f>'Data Sheet'!G90</f>
        <v>280.3</v>
      </c>
      <c r="H15" s="1">
        <f>'Data Sheet'!H90</f>
        <v>255.5</v>
      </c>
      <c r="I15" s="1">
        <f>'Data Sheet'!I90</f>
        <v>297.25</v>
      </c>
      <c r="J15" s="1">
        <f>'Data Sheet'!J90</f>
        <v>171.7</v>
      </c>
      <c r="K15" s="1">
        <f>'Data Sheet'!K90</f>
        <v>218.5</v>
      </c>
      <c r="L15" s="1">
        <f>'Data Sheet'!B8</f>
        <v>209.3</v>
      </c>
      <c r="M15" s="12">
        <f>M13*M14</f>
        <v>223.24704909382132</v>
      </c>
      <c r="N15" s="13">
        <f>N13*N14</f>
        <v>183.86574759528921</v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  <v>0.56219260035729468</v>
      </c>
      <c r="C18" s="7">
        <f>IF('Data Sheet'!C30&gt;0, 'Data Sheet'!C31/'Data Sheet'!C30, 0)</f>
        <v>0.54526837949703399</v>
      </c>
      <c r="D18" s="7">
        <f>IF('Data Sheet'!D30&gt;0, 'Data Sheet'!D31/'Data Sheet'!D30, 0)</f>
        <v>0.53669059246146278</v>
      </c>
      <c r="E18" s="7">
        <f>IF('Data Sheet'!E30&gt;0, 'Data Sheet'!E31/'Data Sheet'!E30, 0)</f>
        <v>0.51843132222655708</v>
      </c>
      <c r="F18" s="7">
        <f>IF('Data Sheet'!F30&gt;0, 'Data Sheet'!F31/'Data Sheet'!F30, 0)</f>
        <v>0.73199813793214152</v>
      </c>
      <c r="G18" s="7">
        <f>IF('Data Sheet'!G30&gt;0, 'Data Sheet'!G31/'Data Sheet'!G30, 0)</f>
        <v>0.56077104293333746</v>
      </c>
      <c r="H18" s="7">
        <f>IF('Data Sheet'!H30&gt;0, 'Data Sheet'!H31/'Data Sheet'!H30, 0)</f>
        <v>0.55763450209383203</v>
      </c>
      <c r="I18" s="7">
        <f>IF('Data Sheet'!I30&gt;0, 'Data Sheet'!I31/'Data Sheet'!I30, 0)</f>
        <v>0.55976137855345276</v>
      </c>
      <c r="J18" s="7">
        <f>IF('Data Sheet'!J30&gt;0, 'Data Sheet'!J31/'Data Sheet'!J30, 0)</f>
        <v>0.8151308323473514</v>
      </c>
      <c r="K18" s="7">
        <f>IF('Data Sheet'!K30&gt;0, 'Data Sheet'!K31/'Data Sheet'!K30, 0)</f>
        <v>1.0053771733407084</v>
      </c>
    </row>
    <row r="19" spans="1:14" x14ac:dyDescent="0.2">
      <c r="A19" s="6" t="s">
        <v>18</v>
      </c>
      <c r="B19" s="7">
        <f t="shared" ref="B19:L19" si="4">IF(B6&gt;0,B6/B4,0)</f>
        <v>0.34861779836574325</v>
      </c>
      <c r="C19" s="7">
        <f t="shared" ref="C19:K19" si="5">IF(C6&gt;0,C6/C4,0)</f>
        <v>0.3548757951479411</v>
      </c>
      <c r="D19" s="7">
        <f t="shared" si="5"/>
        <v>0.37046792892965946</v>
      </c>
      <c r="E19" s="7">
        <f t="shared" si="5"/>
        <v>0.36714751082962055</v>
      </c>
      <c r="F19" s="7">
        <f t="shared" si="5"/>
        <v>0.37077599822413199</v>
      </c>
      <c r="G19" s="7">
        <f t="shared" si="5"/>
        <v>0.36171096811605047</v>
      </c>
      <c r="H19" s="7">
        <f t="shared" si="5"/>
        <v>0.38022998950031928</v>
      </c>
      <c r="I19" s="7">
        <f t="shared" si="5"/>
        <v>0.38348264507056129</v>
      </c>
      <c r="J19" s="7">
        <f t="shared" si="5"/>
        <v>0.39166715599228147</v>
      </c>
      <c r="K19" s="7">
        <f t="shared" si="5"/>
        <v>0.34644058919006154</v>
      </c>
      <c r="L19" s="7">
        <f t="shared" si="4"/>
        <v>0.35075444640689063</v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56</v>
      </c>
      <c r="I22" s="16" t="s">
        <v>57</v>
      </c>
      <c r="J22" s="16" t="s">
        <v>58</v>
      </c>
      <c r="K22" s="16" t="s">
        <v>59</v>
      </c>
      <c r="L22" s="17" t="s">
        <v>60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7.1235175320701005E-2</v>
      </c>
      <c r="I23" s="7">
        <f>IF(D4=0,"",POWER($K4/D4,1/7)-1)</f>
        <v>4.8720436647515797E-2</v>
      </c>
      <c r="J23" s="7">
        <f>IF(F4=0,"",POWER($K4/F4,1/5)-1)</f>
        <v>4.6778220708890927E-2</v>
      </c>
      <c r="K23" s="7">
        <f>IF(H4=0,"",POWER($K4/H4, 1/3)-1)</f>
        <v>4.2711699582584695E-2</v>
      </c>
      <c r="L23" s="7">
        <f>IF(ISERROR(MAX(IF(J4=0,"",(K4-J4)/J4),IF(K4=0,"",(L4-K4)/K4))),"",MAX(IF(J4=0,"",(K4-J4)/J4),IF(K4=0,"",(L4-K4)/K4)))</f>
        <v>7.0821977183146964E-2</v>
      </c>
      <c r="M23" s="22">
        <f>MAX(K23:L23)</f>
        <v>7.0821977183146964E-2</v>
      </c>
      <c r="N23" s="22">
        <f>MIN(H23:L23)</f>
        <v>4.2711699582584695E-2</v>
      </c>
    </row>
    <row r="24" spans="1:14" x14ac:dyDescent="0.2">
      <c r="G24" s="6" t="s">
        <v>18</v>
      </c>
      <c r="H24" s="7">
        <f>IF(SUM(B4:$K$4)=0,"",SUMPRODUCT(B19:$K$19,B4:$K$4)/SUM(B4:$K$4))</f>
        <v>0.36886908879647506</v>
      </c>
      <c r="I24" s="7">
        <f>IF(SUM(E4:$K$4)=0,"",SUMPRODUCT(E19:$K$19,E4:$K$4)/SUM(E4:$K$4))</f>
        <v>0.37183485956708662</v>
      </c>
      <c r="J24" s="7">
        <f>IF(SUM(G4:$K$4)=0,"",SUMPRODUCT(G19:$K$19,G4:$K$4)/SUM(G4:$K$4))</f>
        <v>0.37279303839125744</v>
      </c>
      <c r="K24" s="7">
        <f>IF(SUM(I4:$K$4)=0, "", SUMPRODUCT(I19:$K$19,I4:$K$4)/SUM(I4:$K$4))</f>
        <v>0.37381917155612016</v>
      </c>
      <c r="L24" s="7">
        <f>L19</f>
        <v>0.35075444640689063</v>
      </c>
      <c r="M24" s="22">
        <f>MAX(K24:L24)</f>
        <v>0.37381917155612016</v>
      </c>
      <c r="N24" s="22">
        <f>MIN(H24:L24)</f>
        <v>0.35075444640689063</v>
      </c>
    </row>
    <row r="25" spans="1:14" x14ac:dyDescent="0.2">
      <c r="G25" s="6" t="s">
        <v>23</v>
      </c>
      <c r="H25" s="9">
        <f>IF(ISERROR(AVERAGEIF(B14:$L14,"&gt;0")),"",AVERAGEIF(B14:$L14,"&gt;0"))</f>
        <v>26.342850099446331</v>
      </c>
      <c r="I25" s="9">
        <f>IF(ISERROR(AVERAGEIF(E14:$L14,"&gt;0")),"",AVERAGEIF(E14:$L14,"&gt;0"))</f>
        <v>24.715322407263631</v>
      </c>
      <c r="J25" s="9">
        <f>IF(ISERROR(AVERAGEIF(G14:$L14,"&gt;0")),"",AVERAGEIF(G14:$L14,"&gt;0"))</f>
        <v>23.737724087240156</v>
      </c>
      <c r="K25" s="9">
        <f>IF(ISERROR(AVERAGEIF(I14:$L14,"&gt;0")),"",AVERAGEIF(I14:$L14,"&gt;0"))</f>
        <v>20.417447747185502</v>
      </c>
      <c r="L25" s="9">
        <f>L14</f>
        <v>18.508741141995898</v>
      </c>
      <c r="M25" s="1">
        <f>MAX(K25:L25)</f>
        <v>20.417447747185502</v>
      </c>
      <c r="N25" s="1">
        <f>MIN(H25:L25)</f>
        <v>18.508741141995898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  <v>43555</v>
      </c>
      <c r="C3" s="16">
        <f>'Data Sheet'!C41</f>
        <v>43646</v>
      </c>
      <c r="D3" s="16">
        <f>'Data Sheet'!D41</f>
        <v>43738</v>
      </c>
      <c r="E3" s="16">
        <f>'Data Sheet'!E41</f>
        <v>43830</v>
      </c>
      <c r="F3" s="16">
        <f>'Data Sheet'!F41</f>
        <v>43921</v>
      </c>
      <c r="G3" s="16">
        <f>'Data Sheet'!G41</f>
        <v>44012</v>
      </c>
      <c r="H3" s="16">
        <f>'Data Sheet'!H41</f>
        <v>44104</v>
      </c>
      <c r="I3" s="16">
        <f>'Data Sheet'!I41</f>
        <v>44196</v>
      </c>
      <c r="J3" s="16">
        <f>'Data Sheet'!J41</f>
        <v>44286</v>
      </c>
      <c r="K3" s="16">
        <f>'Data Sheet'!K41</f>
        <v>44377</v>
      </c>
    </row>
    <row r="4" spans="1:11" s="8" customFormat="1" x14ac:dyDescent="0.2">
      <c r="A4" s="8" t="s">
        <v>6</v>
      </c>
      <c r="B4" s="1">
        <f>'Data Sheet'!B42</f>
        <v>13212.19</v>
      </c>
      <c r="C4" s="1">
        <f>'Data Sheet'!C42</f>
        <v>12657.9</v>
      </c>
      <c r="D4" s="1">
        <f>'Data Sheet'!D42</f>
        <v>12867.39</v>
      </c>
      <c r="E4" s="1">
        <f>'Data Sheet'!E42</f>
        <v>12902.55</v>
      </c>
      <c r="F4" s="1">
        <f>'Data Sheet'!F42</f>
        <v>11782.16</v>
      </c>
      <c r="G4" s="1">
        <f>'Data Sheet'!G42</f>
        <v>10478.459999999999</v>
      </c>
      <c r="H4" s="1">
        <f>'Data Sheet'!H42</f>
        <v>12076.72</v>
      </c>
      <c r="I4" s="1">
        <f>'Data Sheet'!I42</f>
        <v>13079.72</v>
      </c>
      <c r="J4" s="1">
        <f>'Data Sheet'!J42</f>
        <v>14342.27</v>
      </c>
      <c r="K4" s="1">
        <f>'Data Sheet'!K42</f>
        <v>13247.25</v>
      </c>
    </row>
    <row r="5" spans="1:11" x14ac:dyDescent="0.2">
      <c r="A5" s="6" t="s">
        <v>7</v>
      </c>
      <c r="B5" s="9">
        <f>'Data Sheet'!B43</f>
        <v>8379.9500000000007</v>
      </c>
      <c r="C5" s="9">
        <f>'Data Sheet'!C43</f>
        <v>7720.15</v>
      </c>
      <c r="D5" s="9">
        <f>'Data Sheet'!D43</f>
        <v>8025.33</v>
      </c>
      <c r="E5" s="9">
        <f>'Data Sheet'!E43</f>
        <v>7925.82</v>
      </c>
      <c r="F5" s="9">
        <f>'Data Sheet'!F43</f>
        <v>7278.54</v>
      </c>
      <c r="G5" s="9">
        <f>'Data Sheet'!G43</f>
        <v>7532.9</v>
      </c>
      <c r="H5" s="9">
        <f>'Data Sheet'!H43</f>
        <v>7675.72</v>
      </c>
      <c r="I5" s="9">
        <f>'Data Sheet'!I43</f>
        <v>8294.7000000000007</v>
      </c>
      <c r="J5" s="9">
        <f>'Data Sheet'!J43</f>
        <v>9471.15</v>
      </c>
      <c r="K5" s="9">
        <f>'Data Sheet'!K43</f>
        <v>8803.51</v>
      </c>
    </row>
    <row r="6" spans="1:11" s="8" customFormat="1" x14ac:dyDescent="0.2">
      <c r="A6" s="8" t="s">
        <v>8</v>
      </c>
      <c r="B6" s="1">
        <f>'Data Sheet'!B50</f>
        <v>4832.24</v>
      </c>
      <c r="C6" s="1">
        <f>'Data Sheet'!C50</f>
        <v>4937.75</v>
      </c>
      <c r="D6" s="1">
        <f>'Data Sheet'!D50</f>
        <v>4842.0600000000004</v>
      </c>
      <c r="E6" s="1">
        <f>'Data Sheet'!E50</f>
        <v>4976.7299999999996</v>
      </c>
      <c r="F6" s="1">
        <f>'Data Sheet'!F50</f>
        <v>4503.62</v>
      </c>
      <c r="G6" s="1">
        <f>'Data Sheet'!G50</f>
        <v>2945.56</v>
      </c>
      <c r="H6" s="1">
        <f>'Data Sheet'!H50</f>
        <v>4401</v>
      </c>
      <c r="I6" s="1">
        <f>'Data Sheet'!I50</f>
        <v>4785.0200000000004</v>
      </c>
      <c r="J6" s="1">
        <f>'Data Sheet'!J50</f>
        <v>4871.12</v>
      </c>
      <c r="K6" s="1">
        <f>'Data Sheet'!K50</f>
        <v>4443.74</v>
      </c>
    </row>
    <row r="7" spans="1:11" x14ac:dyDescent="0.2">
      <c r="A7" s="6" t="s">
        <v>9</v>
      </c>
      <c r="B7" s="9">
        <f>'Data Sheet'!B44</f>
        <v>690.11</v>
      </c>
      <c r="C7" s="9">
        <f>'Data Sheet'!C44</f>
        <v>647.29</v>
      </c>
      <c r="D7" s="9">
        <f>'Data Sheet'!D44</f>
        <v>629.88</v>
      </c>
      <c r="E7" s="9">
        <f>'Data Sheet'!E44</f>
        <v>520.85</v>
      </c>
      <c r="F7" s="9">
        <f>'Data Sheet'!F44</f>
        <v>667.76</v>
      </c>
      <c r="G7" s="9">
        <f>'Data Sheet'!G44</f>
        <v>925.13</v>
      </c>
      <c r="H7" s="9">
        <f>'Data Sheet'!H44</f>
        <v>582.25</v>
      </c>
      <c r="I7" s="9">
        <f>'Data Sheet'!I44</f>
        <v>545.69000000000005</v>
      </c>
      <c r="J7" s="9">
        <f>'Data Sheet'!J44</f>
        <v>579.49</v>
      </c>
      <c r="K7" s="9">
        <f>'Data Sheet'!K44</f>
        <v>447.04</v>
      </c>
    </row>
    <row r="8" spans="1:11" x14ac:dyDescent="0.2">
      <c r="A8" s="6" t="s">
        <v>10</v>
      </c>
      <c r="B8" s="9">
        <f>'Data Sheet'!B45</f>
        <v>370.78</v>
      </c>
      <c r="C8" s="9">
        <f>'Data Sheet'!C45</f>
        <v>378.94</v>
      </c>
      <c r="D8" s="9">
        <f>'Data Sheet'!D45</f>
        <v>415.84</v>
      </c>
      <c r="E8" s="9">
        <f>'Data Sheet'!E45</f>
        <v>436.9</v>
      </c>
      <c r="F8" s="9">
        <f>'Data Sheet'!F45</f>
        <v>413.23</v>
      </c>
      <c r="G8" s="9">
        <f>'Data Sheet'!G45</f>
        <v>418.99</v>
      </c>
      <c r="H8" s="9">
        <f>'Data Sheet'!H45</f>
        <v>404.6</v>
      </c>
      <c r="I8" s="9">
        <f>'Data Sheet'!I45</f>
        <v>413.49</v>
      </c>
      <c r="J8" s="9">
        <f>'Data Sheet'!J45</f>
        <v>408.51</v>
      </c>
      <c r="K8" s="9">
        <f>'Data Sheet'!K45</f>
        <v>414.13</v>
      </c>
    </row>
    <row r="9" spans="1:11" x14ac:dyDescent="0.2">
      <c r="A9" s="6" t="s">
        <v>11</v>
      </c>
      <c r="B9" s="9">
        <f>'Data Sheet'!B46</f>
        <v>9.6300000000000008</v>
      </c>
      <c r="C9" s="9">
        <f>'Data Sheet'!C46</f>
        <v>14.58</v>
      </c>
      <c r="D9" s="9">
        <f>'Data Sheet'!D46</f>
        <v>13.99</v>
      </c>
      <c r="E9" s="9">
        <f>'Data Sheet'!E46</f>
        <v>11.43</v>
      </c>
      <c r="F9" s="9">
        <f>'Data Sheet'!F46</f>
        <v>14.68</v>
      </c>
      <c r="G9" s="9">
        <f>'Data Sheet'!G46</f>
        <v>15.82</v>
      </c>
      <c r="H9" s="9">
        <f>'Data Sheet'!H46</f>
        <v>13.27</v>
      </c>
      <c r="I9" s="9">
        <f>'Data Sheet'!I46</f>
        <v>12.61</v>
      </c>
      <c r="J9" s="9">
        <f>'Data Sheet'!J46</f>
        <v>2.88</v>
      </c>
      <c r="K9" s="9">
        <f>'Data Sheet'!K46</f>
        <v>9.34</v>
      </c>
    </row>
    <row r="10" spans="1:11" x14ac:dyDescent="0.2">
      <c r="A10" s="6" t="s">
        <v>12</v>
      </c>
      <c r="B10" s="9">
        <f>'Data Sheet'!B47</f>
        <v>5141.9399999999996</v>
      </c>
      <c r="C10" s="9">
        <f>'Data Sheet'!C47</f>
        <v>5191.5200000000004</v>
      </c>
      <c r="D10" s="9">
        <f>'Data Sheet'!D47</f>
        <v>5042.1099999999997</v>
      </c>
      <c r="E10" s="9">
        <f>'Data Sheet'!E47</f>
        <v>5049.25</v>
      </c>
      <c r="F10" s="9">
        <f>'Data Sheet'!F47</f>
        <v>4743.47</v>
      </c>
      <c r="G10" s="9">
        <f>'Data Sheet'!G47</f>
        <v>3435.88</v>
      </c>
      <c r="H10" s="9">
        <f>'Data Sheet'!H47</f>
        <v>4565.38</v>
      </c>
      <c r="I10" s="9">
        <f>'Data Sheet'!I47</f>
        <v>4904.6099999999997</v>
      </c>
      <c r="J10" s="9">
        <f>'Data Sheet'!J47</f>
        <v>5039.22</v>
      </c>
      <c r="K10" s="9">
        <f>'Data Sheet'!K47</f>
        <v>4467.3100000000004</v>
      </c>
    </row>
    <row r="11" spans="1:11" x14ac:dyDescent="0.2">
      <c r="A11" s="6" t="s">
        <v>13</v>
      </c>
      <c r="B11" s="9">
        <f>'Data Sheet'!B48</f>
        <v>1549.14</v>
      </c>
      <c r="C11" s="9">
        <f>'Data Sheet'!C48</f>
        <v>1755.01</v>
      </c>
      <c r="D11" s="9">
        <f>'Data Sheet'!D48</f>
        <v>868.39</v>
      </c>
      <c r="E11" s="9">
        <f>'Data Sheet'!E48</f>
        <v>1001.38</v>
      </c>
      <c r="F11" s="9">
        <f>'Data Sheet'!F48</f>
        <v>817.01</v>
      </c>
      <c r="G11" s="9">
        <f>'Data Sheet'!G48</f>
        <v>868.81</v>
      </c>
      <c r="H11" s="9">
        <f>'Data Sheet'!H48</f>
        <v>1146.69</v>
      </c>
      <c r="I11" s="9">
        <f>'Data Sheet'!I48</f>
        <v>1317.41</v>
      </c>
      <c r="J11" s="9">
        <f>'Data Sheet'!J48</f>
        <v>1222.3800000000001</v>
      </c>
      <c r="K11" s="9">
        <f>'Data Sheet'!K48</f>
        <v>1123.8699999999999</v>
      </c>
    </row>
    <row r="12" spans="1:11" s="8" customFormat="1" x14ac:dyDescent="0.2">
      <c r="A12" s="8" t="s">
        <v>14</v>
      </c>
      <c r="B12" s="1">
        <f>'Data Sheet'!B49</f>
        <v>3535.11</v>
      </c>
      <c r="C12" s="1">
        <f>'Data Sheet'!C49</f>
        <v>3355.01</v>
      </c>
      <c r="D12" s="1">
        <f>'Data Sheet'!D49</f>
        <v>4119.16</v>
      </c>
      <c r="E12" s="1">
        <f>'Data Sheet'!E49</f>
        <v>3975.54</v>
      </c>
      <c r="F12" s="1">
        <f>'Data Sheet'!F49</f>
        <v>3856.52</v>
      </c>
      <c r="G12" s="1">
        <f>'Data Sheet'!G49</f>
        <v>2511</v>
      </c>
      <c r="H12" s="1">
        <f>'Data Sheet'!H49</f>
        <v>3368.17</v>
      </c>
      <c r="I12" s="1">
        <f>'Data Sheet'!I49</f>
        <v>3526.55</v>
      </c>
      <c r="J12" s="1">
        <f>'Data Sheet'!J49</f>
        <v>3755.47</v>
      </c>
      <c r="K12" s="1">
        <f>'Data Sheet'!K49</f>
        <v>3276.48</v>
      </c>
    </row>
    <row r="14" spans="1:11" s="8" customFormat="1" x14ac:dyDescent="0.2">
      <c r="A14" s="2" t="s">
        <v>18</v>
      </c>
      <c r="B14" s="14">
        <f>IF(B4&gt;0,B6/B4,"")</f>
        <v>0.36574103157765664</v>
      </c>
      <c r="C14" s="14">
        <f t="shared" ref="C14:K14" si="0">IF(C4&gt;0,C6/C4,"")</f>
        <v>0.39009235339195286</v>
      </c>
      <c r="D14" s="14">
        <f t="shared" si="0"/>
        <v>0.37630475177949846</v>
      </c>
      <c r="E14" s="14">
        <f t="shared" si="0"/>
        <v>0.385716776916191</v>
      </c>
      <c r="F14" s="14">
        <f t="shared" si="0"/>
        <v>0.38224060783421715</v>
      </c>
      <c r="G14" s="14">
        <f t="shared" si="0"/>
        <v>0.28110619308562518</v>
      </c>
      <c r="H14" s="14">
        <f t="shared" si="0"/>
        <v>0.36442014056796879</v>
      </c>
      <c r="I14" s="14">
        <f t="shared" si="0"/>
        <v>0.36583504845669484</v>
      </c>
      <c r="J14" s="14">
        <f t="shared" si="0"/>
        <v>0.33963382365553013</v>
      </c>
      <c r="K14" s="14">
        <f t="shared" si="0"/>
        <v>0.33544622468814278</v>
      </c>
    </row>
    <row r="22" s="26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F6" activePane="bottomRight" state="frozen"/>
      <selection activeCell="C4" sqref="C4"/>
      <selection pane="topRight" activeCell="C4" sqref="C4"/>
      <selection pane="bottomLeft" activeCell="C4" sqref="C4"/>
      <selection pane="bottomRight" activeCell="B18" sqref="B18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  <v>40999</v>
      </c>
      <c r="C3" s="16">
        <f>'Data Sheet'!C56</f>
        <v>41364</v>
      </c>
      <c r="D3" s="16">
        <f>'Data Sheet'!D56</f>
        <v>41729</v>
      </c>
      <c r="E3" s="16">
        <f>'Data Sheet'!E56</f>
        <v>42094</v>
      </c>
      <c r="F3" s="16">
        <f>'Data Sheet'!F56</f>
        <v>42460</v>
      </c>
      <c r="G3" s="16">
        <f>'Data Sheet'!G56</f>
        <v>42825</v>
      </c>
      <c r="H3" s="16">
        <f>'Data Sheet'!H56</f>
        <v>43190</v>
      </c>
      <c r="I3" s="16">
        <f>'Data Sheet'!I56</f>
        <v>43555</v>
      </c>
      <c r="J3" s="16">
        <f>'Data Sheet'!J56</f>
        <v>43921</v>
      </c>
      <c r="K3" s="16">
        <f>'Data Sheet'!K56</f>
        <v>44286</v>
      </c>
    </row>
    <row r="4" spans="1:11" x14ac:dyDescent="0.2">
      <c r="A4" s="6" t="s">
        <v>24</v>
      </c>
      <c r="B4" s="19">
        <f>'Data Sheet'!B57</f>
        <v>781.84</v>
      </c>
      <c r="C4" s="19">
        <f>'Data Sheet'!C57</f>
        <v>790.18</v>
      </c>
      <c r="D4" s="19">
        <f>'Data Sheet'!D57</f>
        <v>795.32</v>
      </c>
      <c r="E4" s="19">
        <f>'Data Sheet'!E57</f>
        <v>801.55</v>
      </c>
      <c r="F4" s="19">
        <f>'Data Sheet'!F57</f>
        <v>804.72</v>
      </c>
      <c r="G4" s="19">
        <f>'Data Sheet'!G57</f>
        <v>1214.74</v>
      </c>
      <c r="H4" s="19">
        <f>'Data Sheet'!H57</f>
        <v>1220.43</v>
      </c>
      <c r="I4" s="19">
        <f>'Data Sheet'!I57</f>
        <v>1225.8599999999999</v>
      </c>
      <c r="J4" s="19">
        <f>'Data Sheet'!J57</f>
        <v>1229.22</v>
      </c>
      <c r="K4" s="19">
        <f>'Data Sheet'!K57</f>
        <v>1230.8800000000001</v>
      </c>
    </row>
    <row r="5" spans="1:11" s="6" customFormat="1" x14ac:dyDescent="0.2">
      <c r="A5" s="6" t="s">
        <v>25</v>
      </c>
      <c r="B5" s="19">
        <f>'Data Sheet'!B58</f>
        <v>18676.740000000002</v>
      </c>
      <c r="C5" s="19">
        <f>'Data Sheet'!C58</f>
        <v>22367.72</v>
      </c>
      <c r="D5" s="19">
        <f>'Data Sheet'!D58</f>
        <v>26441.64</v>
      </c>
      <c r="E5" s="19">
        <f>'Data Sheet'!E58</f>
        <v>30933.94</v>
      </c>
      <c r="F5" s="19">
        <f>'Data Sheet'!F58</f>
        <v>41874.800000000003</v>
      </c>
      <c r="G5" s="19">
        <f>'Data Sheet'!G58</f>
        <v>45198.19</v>
      </c>
      <c r="H5" s="19">
        <f>'Data Sheet'!H58</f>
        <v>51289.68</v>
      </c>
      <c r="I5" s="19">
        <f>'Data Sheet'!I58</f>
        <v>57915.01</v>
      </c>
      <c r="J5" s="19">
        <f>'Data Sheet'!J58</f>
        <v>64044.04</v>
      </c>
      <c r="K5" s="19">
        <f>'Data Sheet'!K58</f>
        <v>59116.46</v>
      </c>
    </row>
    <row r="6" spans="1:11" x14ac:dyDescent="0.2">
      <c r="A6" s="11" t="s">
        <v>62</v>
      </c>
      <c r="B6" s="19">
        <f>'Data Sheet'!B59</f>
        <v>117.6</v>
      </c>
      <c r="C6" s="19">
        <f>'Data Sheet'!C59</f>
        <v>102.38</v>
      </c>
      <c r="D6" s="19">
        <f>'Data Sheet'!D59</f>
        <v>242.41</v>
      </c>
      <c r="E6" s="19">
        <f>'Data Sheet'!E59</f>
        <v>268.8</v>
      </c>
      <c r="F6" s="19">
        <f>'Data Sheet'!F59</f>
        <v>83.78</v>
      </c>
      <c r="G6" s="19">
        <f>'Data Sheet'!G59</f>
        <v>45.72</v>
      </c>
      <c r="H6" s="19">
        <f>'Data Sheet'!H59</f>
        <v>35.92</v>
      </c>
      <c r="I6" s="19">
        <f>'Data Sheet'!I59</f>
        <v>13.44</v>
      </c>
      <c r="J6" s="19">
        <f>'Data Sheet'!J59</f>
        <v>277.45</v>
      </c>
      <c r="K6" s="19">
        <f>'Data Sheet'!K59</f>
        <v>270.83</v>
      </c>
    </row>
    <row r="7" spans="1:11" s="6" customFormat="1" x14ac:dyDescent="0.2">
      <c r="A7" s="11" t="s">
        <v>63</v>
      </c>
      <c r="B7" s="19">
        <f>'Data Sheet'!B60</f>
        <v>10509.13</v>
      </c>
      <c r="C7" s="19">
        <f>'Data Sheet'!C60</f>
        <v>12068.99</v>
      </c>
      <c r="D7" s="19">
        <f>'Data Sheet'!D60</f>
        <v>13369.04</v>
      </c>
      <c r="E7" s="19">
        <f>'Data Sheet'!E60</f>
        <v>13947.93</v>
      </c>
      <c r="F7" s="19">
        <f>'Data Sheet'!F60</f>
        <v>8888.0400000000009</v>
      </c>
      <c r="G7" s="19">
        <f>'Data Sheet'!G60</f>
        <v>9439.67</v>
      </c>
      <c r="H7" s="19">
        <f>'Data Sheet'!H60</f>
        <v>11694.85</v>
      </c>
      <c r="I7" s="19">
        <f>'Data Sheet'!I60</f>
        <v>12584.73</v>
      </c>
      <c r="J7" s="19">
        <f>'Data Sheet'!J60</f>
        <v>11760.04</v>
      </c>
      <c r="K7" s="19">
        <f>'Data Sheet'!K60</f>
        <v>13142.59</v>
      </c>
    </row>
    <row r="8" spans="1:11" s="8" customFormat="1" x14ac:dyDescent="0.2">
      <c r="A8" s="8" t="s">
        <v>26</v>
      </c>
      <c r="B8" s="20">
        <f>'Data Sheet'!B61</f>
        <v>30085.31</v>
      </c>
      <c r="C8" s="20">
        <f>'Data Sheet'!C61</f>
        <v>35329.269999999997</v>
      </c>
      <c r="D8" s="20">
        <f>'Data Sheet'!D61</f>
        <v>40848.410000000003</v>
      </c>
      <c r="E8" s="20">
        <f>'Data Sheet'!E61</f>
        <v>45952.22</v>
      </c>
      <c r="F8" s="20">
        <f>'Data Sheet'!F61</f>
        <v>51651.34</v>
      </c>
      <c r="G8" s="20">
        <f>'Data Sheet'!G61</f>
        <v>55898.32</v>
      </c>
      <c r="H8" s="20">
        <f>'Data Sheet'!H61</f>
        <v>64240.88</v>
      </c>
      <c r="I8" s="20">
        <f>'Data Sheet'!I61</f>
        <v>71739.039999999994</v>
      </c>
      <c r="J8" s="20">
        <f>'Data Sheet'!J61</f>
        <v>77310.75</v>
      </c>
      <c r="K8" s="20">
        <f>'Data Sheet'!K61</f>
        <v>73760.759999999995</v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  <v>10007.42</v>
      </c>
      <c r="C10" s="19">
        <f>'Data Sheet'!C62</f>
        <v>12139.83</v>
      </c>
      <c r="D10" s="19">
        <f>'Data Sheet'!D62</f>
        <v>12921.3</v>
      </c>
      <c r="E10" s="19">
        <f>'Data Sheet'!E62</f>
        <v>15303.28</v>
      </c>
      <c r="F10" s="19">
        <f>'Data Sheet'!F62</f>
        <v>15106.63</v>
      </c>
      <c r="G10" s="19">
        <f>'Data Sheet'!G62</f>
        <v>15893.48</v>
      </c>
      <c r="H10" s="19">
        <f>'Data Sheet'!H62</f>
        <v>16523.96</v>
      </c>
      <c r="I10" s="19">
        <f>'Data Sheet'!I62</f>
        <v>19374.189999999999</v>
      </c>
      <c r="J10" s="19">
        <f>'Data Sheet'!J62</f>
        <v>21713.34</v>
      </c>
      <c r="K10" s="19">
        <f>'Data Sheet'!K62</f>
        <v>23298.48</v>
      </c>
    </row>
    <row r="11" spans="1:11" x14ac:dyDescent="0.2">
      <c r="A11" s="6" t="s">
        <v>28</v>
      </c>
      <c r="B11" s="19">
        <f>'Data Sheet'!B63</f>
        <v>2396.46</v>
      </c>
      <c r="C11" s="19">
        <f>'Data Sheet'!C63</f>
        <v>2062.0300000000002</v>
      </c>
      <c r="D11" s="19">
        <f>'Data Sheet'!D63</f>
        <v>3117.37</v>
      </c>
      <c r="E11" s="19">
        <f>'Data Sheet'!E63</f>
        <v>2700.2</v>
      </c>
      <c r="F11" s="19">
        <f>'Data Sheet'!F63</f>
        <v>2559.7199999999998</v>
      </c>
      <c r="G11" s="19">
        <f>'Data Sheet'!G63</f>
        <v>3729.89</v>
      </c>
      <c r="H11" s="19">
        <f>'Data Sheet'!H63</f>
        <v>5508.33</v>
      </c>
      <c r="I11" s="19">
        <f>'Data Sheet'!I63</f>
        <v>4136.42</v>
      </c>
      <c r="J11" s="19">
        <f>'Data Sheet'!J63</f>
        <v>3256.46</v>
      </c>
      <c r="K11" s="19">
        <f>'Data Sheet'!K63</f>
        <v>4011.29</v>
      </c>
    </row>
    <row r="12" spans="1:11" x14ac:dyDescent="0.2">
      <c r="A12" s="6" t="s">
        <v>29</v>
      </c>
      <c r="B12" s="19">
        <f>'Data Sheet'!B64</f>
        <v>5206.83</v>
      </c>
      <c r="C12" s="19">
        <f>'Data Sheet'!C64</f>
        <v>5981.28</v>
      </c>
      <c r="D12" s="19">
        <f>'Data Sheet'!D64</f>
        <v>7284.02</v>
      </c>
      <c r="E12" s="19">
        <f>'Data Sheet'!E64</f>
        <v>6942.77</v>
      </c>
      <c r="F12" s="19">
        <f>'Data Sheet'!F64</f>
        <v>11747.59</v>
      </c>
      <c r="G12" s="19">
        <f>'Data Sheet'!G64</f>
        <v>17581.38</v>
      </c>
      <c r="H12" s="19">
        <f>'Data Sheet'!H64</f>
        <v>22052.86</v>
      </c>
      <c r="I12" s="19">
        <f>'Data Sheet'!I64</f>
        <v>25043.49</v>
      </c>
      <c r="J12" s="19">
        <f>'Data Sheet'!J64</f>
        <v>28663.35</v>
      </c>
      <c r="K12" s="19">
        <f>'Data Sheet'!K64</f>
        <v>24870.87</v>
      </c>
    </row>
    <row r="13" spans="1:11" x14ac:dyDescent="0.2">
      <c r="A13" s="11" t="s">
        <v>64</v>
      </c>
      <c r="B13" s="19">
        <f>'Data Sheet'!B65</f>
        <v>12474.6</v>
      </c>
      <c r="C13" s="19">
        <f>'Data Sheet'!C65</f>
        <v>15146.13</v>
      </c>
      <c r="D13" s="19">
        <f>'Data Sheet'!D65</f>
        <v>17525.72</v>
      </c>
      <c r="E13" s="19">
        <f>'Data Sheet'!E65</f>
        <v>21005.97</v>
      </c>
      <c r="F13" s="19">
        <f>'Data Sheet'!F65</f>
        <v>22237.4</v>
      </c>
      <c r="G13" s="19">
        <f>'Data Sheet'!G65</f>
        <v>18693.57</v>
      </c>
      <c r="H13" s="19">
        <f>'Data Sheet'!H65</f>
        <v>20155.73</v>
      </c>
      <c r="I13" s="19">
        <f>'Data Sheet'!I65</f>
        <v>23184.94</v>
      </c>
      <c r="J13" s="19">
        <f>'Data Sheet'!J65</f>
        <v>23677.599999999999</v>
      </c>
      <c r="K13" s="19">
        <f>'Data Sheet'!K65</f>
        <v>21580.12</v>
      </c>
    </row>
    <row r="14" spans="1:11" s="8" customFormat="1" x14ac:dyDescent="0.2">
      <c r="A14" s="8" t="s">
        <v>26</v>
      </c>
      <c r="B14" s="19">
        <f>'Data Sheet'!B66</f>
        <v>30085.31</v>
      </c>
      <c r="C14" s="19">
        <f>'Data Sheet'!C66</f>
        <v>35329.269999999997</v>
      </c>
      <c r="D14" s="19">
        <f>'Data Sheet'!D66</f>
        <v>40848.410000000003</v>
      </c>
      <c r="E14" s="19">
        <f>'Data Sheet'!E66</f>
        <v>45952.22</v>
      </c>
      <c r="F14" s="19">
        <f>'Data Sheet'!F66</f>
        <v>51651.34</v>
      </c>
      <c r="G14" s="19">
        <f>'Data Sheet'!G66</f>
        <v>55898.32</v>
      </c>
      <c r="H14" s="19">
        <f>'Data Sheet'!H66</f>
        <v>64240.88</v>
      </c>
      <c r="I14" s="19">
        <f>'Data Sheet'!I66</f>
        <v>71739.039999999994</v>
      </c>
      <c r="J14" s="19">
        <f>'Data Sheet'!J66</f>
        <v>77310.75</v>
      </c>
      <c r="K14" s="19">
        <f>'Data Sheet'!K66</f>
        <v>73760.759999999995</v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5" t="s">
        <v>30</v>
      </c>
      <c r="B16" s="21">
        <f>B13-B7</f>
        <v>1965.4700000000012</v>
      </c>
      <c r="C16" s="21">
        <f t="shared" ref="C16:K16" si="0">C13-C7</f>
        <v>3077.1399999999994</v>
      </c>
      <c r="D16" s="21">
        <f t="shared" si="0"/>
        <v>4156.68</v>
      </c>
      <c r="E16" s="21">
        <f t="shared" si="0"/>
        <v>7058.0400000000009</v>
      </c>
      <c r="F16" s="21">
        <f t="shared" si="0"/>
        <v>13349.36</v>
      </c>
      <c r="G16" s="21">
        <f t="shared" si="0"/>
        <v>9253.9</v>
      </c>
      <c r="H16" s="21">
        <f t="shared" si="0"/>
        <v>8460.8799999999992</v>
      </c>
      <c r="I16" s="21">
        <f t="shared" si="0"/>
        <v>10600.21</v>
      </c>
      <c r="J16" s="21">
        <f t="shared" si="0"/>
        <v>11917.559999999998</v>
      </c>
      <c r="K16" s="21">
        <f t="shared" si="0"/>
        <v>8437.5299999999988</v>
      </c>
    </row>
    <row r="17" spans="1:11" x14ac:dyDescent="0.2">
      <c r="A17" s="11" t="s">
        <v>44</v>
      </c>
      <c r="B17" s="21">
        <f>'Data Sheet'!B67</f>
        <v>1200.2</v>
      </c>
      <c r="C17" s="21">
        <f>'Data Sheet'!C67</f>
        <v>1395.76</v>
      </c>
      <c r="D17" s="21">
        <f>'Data Sheet'!D67</f>
        <v>2439.21</v>
      </c>
      <c r="E17" s="21">
        <f>'Data Sheet'!E67</f>
        <v>1982.07</v>
      </c>
      <c r="F17" s="21">
        <f>'Data Sheet'!F67</f>
        <v>1917.18</v>
      </c>
      <c r="G17" s="21">
        <f>'Data Sheet'!G67</f>
        <v>2474.29</v>
      </c>
      <c r="H17" s="21">
        <f>'Data Sheet'!H67</f>
        <v>2682.29</v>
      </c>
      <c r="I17" s="21">
        <f>'Data Sheet'!I67</f>
        <v>4035.28</v>
      </c>
      <c r="J17" s="21">
        <f>'Data Sheet'!J67</f>
        <v>2562.48</v>
      </c>
      <c r="K17" s="21">
        <f>'Data Sheet'!K67</f>
        <v>2501.6999999999998</v>
      </c>
    </row>
    <row r="18" spans="1:11" x14ac:dyDescent="0.2">
      <c r="A18" s="11" t="s">
        <v>45</v>
      </c>
      <c r="B18" s="21">
        <f>'Data Sheet'!B68</f>
        <v>6426.87</v>
      </c>
      <c r="C18" s="21">
        <f>'Data Sheet'!C68</f>
        <v>7522.09</v>
      </c>
      <c r="D18" s="21">
        <f>'Data Sheet'!D68</f>
        <v>8255.24</v>
      </c>
      <c r="E18" s="21">
        <f>'Data Sheet'!E68</f>
        <v>8586.8700000000008</v>
      </c>
      <c r="F18" s="21">
        <f>'Data Sheet'!F68</f>
        <v>9062.1</v>
      </c>
      <c r="G18" s="21">
        <f>'Data Sheet'!G68</f>
        <v>8116.1</v>
      </c>
      <c r="H18" s="21">
        <f>'Data Sheet'!H68</f>
        <v>7495.09</v>
      </c>
      <c r="I18" s="21">
        <f>'Data Sheet'!I68</f>
        <v>7859.56</v>
      </c>
      <c r="J18" s="21">
        <f>'Data Sheet'!J68</f>
        <v>8879.33</v>
      </c>
      <c r="K18" s="21">
        <f>'Data Sheet'!K68</f>
        <v>10397.16</v>
      </c>
    </row>
    <row r="20" spans="1:11" x14ac:dyDescent="0.2">
      <c r="A20" s="11" t="s">
        <v>46</v>
      </c>
      <c r="B20" s="5">
        <f>IF('Profit &amp; Loss'!B4&gt;0,'Balance Sheet'!B17/('Profit &amp; Loss'!B4/365),0)</f>
        <v>16.521062919298252</v>
      </c>
      <c r="C20" s="5">
        <f>IF('Profit &amp; Loss'!C4&gt;0,'Balance Sheet'!C17/('Profit &amp; Loss'!C4/365),0)</f>
        <v>16.112565084873236</v>
      </c>
      <c r="D20" s="5">
        <f>IF('Profit &amp; Loss'!D4&gt;0,'Balance Sheet'!D17/('Profit &amp; Loss'!D4/365),0)</f>
        <v>25.216699904238407</v>
      </c>
      <c r="E20" s="5">
        <f>IF('Profit &amp; Loss'!E4&gt;0,'Balance Sheet'!E17/('Profit &amp; Loss'!E4/365),0)</f>
        <v>18.637523620358525</v>
      </c>
      <c r="F20" s="5">
        <f>IF('Profit &amp; Loss'!F4&gt;0,'Balance Sheet'!F17/('Profit &amp; Loss'!F4/365),0)</f>
        <v>17.854891674597688</v>
      </c>
      <c r="G20" s="5">
        <f>IF('Profit &amp; Loss'!G4&gt;0,'Balance Sheet'!G17/('Profit &amp; Loss'!G4/365),0)</f>
        <v>21.116823249375695</v>
      </c>
      <c r="H20" s="5">
        <f>IF('Profit &amp; Loss'!H4&gt;0,'Balance Sheet'!H17/('Profit &amp; Loss'!H4/365),0)</f>
        <v>22.533020368275956</v>
      </c>
      <c r="I20" s="5">
        <f>IF('Profit &amp; Loss'!I4&gt;0,'Balance Sheet'!I17/('Profit &amp; Loss'!I4/365),0)</f>
        <v>30.469383474163411</v>
      </c>
      <c r="J20" s="5">
        <f>IF('Profit &amp; Loss'!J4&gt;0,'Balance Sheet'!J17/('Profit &amp; Loss'!J4/365),0)</f>
        <v>18.938018980434403</v>
      </c>
      <c r="K20" s="5">
        <f>IF('Profit &amp; Loss'!K4&gt;0,'Balance Sheet'!K17/('Profit &amp; Loss'!K4/365),0)</f>
        <v>18.537713584442557</v>
      </c>
    </row>
    <row r="21" spans="1:11" x14ac:dyDescent="0.2">
      <c r="A21" s="11" t="s">
        <v>47</v>
      </c>
      <c r="B21" s="5">
        <f>IF('Balance Sheet'!B18&gt;0,'Profit &amp; Loss'!B4/'Balance Sheet'!B18,0)</f>
        <v>4.1258077415600436</v>
      </c>
      <c r="C21" s="5">
        <f>IF('Balance Sheet'!C18&gt;0,'Profit &amp; Loss'!C4/'Balance Sheet'!C18,0)</f>
        <v>4.2033969282473356</v>
      </c>
      <c r="D21" s="5">
        <f>IF('Balance Sheet'!D18&gt;0,'Profit &amp; Loss'!D4/'Balance Sheet'!D18,0)</f>
        <v>4.2768508244460488</v>
      </c>
      <c r="E21" s="5">
        <f>IF('Balance Sheet'!E18&gt;0,'Profit &amp; Loss'!E4/'Balance Sheet'!E18,0)</f>
        <v>4.5205237764167849</v>
      </c>
      <c r="F21" s="5">
        <f>IF('Balance Sheet'!F18&gt;0,'Profit &amp; Loss'!F4/'Balance Sheet'!F18,0)</f>
        <v>4.3248364065724276</v>
      </c>
      <c r="G21" s="5">
        <f>IF('Balance Sheet'!G18&gt;0,'Profit &amp; Loss'!G4/'Balance Sheet'!G18,0)</f>
        <v>5.2694767191138601</v>
      </c>
      <c r="H21" s="5">
        <f>IF('Balance Sheet'!H18&gt;0,'Profit &amp; Loss'!H4/'Balance Sheet'!H18,0)</f>
        <v>5.7969870942176813</v>
      </c>
      <c r="I21" s="5">
        <f>IF('Balance Sheet'!I18&gt;0,'Profit &amp; Loss'!I4/'Balance Sheet'!I18,0)</f>
        <v>6.1504180895622653</v>
      </c>
      <c r="J21" s="5">
        <f>IF('Balance Sheet'!J18&gt;0,'Profit &amp; Loss'!J4/'Balance Sheet'!J18,0)</f>
        <v>5.5620975906965953</v>
      </c>
      <c r="K21" s="5">
        <f>IF('Balance Sheet'!K18&gt;0,'Profit &amp; Loss'!K4/'Balance Sheet'!K18,0)</f>
        <v>4.7375869949101483</v>
      </c>
    </row>
    <row r="23" spans="1:11" s="8" customFormat="1" x14ac:dyDescent="0.2">
      <c r="A23" s="8" t="s">
        <v>50</v>
      </c>
      <c r="B23" s="14">
        <f>IF(SUM('Balance Sheet'!B4:B5)&gt;0,'Profit &amp; Loss'!B12/SUM('Balance Sheet'!B4:B5),"")</f>
        <v>0.3216133962498805</v>
      </c>
      <c r="C23" s="14">
        <f>IF(SUM('Balance Sheet'!C4:C5)&gt;0,'Profit &amp; Loss'!C12/SUM('Balance Sheet'!C4:C5),"")</f>
        <v>0.32853022078858612</v>
      </c>
      <c r="D23" s="14">
        <f>IF(SUM('Balance Sheet'!D4:D5)&gt;0,'Profit &amp; Loss'!D12/SUM('Balance Sheet'!D4:D5),"")</f>
        <v>0.32644538891271269</v>
      </c>
      <c r="E23" s="14">
        <f>IF(SUM('Balance Sheet'!E4:E5)&gt;0,'Profit &amp; Loss'!E12/SUM('Balance Sheet'!E4:E5),"")</f>
        <v>0.30449096579255591</v>
      </c>
      <c r="F23" s="14">
        <f>IF(SUM('Balance Sheet'!F4:F5)&gt;0,'Profit &amp; Loss'!F12/SUM('Balance Sheet'!F4:F5),"")</f>
        <v>0.21894458981731754</v>
      </c>
      <c r="G23" s="14">
        <f>IF(SUM('Balance Sheet'!G4:G5)&gt;0,'Profit &amp; Loss'!G12/SUM('Balance Sheet'!G4:G5),"")</f>
        <v>0.2216933944915781</v>
      </c>
      <c r="H23" s="14">
        <f>IF(SUM('Balance Sheet'!H4:H5)&gt;0,'Profit &amp; Loss'!H12/SUM('Balance Sheet'!H4:H5),"")</f>
        <v>0.21464818870118538</v>
      </c>
      <c r="I23" s="14">
        <f>IF(SUM('Balance Sheet'!I4:I5)&gt;0,'Profit &amp; Loss'!I12/SUM('Balance Sheet'!I4:I5),"")</f>
        <v>0.21292094620860327</v>
      </c>
      <c r="J23" s="14">
        <f>IF(SUM('Balance Sheet'!J4:J5)&gt;0,'Profit &amp; Loss'!J12/SUM('Balance Sheet'!J4:J5),"")</f>
        <v>0.23449464604648212</v>
      </c>
      <c r="K23" s="14">
        <f>IF(SUM('Balance Sheet'!K4:K5)&gt;0,'Profit &amp; Loss'!K12/SUM('Balance Sheet'!K4:K5),"")</f>
        <v>0.21809063995198466</v>
      </c>
    </row>
    <row r="24" spans="1:11" s="8" customFormat="1" x14ac:dyDescent="0.2">
      <c r="A24" s="8" t="s">
        <v>51</v>
      </c>
      <c r="B24" s="14"/>
      <c r="C24" s="14">
        <f>IF((B4+B5+B6+C4+C5+C6)&gt;0,('Profit &amp; Loss'!C10+'Profit &amp; Loss'!C9)*2/(B4+B5+B6+C4+C5+C6),"")</f>
        <v>0.52356240454976899</v>
      </c>
      <c r="D24" s="14">
        <f>IF((C4+C5+C6+D4+D5+D6)&gt;0,('Profit &amp; Loss'!D10+'Profit &amp; Loss'!D9)*2/(C4+C5+C6+D4+D5+D6),"")</f>
        <v>0.51560150690830531</v>
      </c>
      <c r="E24" s="14">
        <f>IF((D4+D5+D6+E4+E5+E6)&gt;0,('Profit &amp; Loss'!E10+'Profit &amp; Loss'!E9)*2/(D4+D5+D6+E4+E5+E6),"")</f>
        <v>0.48594891437413223</v>
      </c>
      <c r="F24" s="14">
        <f>IF((E4+E5+E6+F4+F5+F6)&gt;0,('Profit &amp; Loss'!F10+'Profit &amp; Loss'!F9)*2/(E4+E5+E6+F4+F5+F6),"")</f>
        <v>0.39956350070933139</v>
      </c>
      <c r="G24" s="14">
        <f>IF((F4+F5+F6+G4+G5+G6)&gt;0,('Profit &amp; Loss'!G10+'Profit &amp; Loss'!G9)*2/(F4+F5+F6+G4+G5+G6),"")</f>
        <v>0.36034518411668875</v>
      </c>
      <c r="H24" s="14">
        <f>IF((G4+G5+G6+H4+H5+H6)&gt;0,('Profit &amp; Loss'!H10+'Profit &amp; Loss'!H9)*2/(G4+G5+G6+H4+H5+H6),"")</f>
        <v>0.35400589143866729</v>
      </c>
      <c r="I24" s="14">
        <f>IF((H4+H5+H6+I4+I5+I6)&gt;0,('Profit &amp; Loss'!I10+'Profit &amp; Loss'!I9)*2/(H4+H5+H6+I4+I5+I6),"")</f>
        <v>0.34415687544012852</v>
      </c>
      <c r="J24" s="14">
        <f>IF((I4+I5+I6+J4+J5+J6)&gt;0,('Profit &amp; Loss'!J10+'Profit &amp; Loss'!J9)*2/(I4+I5+I6+J4+J5+J6),"")</f>
        <v>0.32261652337652486</v>
      </c>
      <c r="K24" s="14">
        <f>IF((J4+J5+J6+K4+K5+K6)&gt;0,('Profit &amp; Loss'!K10+'Profit &amp; Loss'!K9)*2/(J4+J5+J6+K4+K5+K6),"")</f>
        <v>0.28527066262298589</v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C4" activePane="bottomRight" state="frozen"/>
      <selection pane="topRight" activeCell="B1" sqref="B1"/>
      <selection pane="bottomLeft" activeCell="A4" sqref="A4"/>
      <selection pane="bottomRight" activeCell="K10" sqref="K10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  <v>40999</v>
      </c>
      <c r="C3" s="16">
        <f>'Data Sheet'!C81</f>
        <v>41364</v>
      </c>
      <c r="D3" s="16">
        <f>'Data Sheet'!D81</f>
        <v>41729</v>
      </c>
      <c r="E3" s="16">
        <f>'Data Sheet'!E81</f>
        <v>42094</v>
      </c>
      <c r="F3" s="16">
        <f>'Data Sheet'!F81</f>
        <v>42460</v>
      </c>
      <c r="G3" s="16">
        <f>'Data Sheet'!G81</f>
        <v>42825</v>
      </c>
      <c r="H3" s="16">
        <f>'Data Sheet'!H81</f>
        <v>43190</v>
      </c>
      <c r="I3" s="16">
        <f>'Data Sheet'!I81</f>
        <v>43555</v>
      </c>
      <c r="J3" s="16">
        <f>'Data Sheet'!J81</f>
        <v>43921</v>
      </c>
      <c r="K3" s="16">
        <f>'Data Sheet'!K81</f>
        <v>44286</v>
      </c>
    </row>
    <row r="4" spans="1:11" s="8" customFormat="1" x14ac:dyDescent="0.2">
      <c r="A4" s="8" t="s">
        <v>32</v>
      </c>
      <c r="B4" s="1">
        <f>'Data Sheet'!B82</f>
        <v>6255.66</v>
      </c>
      <c r="C4" s="1">
        <f>'Data Sheet'!C82</f>
        <v>7101.83</v>
      </c>
      <c r="D4" s="1">
        <f>'Data Sheet'!D82</f>
        <v>7343.58</v>
      </c>
      <c r="E4" s="1">
        <f>'Data Sheet'!E82</f>
        <v>9843.2000000000007</v>
      </c>
      <c r="F4" s="1">
        <f>'Data Sheet'!F82</f>
        <v>9799.0400000000009</v>
      </c>
      <c r="G4" s="1">
        <f>'Data Sheet'!G82</f>
        <v>10627.31</v>
      </c>
      <c r="H4" s="1">
        <f>'Data Sheet'!H82</f>
        <v>13169.4</v>
      </c>
      <c r="I4" s="1">
        <f>'Data Sheet'!I82</f>
        <v>12583.41</v>
      </c>
      <c r="J4" s="1">
        <f>'Data Sheet'!J82</f>
        <v>14689.66</v>
      </c>
      <c r="K4" s="1">
        <f>'Data Sheet'!K82</f>
        <v>12527.09</v>
      </c>
    </row>
    <row r="5" spans="1:11" x14ac:dyDescent="0.2">
      <c r="A5" s="6" t="s">
        <v>33</v>
      </c>
      <c r="B5" s="9">
        <f>'Data Sheet'!B83</f>
        <v>-2693.8</v>
      </c>
      <c r="C5" s="9">
        <f>'Data Sheet'!C83</f>
        <v>-3881.35</v>
      </c>
      <c r="D5" s="9">
        <f>'Data Sheet'!D83</f>
        <v>-3254.08</v>
      </c>
      <c r="E5" s="9">
        <f>'Data Sheet'!E83</f>
        <v>-5275.43</v>
      </c>
      <c r="F5" s="9">
        <f>'Data Sheet'!F83</f>
        <v>-3920.73</v>
      </c>
      <c r="G5" s="9">
        <f>'Data Sheet'!G83</f>
        <v>-3250.93</v>
      </c>
      <c r="H5" s="9">
        <f>'Data Sheet'!H83</f>
        <v>-7113.89</v>
      </c>
      <c r="I5" s="9">
        <f>'Data Sheet'!I83</f>
        <v>-5545.68</v>
      </c>
      <c r="J5" s="9">
        <f>'Data Sheet'!J83</f>
        <v>-6174.02</v>
      </c>
      <c r="K5" s="9">
        <f>'Data Sheet'!K83</f>
        <v>5739.86</v>
      </c>
    </row>
    <row r="6" spans="1:11" x14ac:dyDescent="0.2">
      <c r="A6" s="6" t="s">
        <v>34</v>
      </c>
      <c r="B6" s="9">
        <f>'Data Sheet'!B84</f>
        <v>-3304.65</v>
      </c>
      <c r="C6" s="9">
        <f>'Data Sheet'!C84</f>
        <v>-3310.01</v>
      </c>
      <c r="D6" s="9">
        <f>'Data Sheet'!D84</f>
        <v>-4121.54</v>
      </c>
      <c r="E6" s="9">
        <f>'Data Sheet'!E84</f>
        <v>-4661.03</v>
      </c>
      <c r="F6" s="9">
        <f>'Data Sheet'!F84</f>
        <v>-5612.52</v>
      </c>
      <c r="G6" s="9">
        <f>'Data Sheet'!G84</f>
        <v>-7301.03</v>
      </c>
      <c r="H6" s="9">
        <f>'Data Sheet'!H84</f>
        <v>-6221.13</v>
      </c>
      <c r="I6" s="9">
        <f>'Data Sheet'!I84</f>
        <v>-6868.64</v>
      </c>
      <c r="J6" s="9">
        <f>'Data Sheet'!J84</f>
        <v>-8181.48</v>
      </c>
      <c r="K6" s="9">
        <f>'Data Sheet'!K84</f>
        <v>-18633.830000000002</v>
      </c>
    </row>
    <row r="7" spans="1:11" s="8" customFormat="1" x14ac:dyDescent="0.2">
      <c r="A7" s="8" t="s">
        <v>35</v>
      </c>
      <c r="B7" s="1">
        <f>'Data Sheet'!B85</f>
        <v>257.20999999999998</v>
      </c>
      <c r="C7" s="1">
        <f>'Data Sheet'!C85</f>
        <v>-89.53</v>
      </c>
      <c r="D7" s="1">
        <f>'Data Sheet'!D85</f>
        <v>-32.04</v>
      </c>
      <c r="E7" s="1">
        <f>'Data Sheet'!E85</f>
        <v>-93.26</v>
      </c>
      <c r="F7" s="1">
        <f>'Data Sheet'!F85</f>
        <v>265.79000000000002</v>
      </c>
      <c r="G7" s="1">
        <f>'Data Sheet'!G85</f>
        <v>75.349999999999994</v>
      </c>
      <c r="H7" s="1">
        <f>'Data Sheet'!H85</f>
        <v>-165.62</v>
      </c>
      <c r="I7" s="1">
        <f>'Data Sheet'!I85</f>
        <v>169.09</v>
      </c>
      <c r="J7" s="1">
        <f>'Data Sheet'!J85</f>
        <v>334.16</v>
      </c>
      <c r="K7" s="1">
        <f>'Data Sheet'!K85</f>
        <v>-366.88</v>
      </c>
    </row>
    <row r="8" spans="1:11" x14ac:dyDescent="0.2">
      <c r="A8" t="s">
        <v>100</v>
      </c>
    </row>
    <row r="9" spans="1:11" x14ac:dyDescent="0.2">
      <c r="A9" t="s">
        <v>82</v>
      </c>
      <c r="B9" s="31">
        <f>B4-B8</f>
        <v>6255.66</v>
      </c>
      <c r="C9" s="31">
        <f t="shared" ref="C9:K9" si="0">C4-C8</f>
        <v>7101.83</v>
      </c>
      <c r="D9" s="31">
        <f t="shared" si="0"/>
        <v>7343.58</v>
      </c>
      <c r="E9" s="31">
        <f t="shared" si="0"/>
        <v>9843.2000000000007</v>
      </c>
      <c r="F9" s="31">
        <f t="shared" si="0"/>
        <v>9799.0400000000009</v>
      </c>
      <c r="G9" s="31">
        <f t="shared" si="0"/>
        <v>10627.31</v>
      </c>
      <c r="H9" s="31">
        <f t="shared" si="0"/>
        <v>13169.4</v>
      </c>
      <c r="I9" s="31">
        <f t="shared" si="0"/>
        <v>12583.41</v>
      </c>
      <c r="J9" s="31">
        <f t="shared" si="0"/>
        <v>14689.66</v>
      </c>
      <c r="K9" s="31">
        <f t="shared" si="0"/>
        <v>12527.09</v>
      </c>
    </row>
    <row r="10" spans="1:11" x14ac:dyDescent="0.2">
      <c r="A10"/>
      <c r="K10" s="31">
        <f>AVERAGE(G9:K9)</f>
        <v>12719.374</v>
      </c>
    </row>
    <row r="11" spans="1:11" x14ac:dyDescent="0.2">
      <c r="A11" t="s">
        <v>101</v>
      </c>
      <c r="C11" s="28">
        <f>(C9-B9)/B9</f>
        <v>0.13526470428380061</v>
      </c>
      <c r="D11" s="28">
        <f t="shared" ref="D11:K11" si="1">(D9-C9)/C9</f>
        <v>3.4040521949976275E-2</v>
      </c>
      <c r="E11" s="28">
        <f t="shared" si="1"/>
        <v>0.34038166670751879</v>
      </c>
      <c r="F11" s="28">
        <f t="shared" si="1"/>
        <v>-4.4863459037711162E-3</v>
      </c>
      <c r="G11" s="28">
        <f t="shared" si="1"/>
        <v>8.4525627000195794E-2</v>
      </c>
      <c r="H11" s="28">
        <f t="shared" si="1"/>
        <v>0.23920352375154205</v>
      </c>
      <c r="I11" s="28">
        <f t="shared" si="1"/>
        <v>-4.4496332406943354E-2</v>
      </c>
      <c r="J11" s="28">
        <f t="shared" si="1"/>
        <v>0.16738308614278641</v>
      </c>
      <c r="K11" s="28">
        <f t="shared" si="1"/>
        <v>-0.14721715819154424</v>
      </c>
    </row>
    <row r="12" spans="1:11" x14ac:dyDescent="0.2">
      <c r="K12" s="30">
        <f>AVERAGE(C11:K11)</f>
        <v>8.93999214815068E-2</v>
      </c>
    </row>
    <row r="24" s="25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C53" activePane="bottomRight" state="frozen"/>
      <selection activeCell="C4" sqref="C4"/>
      <selection pane="topRight" activeCell="C4" sqref="C4"/>
      <selection pane="bottomLeft" activeCell="C4" sqref="C4"/>
      <selection pane="bottomRight" activeCell="D73" sqref="D73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54</v>
      </c>
      <c r="E1" s="64" t="str">
        <f>IF(B2&lt;&gt;B3, "A NEW VERSION OF THE WORKSHEET IS AVAILABLE", "")</f>
        <v/>
      </c>
      <c r="F1" s="64"/>
      <c r="G1" s="64"/>
      <c r="H1" s="64"/>
      <c r="I1" s="64"/>
      <c r="J1" s="64"/>
      <c r="K1" s="64"/>
    </row>
    <row r="2" spans="1:11" x14ac:dyDescent="0.2">
      <c r="A2" s="1" t="s">
        <v>52</v>
      </c>
      <c r="B2" s="5">
        <v>2.1</v>
      </c>
      <c r="E2" s="65" t="s">
        <v>36</v>
      </c>
      <c r="F2" s="65"/>
      <c r="G2" s="65"/>
      <c r="H2" s="65"/>
      <c r="I2" s="65"/>
      <c r="J2" s="65"/>
      <c r="K2" s="65"/>
    </row>
    <row r="3" spans="1:11" x14ac:dyDescent="0.2">
      <c r="A3" s="1" t="s">
        <v>53</v>
      </c>
      <c r="B3" s="5">
        <v>2.1</v>
      </c>
    </row>
    <row r="4" spans="1:11" x14ac:dyDescent="0.2">
      <c r="A4" s="1"/>
    </row>
    <row r="5" spans="1:11" x14ac:dyDescent="0.2">
      <c r="A5" s="1" t="s">
        <v>55</v>
      </c>
    </row>
    <row r="6" spans="1:11" x14ac:dyDescent="0.2">
      <c r="A6" s="5" t="s">
        <v>42</v>
      </c>
      <c r="B6" s="5">
        <f>IF(B9&gt;0, B9/B8, 0)</f>
        <v>1231.5581939799331</v>
      </c>
    </row>
    <row r="7" spans="1:11" x14ac:dyDescent="0.2">
      <c r="A7" s="5" t="s">
        <v>31</v>
      </c>
      <c r="B7">
        <v>1</v>
      </c>
    </row>
    <row r="8" spans="1:11" x14ac:dyDescent="0.2">
      <c r="A8" s="5" t="s">
        <v>43</v>
      </c>
      <c r="B8">
        <v>209.3</v>
      </c>
    </row>
    <row r="9" spans="1:11" x14ac:dyDescent="0.2">
      <c r="A9" s="5" t="s">
        <v>70</v>
      </c>
      <c r="B9">
        <v>257765.13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40999</v>
      </c>
      <c r="C16" s="16">
        <v>41364</v>
      </c>
      <c r="D16" s="16">
        <v>41729</v>
      </c>
      <c r="E16" s="16">
        <v>42094</v>
      </c>
      <c r="F16" s="16">
        <v>42460</v>
      </c>
      <c r="G16" s="16">
        <v>42825</v>
      </c>
      <c r="H16" s="16">
        <v>43190</v>
      </c>
      <c r="I16" s="16">
        <v>43555</v>
      </c>
      <c r="J16" s="16">
        <v>43921</v>
      </c>
      <c r="K16" s="16">
        <v>44286</v>
      </c>
    </row>
    <row r="17" spans="1:11" s="9" customFormat="1" x14ac:dyDescent="0.2">
      <c r="A17" s="9" t="s">
        <v>6</v>
      </c>
      <c r="B17">
        <v>26516.03</v>
      </c>
      <c r="C17">
        <v>31618.33</v>
      </c>
      <c r="D17">
        <v>35306.43</v>
      </c>
      <c r="E17">
        <v>38817.15</v>
      </c>
      <c r="F17">
        <v>39192.1</v>
      </c>
      <c r="G17">
        <v>42767.6</v>
      </c>
      <c r="H17">
        <v>43448.94</v>
      </c>
      <c r="I17">
        <v>48339.58</v>
      </c>
      <c r="J17">
        <v>49387.7</v>
      </c>
      <c r="K17">
        <v>49257.45</v>
      </c>
    </row>
    <row r="18" spans="1:11" s="9" customFormat="1" x14ac:dyDescent="0.2">
      <c r="A18" s="5" t="s">
        <v>71</v>
      </c>
      <c r="B18">
        <v>9729.93</v>
      </c>
      <c r="C18">
        <v>12375.05</v>
      </c>
      <c r="D18">
        <v>13353.03</v>
      </c>
      <c r="E18">
        <v>15007.9</v>
      </c>
      <c r="F18">
        <v>13763.88</v>
      </c>
      <c r="G18">
        <v>15456.59</v>
      </c>
      <c r="H18">
        <v>14827.72</v>
      </c>
      <c r="I18">
        <v>17623.52</v>
      </c>
      <c r="J18">
        <v>18048.599999999999</v>
      </c>
      <c r="K18">
        <v>20776.71</v>
      </c>
    </row>
    <row r="19" spans="1:11" s="9" customFormat="1" x14ac:dyDescent="0.2">
      <c r="A19" s="5" t="s">
        <v>72</v>
      </c>
      <c r="B19">
        <v>85.74</v>
      </c>
      <c r="C19">
        <v>256.83999999999997</v>
      </c>
      <c r="D19">
        <v>112.74</v>
      </c>
      <c r="E19">
        <v>235.72</v>
      </c>
      <c r="F19">
        <v>195.38</v>
      </c>
      <c r="G19">
        <v>-592.57000000000005</v>
      </c>
      <c r="H19">
        <v>-1027.76</v>
      </c>
      <c r="I19">
        <v>203.19</v>
      </c>
      <c r="J19">
        <v>703.13</v>
      </c>
      <c r="K19">
        <v>645.27</v>
      </c>
    </row>
    <row r="20" spans="1:11" s="9" customFormat="1" x14ac:dyDescent="0.2">
      <c r="A20" s="5" t="s">
        <v>73</v>
      </c>
      <c r="B20">
        <v>476.74</v>
      </c>
      <c r="C20">
        <v>579.98</v>
      </c>
      <c r="D20">
        <v>644.96</v>
      </c>
      <c r="E20">
        <v>610.66999999999996</v>
      </c>
      <c r="F20">
        <v>571.88</v>
      </c>
      <c r="G20">
        <v>584.33000000000004</v>
      </c>
      <c r="H20">
        <v>653.5</v>
      </c>
      <c r="I20">
        <v>746.73</v>
      </c>
      <c r="J20">
        <v>780.85</v>
      </c>
      <c r="K20">
        <v>699.56</v>
      </c>
    </row>
    <row r="21" spans="1:11" s="9" customFormat="1" x14ac:dyDescent="0.2">
      <c r="A21" s="5" t="s">
        <v>74</v>
      </c>
      <c r="B21">
        <v>1106.46</v>
      </c>
      <c r="C21">
        <v>1213.67</v>
      </c>
      <c r="D21">
        <v>1395.57</v>
      </c>
      <c r="E21">
        <v>1533.25</v>
      </c>
      <c r="F21">
        <v>1581.59</v>
      </c>
      <c r="G21">
        <v>1683.9</v>
      </c>
      <c r="H21">
        <v>1697.62</v>
      </c>
      <c r="I21">
        <v>1871.01</v>
      </c>
      <c r="J21">
        <v>1908.29</v>
      </c>
      <c r="K21">
        <v>1587.18</v>
      </c>
    </row>
    <row r="22" spans="1:11" s="9" customFormat="1" x14ac:dyDescent="0.2">
      <c r="A22" s="5" t="s">
        <v>75</v>
      </c>
      <c r="B22">
        <v>1935.11</v>
      </c>
      <c r="C22">
        <v>2145.63</v>
      </c>
      <c r="D22">
        <v>2504.2399999999998</v>
      </c>
      <c r="E22">
        <v>2772.28</v>
      </c>
      <c r="F22">
        <v>3440.97</v>
      </c>
      <c r="G22">
        <v>3631.73</v>
      </c>
      <c r="H22">
        <v>3760.9</v>
      </c>
      <c r="I22">
        <v>4177.88</v>
      </c>
      <c r="J22">
        <v>4295.79</v>
      </c>
      <c r="K22">
        <v>4463.33</v>
      </c>
    </row>
    <row r="23" spans="1:11" s="9" customFormat="1" x14ac:dyDescent="0.2">
      <c r="A23" s="5" t="s">
        <v>76</v>
      </c>
      <c r="B23">
        <v>3177.05</v>
      </c>
      <c r="C23">
        <v>3543.86</v>
      </c>
      <c r="D23">
        <v>3361.2</v>
      </c>
      <c r="E23">
        <v>3876.19</v>
      </c>
      <c r="F23">
        <v>4261.78</v>
      </c>
      <c r="G23">
        <v>4179.74</v>
      </c>
      <c r="H23">
        <v>3954.87</v>
      </c>
      <c r="I23">
        <v>4546.3900000000003</v>
      </c>
      <c r="J23">
        <v>4488.63</v>
      </c>
      <c r="K23">
        <v>4236.7700000000004</v>
      </c>
    </row>
    <row r="24" spans="1:11" s="9" customFormat="1" x14ac:dyDescent="0.2">
      <c r="A24" s="5" t="s">
        <v>77</v>
      </c>
      <c r="B24">
        <v>932.52</v>
      </c>
      <c r="C24">
        <v>796.4</v>
      </c>
      <c r="D24">
        <v>1080.27</v>
      </c>
      <c r="E24">
        <v>1000.96</v>
      </c>
      <c r="F24">
        <v>1235.8900000000001</v>
      </c>
      <c r="G24">
        <v>1169.23</v>
      </c>
      <c r="H24">
        <v>1005.98</v>
      </c>
      <c r="I24">
        <v>1039.8499999999999</v>
      </c>
      <c r="J24">
        <v>1225.1300000000001</v>
      </c>
      <c r="K24">
        <v>1074.3900000000001</v>
      </c>
    </row>
    <row r="25" spans="1:11" s="9" customFormat="1" x14ac:dyDescent="0.2">
      <c r="A25" s="9" t="s">
        <v>9</v>
      </c>
      <c r="B25">
        <v>771.71</v>
      </c>
      <c r="C25">
        <v>852.31</v>
      </c>
      <c r="D25">
        <v>965.74</v>
      </c>
      <c r="E25">
        <v>1229.3499999999999</v>
      </c>
      <c r="F25">
        <v>1483.11</v>
      </c>
      <c r="G25">
        <v>1758.63</v>
      </c>
      <c r="H25">
        <v>2239.81</v>
      </c>
      <c r="I25">
        <v>2080.44</v>
      </c>
      <c r="J25">
        <v>2417.3200000000002</v>
      </c>
      <c r="K25">
        <v>2576.9499999999998</v>
      </c>
    </row>
    <row r="26" spans="1:11" s="9" customFormat="1" x14ac:dyDescent="0.2">
      <c r="A26" s="9" t="s">
        <v>10</v>
      </c>
      <c r="B26">
        <v>745.48</v>
      </c>
      <c r="C26">
        <v>859.11</v>
      </c>
      <c r="D26">
        <v>964.92</v>
      </c>
      <c r="E26">
        <v>1027.96</v>
      </c>
      <c r="F26">
        <v>1077.4000000000001</v>
      </c>
      <c r="G26">
        <v>1152.79</v>
      </c>
      <c r="H26">
        <v>1236.28</v>
      </c>
      <c r="I26">
        <v>1396.61</v>
      </c>
      <c r="J26">
        <v>1644.91</v>
      </c>
      <c r="K26">
        <v>1645.59</v>
      </c>
    </row>
    <row r="27" spans="1:11" s="9" customFormat="1" x14ac:dyDescent="0.2">
      <c r="A27" s="9" t="s">
        <v>11</v>
      </c>
      <c r="B27">
        <v>102.04</v>
      </c>
      <c r="C27">
        <v>108.13</v>
      </c>
      <c r="D27">
        <v>29.17</v>
      </c>
      <c r="E27">
        <v>90.96</v>
      </c>
      <c r="F27">
        <v>78.13</v>
      </c>
      <c r="G27">
        <v>49.03</v>
      </c>
      <c r="H27">
        <v>115.01</v>
      </c>
      <c r="I27">
        <v>71.400000000000006</v>
      </c>
      <c r="J27">
        <v>81.38</v>
      </c>
      <c r="K27">
        <v>57.97</v>
      </c>
    </row>
    <row r="28" spans="1:11" s="9" customFormat="1" x14ac:dyDescent="0.2">
      <c r="A28" s="9" t="s">
        <v>12</v>
      </c>
      <c r="B28">
        <v>9168.15</v>
      </c>
      <c r="C28">
        <v>11105.65</v>
      </c>
      <c r="D28">
        <v>13051.55</v>
      </c>
      <c r="E28">
        <v>14362.05</v>
      </c>
      <c r="F28">
        <v>14859.07</v>
      </c>
      <c r="G28">
        <v>16026.32</v>
      </c>
      <c r="H28">
        <v>17409.11</v>
      </c>
      <c r="I28">
        <v>19149.82</v>
      </c>
      <c r="J28">
        <v>20034.57</v>
      </c>
      <c r="K28">
        <v>17938.169999999998</v>
      </c>
    </row>
    <row r="29" spans="1:11" s="9" customFormat="1" x14ac:dyDescent="0.2">
      <c r="A29" s="9" t="s">
        <v>13</v>
      </c>
      <c r="B29">
        <v>2845.76</v>
      </c>
      <c r="C29">
        <v>3412.07</v>
      </c>
      <c r="D29">
        <v>4060.93</v>
      </c>
      <c r="E29">
        <v>4596.42</v>
      </c>
      <c r="F29">
        <v>5358.21</v>
      </c>
      <c r="G29">
        <v>5549.09</v>
      </c>
      <c r="H29">
        <v>5916.43</v>
      </c>
      <c r="I29">
        <v>6313.92</v>
      </c>
      <c r="J29">
        <v>4441.79</v>
      </c>
      <c r="K29">
        <v>4555.29</v>
      </c>
    </row>
    <row r="30" spans="1:11" s="9" customFormat="1" x14ac:dyDescent="0.2">
      <c r="A30" s="9" t="s">
        <v>14</v>
      </c>
      <c r="B30">
        <v>6258.14</v>
      </c>
      <c r="C30">
        <v>7608.07</v>
      </c>
      <c r="D30">
        <v>8891.3799999999992</v>
      </c>
      <c r="E30">
        <v>9663.17</v>
      </c>
      <c r="F30">
        <v>9344.4500000000007</v>
      </c>
      <c r="G30">
        <v>10289.44</v>
      </c>
      <c r="H30">
        <v>11271.2</v>
      </c>
      <c r="I30">
        <v>12592.33</v>
      </c>
      <c r="J30">
        <v>15306.23</v>
      </c>
      <c r="K30">
        <v>13161.19</v>
      </c>
    </row>
    <row r="31" spans="1:11" s="9" customFormat="1" x14ac:dyDescent="0.2">
      <c r="A31" s="9" t="s">
        <v>61</v>
      </c>
      <c r="B31">
        <v>3518.28</v>
      </c>
      <c r="C31">
        <v>4148.4399999999996</v>
      </c>
      <c r="D31">
        <v>4771.92</v>
      </c>
      <c r="E31">
        <v>5009.6899999999996</v>
      </c>
      <c r="F31">
        <v>6840.12</v>
      </c>
      <c r="G31">
        <v>5770.02</v>
      </c>
      <c r="H31">
        <v>6285.21</v>
      </c>
      <c r="I31">
        <v>7048.7</v>
      </c>
      <c r="J31">
        <v>12476.58</v>
      </c>
      <c r="K31">
        <v>13231.96</v>
      </c>
    </row>
    <row r="32" spans="1:1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43555</v>
      </c>
      <c r="C41" s="16">
        <v>43646</v>
      </c>
      <c r="D41" s="16">
        <v>43738</v>
      </c>
      <c r="E41" s="16">
        <v>43830</v>
      </c>
      <c r="F41" s="16">
        <v>43921</v>
      </c>
      <c r="G41" s="16">
        <v>44012</v>
      </c>
      <c r="H41" s="16">
        <v>44104</v>
      </c>
      <c r="I41" s="16">
        <v>44196</v>
      </c>
      <c r="J41" s="16">
        <v>44286</v>
      </c>
      <c r="K41" s="16">
        <v>44377</v>
      </c>
    </row>
    <row r="42" spans="1:11" s="9" customFormat="1" x14ac:dyDescent="0.2">
      <c r="A42" s="9" t="s">
        <v>6</v>
      </c>
      <c r="B42">
        <v>13212.19</v>
      </c>
      <c r="C42">
        <v>12657.9</v>
      </c>
      <c r="D42">
        <v>12867.39</v>
      </c>
      <c r="E42">
        <v>12902.55</v>
      </c>
      <c r="F42">
        <v>11782.16</v>
      </c>
      <c r="G42">
        <v>10478.459999999999</v>
      </c>
      <c r="H42">
        <v>12076.72</v>
      </c>
      <c r="I42">
        <v>13079.72</v>
      </c>
      <c r="J42">
        <v>14342.27</v>
      </c>
      <c r="K42">
        <v>13247.25</v>
      </c>
    </row>
    <row r="43" spans="1:11" s="9" customFormat="1" x14ac:dyDescent="0.2">
      <c r="A43" s="9" t="s">
        <v>7</v>
      </c>
      <c r="B43">
        <v>8379.9500000000007</v>
      </c>
      <c r="C43">
        <v>7720.15</v>
      </c>
      <c r="D43">
        <v>8025.33</v>
      </c>
      <c r="E43">
        <v>7925.82</v>
      </c>
      <c r="F43">
        <v>7278.54</v>
      </c>
      <c r="G43">
        <v>7532.9</v>
      </c>
      <c r="H43">
        <v>7675.72</v>
      </c>
      <c r="I43">
        <v>8294.7000000000007</v>
      </c>
      <c r="J43">
        <v>9471.15</v>
      </c>
      <c r="K43">
        <v>8803.51</v>
      </c>
    </row>
    <row r="44" spans="1:11" s="9" customFormat="1" x14ac:dyDescent="0.2">
      <c r="A44" s="9" t="s">
        <v>9</v>
      </c>
      <c r="B44">
        <v>690.11</v>
      </c>
      <c r="C44">
        <v>647.29</v>
      </c>
      <c r="D44">
        <v>629.88</v>
      </c>
      <c r="E44">
        <v>520.85</v>
      </c>
      <c r="F44">
        <v>667.76</v>
      </c>
      <c r="G44">
        <v>925.13</v>
      </c>
      <c r="H44">
        <v>582.25</v>
      </c>
      <c r="I44">
        <v>545.69000000000005</v>
      </c>
      <c r="J44">
        <v>579.49</v>
      </c>
      <c r="K44">
        <v>447.04</v>
      </c>
    </row>
    <row r="45" spans="1:11" s="9" customFormat="1" x14ac:dyDescent="0.2">
      <c r="A45" s="9" t="s">
        <v>10</v>
      </c>
      <c r="B45">
        <v>370.78</v>
      </c>
      <c r="C45">
        <v>378.94</v>
      </c>
      <c r="D45">
        <v>415.84</v>
      </c>
      <c r="E45">
        <v>436.9</v>
      </c>
      <c r="F45">
        <v>413.23</v>
      </c>
      <c r="G45">
        <v>418.99</v>
      </c>
      <c r="H45">
        <v>404.6</v>
      </c>
      <c r="I45">
        <v>413.49</v>
      </c>
      <c r="J45">
        <v>408.51</v>
      </c>
      <c r="K45">
        <v>414.13</v>
      </c>
    </row>
    <row r="46" spans="1:11" s="9" customFormat="1" x14ac:dyDescent="0.2">
      <c r="A46" s="9" t="s">
        <v>11</v>
      </c>
      <c r="B46">
        <v>9.6300000000000008</v>
      </c>
      <c r="C46">
        <v>14.58</v>
      </c>
      <c r="D46">
        <v>13.99</v>
      </c>
      <c r="E46">
        <v>11.43</v>
      </c>
      <c r="F46">
        <v>14.68</v>
      </c>
      <c r="G46">
        <v>15.82</v>
      </c>
      <c r="H46">
        <v>13.27</v>
      </c>
      <c r="I46">
        <v>12.61</v>
      </c>
      <c r="J46">
        <v>2.88</v>
      </c>
      <c r="K46">
        <v>9.34</v>
      </c>
    </row>
    <row r="47" spans="1:11" s="9" customFormat="1" x14ac:dyDescent="0.2">
      <c r="A47" s="9" t="s">
        <v>12</v>
      </c>
      <c r="B47">
        <v>5141.9399999999996</v>
      </c>
      <c r="C47">
        <v>5191.5200000000004</v>
      </c>
      <c r="D47">
        <v>5042.1099999999997</v>
      </c>
      <c r="E47">
        <v>5049.25</v>
      </c>
      <c r="F47">
        <v>4743.47</v>
      </c>
      <c r="G47">
        <v>3435.88</v>
      </c>
      <c r="H47">
        <v>4565.38</v>
      </c>
      <c r="I47">
        <v>4904.6099999999997</v>
      </c>
      <c r="J47">
        <v>5039.22</v>
      </c>
      <c r="K47">
        <v>4467.3100000000004</v>
      </c>
    </row>
    <row r="48" spans="1:11" s="9" customFormat="1" x14ac:dyDescent="0.2">
      <c r="A48" s="9" t="s">
        <v>13</v>
      </c>
      <c r="B48">
        <v>1549.14</v>
      </c>
      <c r="C48">
        <v>1755.01</v>
      </c>
      <c r="D48">
        <v>868.39</v>
      </c>
      <c r="E48">
        <v>1001.38</v>
      </c>
      <c r="F48">
        <v>817.01</v>
      </c>
      <c r="G48">
        <v>868.81</v>
      </c>
      <c r="H48">
        <v>1146.69</v>
      </c>
      <c r="I48">
        <v>1317.41</v>
      </c>
      <c r="J48">
        <v>1222.3800000000001</v>
      </c>
      <c r="K48">
        <v>1123.8699999999999</v>
      </c>
    </row>
    <row r="49" spans="1:11" s="9" customFormat="1" x14ac:dyDescent="0.2">
      <c r="A49" s="9" t="s">
        <v>14</v>
      </c>
      <c r="B49">
        <v>3535.11</v>
      </c>
      <c r="C49">
        <v>3355.01</v>
      </c>
      <c r="D49">
        <v>4119.16</v>
      </c>
      <c r="E49">
        <v>3975.54</v>
      </c>
      <c r="F49">
        <v>3856.52</v>
      </c>
      <c r="G49">
        <v>2511</v>
      </c>
      <c r="H49">
        <v>3368.17</v>
      </c>
      <c r="I49">
        <v>3526.55</v>
      </c>
      <c r="J49">
        <v>3755.47</v>
      </c>
      <c r="K49">
        <v>3276.48</v>
      </c>
    </row>
    <row r="50" spans="1:11" x14ac:dyDescent="0.2">
      <c r="A50" s="9" t="s">
        <v>8</v>
      </c>
      <c r="B50">
        <v>4832.24</v>
      </c>
      <c r="C50">
        <v>4937.75</v>
      </c>
      <c r="D50">
        <v>4842.0600000000004</v>
      </c>
      <c r="E50">
        <v>4976.7299999999996</v>
      </c>
      <c r="F50">
        <v>4503.62</v>
      </c>
      <c r="G50">
        <v>2945.56</v>
      </c>
      <c r="H50">
        <v>4401</v>
      </c>
      <c r="I50">
        <v>4785.0200000000004</v>
      </c>
      <c r="J50">
        <v>4871.12</v>
      </c>
      <c r="K50">
        <v>4443.74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40999</v>
      </c>
      <c r="C56" s="16">
        <v>41364</v>
      </c>
      <c r="D56" s="16">
        <v>41729</v>
      </c>
      <c r="E56" s="16">
        <v>42094</v>
      </c>
      <c r="F56" s="16">
        <v>42460</v>
      </c>
      <c r="G56" s="16">
        <v>42825</v>
      </c>
      <c r="H56" s="16">
        <v>43190</v>
      </c>
      <c r="I56" s="16">
        <v>43555</v>
      </c>
      <c r="J56" s="16">
        <v>43921</v>
      </c>
      <c r="K56" s="16">
        <v>44286</v>
      </c>
    </row>
    <row r="57" spans="1:11" x14ac:dyDescent="0.2">
      <c r="A57" s="9" t="s">
        <v>24</v>
      </c>
      <c r="B57">
        <v>781.84</v>
      </c>
      <c r="C57">
        <v>790.18</v>
      </c>
      <c r="D57">
        <v>795.32</v>
      </c>
      <c r="E57">
        <v>801.55</v>
      </c>
      <c r="F57">
        <v>804.72</v>
      </c>
      <c r="G57">
        <v>1214.74</v>
      </c>
      <c r="H57">
        <v>1220.43</v>
      </c>
      <c r="I57">
        <v>1225.8599999999999</v>
      </c>
      <c r="J57">
        <v>1229.22</v>
      </c>
      <c r="K57">
        <v>1230.8800000000001</v>
      </c>
    </row>
    <row r="58" spans="1:11" x14ac:dyDescent="0.2">
      <c r="A58" s="9" t="s">
        <v>25</v>
      </c>
      <c r="B58">
        <v>18676.740000000002</v>
      </c>
      <c r="C58">
        <v>22367.72</v>
      </c>
      <c r="D58">
        <v>26441.64</v>
      </c>
      <c r="E58">
        <v>30933.94</v>
      </c>
      <c r="F58">
        <v>41874.800000000003</v>
      </c>
      <c r="G58">
        <v>45198.19</v>
      </c>
      <c r="H58">
        <v>51289.68</v>
      </c>
      <c r="I58">
        <v>57915.01</v>
      </c>
      <c r="J58">
        <v>64044.04</v>
      </c>
      <c r="K58">
        <v>59116.46</v>
      </c>
    </row>
    <row r="59" spans="1:11" x14ac:dyDescent="0.2">
      <c r="A59" s="9" t="s">
        <v>62</v>
      </c>
      <c r="B59">
        <v>117.6</v>
      </c>
      <c r="C59">
        <v>102.38</v>
      </c>
      <c r="D59">
        <v>242.41</v>
      </c>
      <c r="E59">
        <v>268.8</v>
      </c>
      <c r="F59">
        <v>83.78</v>
      </c>
      <c r="G59">
        <v>45.72</v>
      </c>
      <c r="H59">
        <v>35.92</v>
      </c>
      <c r="I59">
        <v>13.44</v>
      </c>
      <c r="J59">
        <v>277.45</v>
      </c>
      <c r="K59">
        <v>270.83</v>
      </c>
    </row>
    <row r="60" spans="1:11" x14ac:dyDescent="0.2">
      <c r="A60" s="9" t="s">
        <v>63</v>
      </c>
      <c r="B60">
        <v>10509.13</v>
      </c>
      <c r="C60">
        <v>12068.99</v>
      </c>
      <c r="D60">
        <v>13369.04</v>
      </c>
      <c r="E60">
        <v>13947.93</v>
      </c>
      <c r="F60">
        <v>8888.0400000000009</v>
      </c>
      <c r="G60">
        <v>9439.67</v>
      </c>
      <c r="H60">
        <v>11694.85</v>
      </c>
      <c r="I60">
        <v>12584.73</v>
      </c>
      <c r="J60">
        <v>11760.04</v>
      </c>
      <c r="K60">
        <v>13142.59</v>
      </c>
    </row>
    <row r="61" spans="1:11" s="1" customFormat="1" x14ac:dyDescent="0.2">
      <c r="A61" s="1" t="s">
        <v>26</v>
      </c>
      <c r="B61">
        <v>30085.31</v>
      </c>
      <c r="C61">
        <v>35329.269999999997</v>
      </c>
      <c r="D61">
        <v>40848.410000000003</v>
      </c>
      <c r="E61">
        <v>45952.22</v>
      </c>
      <c r="F61">
        <v>51651.34</v>
      </c>
      <c r="G61">
        <v>55898.32</v>
      </c>
      <c r="H61">
        <v>64240.88</v>
      </c>
      <c r="I61">
        <v>71739.039999999994</v>
      </c>
      <c r="J61">
        <v>77310.75</v>
      </c>
      <c r="K61">
        <v>73760.759999999995</v>
      </c>
    </row>
    <row r="62" spans="1:11" x14ac:dyDescent="0.2">
      <c r="A62" s="9" t="s">
        <v>27</v>
      </c>
      <c r="B62">
        <v>10007.42</v>
      </c>
      <c r="C62">
        <v>12139.83</v>
      </c>
      <c r="D62">
        <v>12921.3</v>
      </c>
      <c r="E62">
        <v>15303.28</v>
      </c>
      <c r="F62">
        <v>15106.63</v>
      </c>
      <c r="G62">
        <v>15893.48</v>
      </c>
      <c r="H62">
        <v>16523.96</v>
      </c>
      <c r="I62">
        <v>19374.189999999999</v>
      </c>
      <c r="J62">
        <v>21713.34</v>
      </c>
      <c r="K62">
        <v>23298.48</v>
      </c>
    </row>
    <row r="63" spans="1:11" x14ac:dyDescent="0.2">
      <c r="A63" s="9" t="s">
        <v>28</v>
      </c>
      <c r="B63">
        <v>2396.46</v>
      </c>
      <c r="C63">
        <v>2062.0300000000002</v>
      </c>
      <c r="D63">
        <v>3117.37</v>
      </c>
      <c r="E63">
        <v>2700.2</v>
      </c>
      <c r="F63">
        <v>2559.7199999999998</v>
      </c>
      <c r="G63">
        <v>3729.89</v>
      </c>
      <c r="H63">
        <v>5508.33</v>
      </c>
      <c r="I63">
        <v>4136.42</v>
      </c>
      <c r="J63">
        <v>3256.46</v>
      </c>
      <c r="K63">
        <v>4011.29</v>
      </c>
    </row>
    <row r="64" spans="1:11" x14ac:dyDescent="0.2">
      <c r="A64" s="9" t="s">
        <v>29</v>
      </c>
      <c r="B64">
        <v>5206.83</v>
      </c>
      <c r="C64">
        <v>5981.28</v>
      </c>
      <c r="D64">
        <v>7284.02</v>
      </c>
      <c r="E64">
        <v>6942.77</v>
      </c>
      <c r="F64">
        <v>11747.59</v>
      </c>
      <c r="G64">
        <v>17581.38</v>
      </c>
      <c r="H64">
        <v>22052.86</v>
      </c>
      <c r="I64">
        <v>25043.49</v>
      </c>
      <c r="J64">
        <v>28663.35</v>
      </c>
      <c r="K64">
        <v>24870.87</v>
      </c>
    </row>
    <row r="65" spans="1:11" x14ac:dyDescent="0.2">
      <c r="A65" s="9" t="s">
        <v>64</v>
      </c>
      <c r="B65">
        <v>12474.6</v>
      </c>
      <c r="C65">
        <v>15146.13</v>
      </c>
      <c r="D65">
        <v>17525.72</v>
      </c>
      <c r="E65">
        <v>21005.97</v>
      </c>
      <c r="F65">
        <v>22237.4</v>
      </c>
      <c r="G65">
        <v>18693.57</v>
      </c>
      <c r="H65">
        <v>20155.73</v>
      </c>
      <c r="I65">
        <v>23184.94</v>
      </c>
      <c r="J65">
        <v>23677.599999999999</v>
      </c>
      <c r="K65">
        <v>21580.12</v>
      </c>
    </row>
    <row r="66" spans="1:11" s="1" customFormat="1" x14ac:dyDescent="0.2">
      <c r="A66" s="1" t="s">
        <v>26</v>
      </c>
      <c r="B66">
        <v>30085.31</v>
      </c>
      <c r="C66">
        <v>35329.269999999997</v>
      </c>
      <c r="D66">
        <v>40848.410000000003</v>
      </c>
      <c r="E66">
        <v>45952.22</v>
      </c>
      <c r="F66">
        <v>51651.34</v>
      </c>
      <c r="G66">
        <v>55898.32</v>
      </c>
      <c r="H66">
        <v>64240.88</v>
      </c>
      <c r="I66">
        <v>71739.039999999994</v>
      </c>
      <c r="J66">
        <v>77310.75</v>
      </c>
      <c r="K66">
        <v>73760.759999999995</v>
      </c>
    </row>
    <row r="67" spans="1:11" s="9" customFormat="1" x14ac:dyDescent="0.2">
      <c r="A67" s="9" t="s">
        <v>69</v>
      </c>
      <c r="B67">
        <v>1200.2</v>
      </c>
      <c r="C67">
        <v>1395.76</v>
      </c>
      <c r="D67">
        <v>2439.21</v>
      </c>
      <c r="E67">
        <v>1982.07</v>
      </c>
      <c r="F67">
        <v>1917.18</v>
      </c>
      <c r="G67">
        <v>2474.29</v>
      </c>
      <c r="H67">
        <v>2682.29</v>
      </c>
      <c r="I67">
        <v>4035.28</v>
      </c>
      <c r="J67">
        <v>2562.48</v>
      </c>
      <c r="K67">
        <v>2501.6999999999998</v>
      </c>
    </row>
    <row r="68" spans="1:11" x14ac:dyDescent="0.2">
      <c r="A68" s="9" t="s">
        <v>45</v>
      </c>
      <c r="B68">
        <v>6426.87</v>
      </c>
      <c r="C68">
        <v>7522.09</v>
      </c>
      <c r="D68">
        <v>8255.24</v>
      </c>
      <c r="E68">
        <v>8586.8700000000008</v>
      </c>
      <c r="F68">
        <v>9062.1</v>
      </c>
      <c r="G68">
        <v>8116.1</v>
      </c>
      <c r="H68">
        <v>7495.09</v>
      </c>
      <c r="I68">
        <v>7859.56</v>
      </c>
      <c r="J68">
        <v>8879.33</v>
      </c>
      <c r="K68">
        <v>10397.16</v>
      </c>
    </row>
    <row r="69" spans="1:11" x14ac:dyDescent="0.2">
      <c r="A69" s="5" t="s">
        <v>78</v>
      </c>
      <c r="B69">
        <v>3130.12</v>
      </c>
      <c r="C69">
        <v>3828.3</v>
      </c>
      <c r="D69">
        <v>3490.19</v>
      </c>
      <c r="E69">
        <v>7896.22</v>
      </c>
      <c r="F69">
        <v>6063.3</v>
      </c>
      <c r="G69">
        <v>2967.4</v>
      </c>
      <c r="H69">
        <v>2899.6</v>
      </c>
      <c r="I69">
        <v>4152.03</v>
      </c>
      <c r="J69">
        <v>7277.34</v>
      </c>
      <c r="K69">
        <v>4659.0200000000004</v>
      </c>
    </row>
    <row r="70" spans="1:11" x14ac:dyDescent="0.2">
      <c r="A70" s="5" t="s">
        <v>65</v>
      </c>
      <c r="B70">
        <v>7818424300</v>
      </c>
      <c r="C70">
        <v>7901833110</v>
      </c>
      <c r="D70">
        <v>7953182950</v>
      </c>
      <c r="E70">
        <v>8015519541</v>
      </c>
      <c r="F70">
        <v>8047206991</v>
      </c>
      <c r="G70">
        <v>12147383071</v>
      </c>
      <c r="H70">
        <v>12204294911</v>
      </c>
      <c r="I70">
        <v>12258631601</v>
      </c>
      <c r="J70">
        <v>12292231241</v>
      </c>
      <c r="K70">
        <v>12308844231</v>
      </c>
    </row>
    <row r="71" spans="1:11" x14ac:dyDescent="0.2">
      <c r="A71" s="5" t="s">
        <v>66</v>
      </c>
      <c r="G71">
        <v>4026657100</v>
      </c>
    </row>
    <row r="72" spans="1:11" x14ac:dyDescent="0.2">
      <c r="A72" s="5" t="s">
        <v>79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2">
      <c r="A74" s="9"/>
    </row>
    <row r="75" spans="1:11" x14ac:dyDescent="0.2">
      <c r="A75" s="9"/>
    </row>
    <row r="76" spans="1:11" x14ac:dyDescent="0.2">
      <c r="A76" s="9"/>
    </row>
    <row r="77" spans="1:11" x14ac:dyDescent="0.2">
      <c r="A77" s="9"/>
    </row>
    <row r="78" spans="1:11" x14ac:dyDescent="0.2">
      <c r="A78" s="9"/>
    </row>
    <row r="79" spans="1:11" x14ac:dyDescent="0.2">
      <c r="A79" s="9"/>
    </row>
    <row r="80" spans="1:11" x14ac:dyDescent="0.2">
      <c r="A80" s="1" t="s">
        <v>41</v>
      </c>
    </row>
    <row r="81" spans="1:11" s="24" customFormat="1" x14ac:dyDescent="0.2">
      <c r="A81" s="23" t="s">
        <v>38</v>
      </c>
      <c r="B81" s="16">
        <v>40999</v>
      </c>
      <c r="C81" s="16">
        <v>41364</v>
      </c>
      <c r="D81" s="16">
        <v>41729</v>
      </c>
      <c r="E81" s="16">
        <v>42094</v>
      </c>
      <c r="F81" s="16">
        <v>42460</v>
      </c>
      <c r="G81" s="16">
        <v>42825</v>
      </c>
      <c r="H81" s="16">
        <v>43190</v>
      </c>
      <c r="I81" s="16">
        <v>43555</v>
      </c>
      <c r="J81" s="16">
        <v>43921</v>
      </c>
      <c r="K81" s="16">
        <v>44286</v>
      </c>
    </row>
    <row r="82" spans="1:11" s="1" customFormat="1" x14ac:dyDescent="0.2">
      <c r="A82" s="9" t="s">
        <v>32</v>
      </c>
      <c r="B82">
        <v>6255.66</v>
      </c>
      <c r="C82">
        <v>7101.83</v>
      </c>
      <c r="D82">
        <v>7343.58</v>
      </c>
      <c r="E82">
        <v>9843.2000000000007</v>
      </c>
      <c r="F82">
        <v>9799.0400000000009</v>
      </c>
      <c r="G82">
        <v>10627.31</v>
      </c>
      <c r="H82">
        <v>13169.4</v>
      </c>
      <c r="I82">
        <v>12583.41</v>
      </c>
      <c r="J82">
        <v>14689.66</v>
      </c>
      <c r="K82">
        <v>12527.09</v>
      </c>
    </row>
    <row r="83" spans="1:11" s="9" customFormat="1" x14ac:dyDescent="0.2">
      <c r="A83" s="9" t="s">
        <v>33</v>
      </c>
      <c r="B83">
        <v>-2693.8</v>
      </c>
      <c r="C83">
        <v>-3881.35</v>
      </c>
      <c r="D83">
        <v>-3254.08</v>
      </c>
      <c r="E83">
        <v>-5275.43</v>
      </c>
      <c r="F83">
        <v>-3920.73</v>
      </c>
      <c r="G83">
        <v>-3250.93</v>
      </c>
      <c r="H83">
        <v>-7113.89</v>
      </c>
      <c r="I83">
        <v>-5545.68</v>
      </c>
      <c r="J83">
        <v>-6174.02</v>
      </c>
      <c r="K83">
        <v>5739.86</v>
      </c>
    </row>
    <row r="84" spans="1:11" s="9" customFormat="1" x14ac:dyDescent="0.2">
      <c r="A84" s="9" t="s">
        <v>34</v>
      </c>
      <c r="B84">
        <v>-3304.65</v>
      </c>
      <c r="C84">
        <v>-3310.01</v>
      </c>
      <c r="D84">
        <v>-4121.54</v>
      </c>
      <c r="E84">
        <v>-4661.03</v>
      </c>
      <c r="F84">
        <v>-5612.52</v>
      </c>
      <c r="G84">
        <v>-7301.03</v>
      </c>
      <c r="H84">
        <v>-6221.13</v>
      </c>
      <c r="I84">
        <v>-6868.64</v>
      </c>
      <c r="J84">
        <v>-8181.48</v>
      </c>
      <c r="K84">
        <v>-18633.830000000002</v>
      </c>
    </row>
    <row r="85" spans="1:11" s="1" customFormat="1" x14ac:dyDescent="0.2">
      <c r="A85" s="9" t="s">
        <v>35</v>
      </c>
      <c r="B85">
        <v>257.20999999999998</v>
      </c>
      <c r="C85">
        <v>-89.53</v>
      </c>
      <c r="D85">
        <v>-32.04</v>
      </c>
      <c r="E85">
        <v>-93.26</v>
      </c>
      <c r="F85">
        <v>265.79000000000002</v>
      </c>
      <c r="G85">
        <v>75.349999999999994</v>
      </c>
      <c r="H85">
        <v>-165.62</v>
      </c>
      <c r="I85">
        <v>169.09</v>
      </c>
      <c r="J85">
        <v>334.16</v>
      </c>
      <c r="K85">
        <v>-366.88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68</v>
      </c>
      <c r="B90">
        <v>151.27000000000001</v>
      </c>
      <c r="C90">
        <v>206.3</v>
      </c>
      <c r="D90">
        <v>235.23</v>
      </c>
      <c r="E90">
        <v>217.23</v>
      </c>
      <c r="F90">
        <v>218.83</v>
      </c>
      <c r="G90">
        <v>280.3</v>
      </c>
      <c r="H90">
        <v>255.5</v>
      </c>
      <c r="I90">
        <v>297.25</v>
      </c>
      <c r="J90">
        <v>171.7</v>
      </c>
      <c r="K90">
        <v>218.5</v>
      </c>
    </row>
    <row r="92" spans="1:11" s="1" customFormat="1" x14ac:dyDescent="0.2">
      <c r="A92" s="1" t="s">
        <v>67</v>
      </c>
    </row>
    <row r="93" spans="1:11" x14ac:dyDescent="0.2">
      <c r="A93" s="5" t="s">
        <v>80</v>
      </c>
      <c r="B93" s="27">
        <v>1172.76</v>
      </c>
      <c r="C93" s="27">
        <v>1185.27</v>
      </c>
      <c r="D93" s="27">
        <v>1192.98</v>
      </c>
      <c r="E93" s="27">
        <v>1202.33</v>
      </c>
      <c r="F93" s="27">
        <v>1207.08</v>
      </c>
      <c r="G93" s="27">
        <v>1214.74</v>
      </c>
      <c r="H93" s="27">
        <v>1220.43</v>
      </c>
      <c r="I93" s="27">
        <v>1225.8599999999999</v>
      </c>
      <c r="J93" s="27">
        <v>1229.22</v>
      </c>
      <c r="K93" s="27">
        <v>1230.8800000000001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C3987-2F5D-4B26-B837-1E87EC8A30F1}">
  <dimension ref="A2:R34"/>
  <sheetViews>
    <sheetView showGridLines="0" tabSelected="1" zoomScale="69" zoomScaleNormal="69" workbookViewId="0">
      <selection activeCell="O11" sqref="O11:Q11"/>
    </sheetView>
  </sheetViews>
  <sheetFormatPr baseColWidth="10" defaultColWidth="8.83203125" defaultRowHeight="31" x14ac:dyDescent="0.35"/>
  <cols>
    <col min="1" max="1" width="8.83203125" style="29"/>
    <col min="2" max="2" width="45.6640625" style="29" bestFit="1" customWidth="1"/>
    <col min="3" max="3" width="54.33203125" style="29" bestFit="1" customWidth="1"/>
    <col min="4" max="4" width="44.6640625" style="29" customWidth="1"/>
    <col min="5" max="5" width="40.5" style="29" bestFit="1" customWidth="1"/>
    <col min="6" max="7" width="8.83203125" style="29"/>
    <col min="8" max="8" width="26.83203125" style="29" bestFit="1" customWidth="1"/>
    <col min="9" max="9" width="54.33203125" style="29" bestFit="1" customWidth="1"/>
    <col min="10" max="10" width="19.5" style="29" bestFit="1" customWidth="1"/>
    <col min="11" max="11" width="40.5" style="29" bestFit="1" customWidth="1"/>
    <col min="12" max="13" width="8.83203125" style="29"/>
    <col min="14" max="14" width="26.83203125" style="29" bestFit="1" customWidth="1"/>
    <col min="15" max="15" width="54.33203125" style="29" bestFit="1" customWidth="1"/>
    <col min="16" max="16" width="17.5" style="29" bestFit="1" customWidth="1"/>
    <col min="17" max="17" width="40.5" style="29" bestFit="1" customWidth="1"/>
    <col min="18" max="16384" width="8.83203125" style="29"/>
  </cols>
  <sheetData>
    <row r="2" spans="1:18" x14ac:dyDescent="0.3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2" thickBot="1" x14ac:dyDescent="0.4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33" thickTop="1" thickBot="1" x14ac:dyDescent="0.4">
      <c r="A4" s="32"/>
      <c r="B4" s="77" t="s">
        <v>99</v>
      </c>
      <c r="C4" s="77"/>
      <c r="D4" s="96">
        <f>'Cash Flow'!K10</f>
        <v>12719.374</v>
      </c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33" thickTop="1" thickBot="1" x14ac:dyDescent="0.4">
      <c r="A5" s="32"/>
      <c r="B5" s="68" t="s">
        <v>102</v>
      </c>
      <c r="C5" s="69"/>
      <c r="D5" s="70"/>
      <c r="E5" s="59"/>
      <c r="F5" s="32"/>
      <c r="G5" s="32"/>
      <c r="H5" s="71" t="s">
        <v>103</v>
      </c>
      <c r="I5" s="72"/>
      <c r="J5" s="73"/>
      <c r="K5" s="32"/>
      <c r="L5" s="32"/>
      <c r="M5" s="32"/>
      <c r="N5" s="74" t="s">
        <v>104</v>
      </c>
      <c r="O5" s="75"/>
      <c r="P5" s="76"/>
      <c r="Q5" s="32"/>
      <c r="R5" s="32"/>
    </row>
    <row r="6" spans="1:18" ht="33" thickTop="1" thickBot="1" x14ac:dyDescent="0.4">
      <c r="A6" s="32"/>
      <c r="B6" s="60" t="s">
        <v>98</v>
      </c>
      <c r="C6" s="61" t="s">
        <v>83</v>
      </c>
      <c r="D6" s="48" t="s">
        <v>88</v>
      </c>
      <c r="E6" s="32"/>
      <c r="F6" s="32"/>
      <c r="G6" s="32"/>
      <c r="H6" s="62" t="s">
        <v>98</v>
      </c>
      <c r="I6" s="61" t="s">
        <v>83</v>
      </c>
      <c r="J6" s="48" t="s">
        <v>88</v>
      </c>
      <c r="K6" s="32"/>
      <c r="L6" s="32"/>
      <c r="M6" s="32"/>
      <c r="N6" s="63" t="s">
        <v>98</v>
      </c>
      <c r="O6" s="61" t="s">
        <v>83</v>
      </c>
      <c r="P6" s="48" t="s">
        <v>88</v>
      </c>
      <c r="Q6" s="32"/>
      <c r="R6" s="32"/>
    </row>
    <row r="7" spans="1:18" ht="33" thickTop="1" thickBot="1" x14ac:dyDescent="0.4">
      <c r="A7" s="32"/>
      <c r="B7" s="57" t="s">
        <v>81</v>
      </c>
      <c r="C7" s="97">
        <v>0</v>
      </c>
      <c r="D7" s="98">
        <v>0</v>
      </c>
      <c r="E7" s="32"/>
      <c r="F7" s="32"/>
      <c r="G7" s="32"/>
      <c r="H7" s="58" t="s">
        <v>81</v>
      </c>
      <c r="I7" s="98">
        <v>0</v>
      </c>
      <c r="J7" s="98">
        <v>0</v>
      </c>
      <c r="K7" s="32"/>
      <c r="L7" s="32"/>
      <c r="M7" s="32"/>
      <c r="N7" s="33" t="s">
        <v>81</v>
      </c>
      <c r="O7" s="98">
        <v>0</v>
      </c>
      <c r="P7" s="98">
        <v>0</v>
      </c>
      <c r="Q7" s="32"/>
      <c r="R7" s="32"/>
    </row>
    <row r="8" spans="1:18" ht="33" thickTop="1" thickBot="1" x14ac:dyDescent="0.4">
      <c r="A8" s="32"/>
      <c r="B8" s="56" t="s">
        <v>84</v>
      </c>
      <c r="C8" s="97">
        <v>0</v>
      </c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</row>
    <row r="9" spans="1:18" ht="33" thickTop="1" thickBot="1" x14ac:dyDescent="0.4">
      <c r="A9" s="32"/>
      <c r="B9" s="57" t="s">
        <v>85</v>
      </c>
      <c r="C9" s="97">
        <v>0</v>
      </c>
      <c r="D9" s="32"/>
      <c r="E9" s="87" t="s">
        <v>116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32"/>
    </row>
    <row r="10" spans="1:18" ht="36" thickTop="1" thickBot="1" x14ac:dyDescent="0.45">
      <c r="A10" s="32"/>
      <c r="B10" s="56" t="s">
        <v>86</v>
      </c>
      <c r="C10" s="99">
        <v>0</v>
      </c>
      <c r="D10" s="32"/>
      <c r="E10" s="85" t="s">
        <v>113</v>
      </c>
      <c r="F10" s="85"/>
      <c r="G10" s="32"/>
      <c r="H10" s="54" t="s">
        <v>105</v>
      </c>
      <c r="I10" s="91" t="s">
        <v>115</v>
      </c>
      <c r="J10" s="91"/>
      <c r="K10" s="91"/>
      <c r="L10" s="32"/>
      <c r="M10" s="32"/>
      <c r="N10" s="55" t="s">
        <v>110</v>
      </c>
      <c r="O10" s="92" t="s">
        <v>117</v>
      </c>
      <c r="P10" s="93"/>
      <c r="Q10" s="94"/>
      <c r="R10" s="32"/>
    </row>
    <row r="11" spans="1:18" ht="36" thickTop="1" thickBot="1" x14ac:dyDescent="0.45">
      <c r="A11" s="32"/>
      <c r="B11" s="33" t="s">
        <v>87</v>
      </c>
      <c r="C11" s="34">
        <f>'Data Sheet'!K59-'Data Sheet'!K69</f>
        <v>-4388.1900000000005</v>
      </c>
      <c r="D11" s="32"/>
      <c r="E11" s="86" t="s">
        <v>114</v>
      </c>
      <c r="F11" s="86"/>
      <c r="G11" s="32"/>
      <c r="H11" s="35" t="s">
        <v>106</v>
      </c>
      <c r="I11" s="88" t="s">
        <v>108</v>
      </c>
      <c r="J11" s="90"/>
      <c r="K11" s="90"/>
      <c r="L11" s="32"/>
      <c r="M11" s="32"/>
      <c r="N11" s="36" t="s">
        <v>111</v>
      </c>
      <c r="O11" s="86" t="s">
        <v>112</v>
      </c>
      <c r="P11" s="95"/>
      <c r="Q11" s="95"/>
      <c r="R11" s="32"/>
    </row>
    <row r="12" spans="1:18" ht="33" thickTop="1" thickBot="1" x14ac:dyDescent="0.4">
      <c r="A12" s="32"/>
      <c r="B12" s="32"/>
      <c r="C12" s="32"/>
      <c r="D12" s="32"/>
      <c r="E12" s="32"/>
      <c r="F12" s="32"/>
      <c r="G12" s="32"/>
      <c r="H12" s="37" t="s">
        <v>107</v>
      </c>
      <c r="I12" s="88" t="s">
        <v>109</v>
      </c>
      <c r="J12" s="89"/>
      <c r="K12" s="89"/>
      <c r="L12" s="32"/>
      <c r="M12" s="32"/>
      <c r="N12" s="38"/>
      <c r="O12" s="39"/>
      <c r="P12" s="40"/>
      <c r="Q12" s="40"/>
      <c r="R12" s="41"/>
    </row>
    <row r="13" spans="1:18" ht="32" thickTop="1" x14ac:dyDescent="0.35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41"/>
      <c r="P13" s="32"/>
      <c r="Q13" s="32"/>
      <c r="R13" s="32"/>
    </row>
    <row r="14" spans="1:18" ht="32" thickBot="1" x14ac:dyDescent="0.4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 ht="33" thickTop="1" thickBot="1" x14ac:dyDescent="0.4">
      <c r="A15" s="32"/>
      <c r="B15" s="42" t="s">
        <v>95</v>
      </c>
      <c r="C15" s="43" t="s">
        <v>82</v>
      </c>
      <c r="D15" s="43" t="s">
        <v>96</v>
      </c>
      <c r="E15" s="44" t="s">
        <v>97</v>
      </c>
      <c r="F15" s="32"/>
      <c r="G15" s="32"/>
      <c r="H15" s="42" t="s">
        <v>95</v>
      </c>
      <c r="I15" s="43" t="s">
        <v>82</v>
      </c>
      <c r="J15" s="43" t="s">
        <v>96</v>
      </c>
      <c r="K15" s="44" t="s">
        <v>97</v>
      </c>
      <c r="L15" s="32"/>
      <c r="M15" s="32"/>
      <c r="N15" s="45" t="s">
        <v>95</v>
      </c>
      <c r="O15" s="46" t="s">
        <v>82</v>
      </c>
      <c r="P15" s="47" t="s">
        <v>96</v>
      </c>
      <c r="Q15" s="44" t="s">
        <v>97</v>
      </c>
      <c r="R15" s="32"/>
    </row>
    <row r="16" spans="1:18" ht="33" thickTop="1" thickBot="1" x14ac:dyDescent="0.4">
      <c r="A16" s="32"/>
      <c r="B16" s="48">
        <v>1</v>
      </c>
      <c r="C16" s="48">
        <f>D4*(1+D16)</f>
        <v>12719.374</v>
      </c>
      <c r="D16" s="49">
        <f>$C$7</f>
        <v>0</v>
      </c>
      <c r="E16" s="50">
        <f>PV($C$8,B16,0,-C16,0)</f>
        <v>12719.374</v>
      </c>
      <c r="F16" s="32"/>
      <c r="G16" s="32"/>
      <c r="H16" s="48">
        <v>1</v>
      </c>
      <c r="I16" s="48">
        <f>D4*(1+J16)</f>
        <v>12719.374</v>
      </c>
      <c r="J16" s="51">
        <f>I7</f>
        <v>0</v>
      </c>
      <c r="K16" s="50">
        <f>PV($C$8,H16,0,-I16,0)</f>
        <v>12719.374</v>
      </c>
      <c r="L16" s="32"/>
      <c r="M16" s="32"/>
      <c r="N16" s="48">
        <v>1</v>
      </c>
      <c r="O16" s="48">
        <f>D4*(1+P16)</f>
        <v>12719.374</v>
      </c>
      <c r="P16" s="51">
        <f>O7</f>
        <v>0</v>
      </c>
      <c r="Q16" s="50">
        <f>PV($C$8,N16,0,-O16,0)</f>
        <v>12719.374</v>
      </c>
      <c r="R16" s="32"/>
    </row>
    <row r="17" spans="1:18" ht="33" thickTop="1" thickBot="1" x14ac:dyDescent="0.4">
      <c r="A17" s="32"/>
      <c r="B17" s="48">
        <v>2</v>
      </c>
      <c r="C17" s="48">
        <f>C16*(1+D17)</f>
        <v>12719.374</v>
      </c>
      <c r="D17" s="49">
        <f t="shared" ref="D17:D20" si="0">$C$7</f>
        <v>0</v>
      </c>
      <c r="E17" s="50">
        <f t="shared" ref="E17:E25" si="1">PV($C$8,B17,0,-C17,0)</f>
        <v>12719.374</v>
      </c>
      <c r="F17" s="32"/>
      <c r="G17" s="32"/>
      <c r="H17" s="48">
        <v>2</v>
      </c>
      <c r="I17" s="48">
        <f>I16*(1+J17)</f>
        <v>12719.374</v>
      </c>
      <c r="J17" s="51">
        <f>J16</f>
        <v>0</v>
      </c>
      <c r="K17" s="50">
        <f t="shared" ref="K17:K25" si="2">PV($C$8,H17,0,-I17,0)</f>
        <v>12719.374</v>
      </c>
      <c r="L17" s="32"/>
      <c r="M17" s="32"/>
      <c r="N17" s="48">
        <v>2</v>
      </c>
      <c r="O17" s="48">
        <f>O16*(1+P17)</f>
        <v>12719.374</v>
      </c>
      <c r="P17" s="51">
        <f>P16</f>
        <v>0</v>
      </c>
      <c r="Q17" s="50">
        <f t="shared" ref="Q17:Q25" si="3">PV($C$8,N17,0,-O17,0)</f>
        <v>12719.374</v>
      </c>
      <c r="R17" s="32"/>
    </row>
    <row r="18" spans="1:18" ht="33" thickTop="1" thickBot="1" x14ac:dyDescent="0.4">
      <c r="A18" s="32"/>
      <c r="B18" s="48">
        <v>3</v>
      </c>
      <c r="C18" s="48">
        <f t="shared" ref="C18:C25" si="4">C17*(1+D18)</f>
        <v>12719.374</v>
      </c>
      <c r="D18" s="49">
        <f t="shared" si="0"/>
        <v>0</v>
      </c>
      <c r="E18" s="50">
        <f t="shared" si="1"/>
        <v>12719.374</v>
      </c>
      <c r="F18" s="32"/>
      <c r="G18" s="32"/>
      <c r="H18" s="48">
        <v>3</v>
      </c>
      <c r="I18" s="48">
        <f>I17*(1+J18)</f>
        <v>12719.374</v>
      </c>
      <c r="J18" s="51">
        <f t="shared" ref="J18:J20" si="5">J17</f>
        <v>0</v>
      </c>
      <c r="K18" s="50">
        <f t="shared" si="2"/>
        <v>12719.374</v>
      </c>
      <c r="L18" s="32"/>
      <c r="M18" s="32"/>
      <c r="N18" s="48">
        <v>3</v>
      </c>
      <c r="O18" s="48">
        <f t="shared" ref="O18:O25" si="6">O17*(1+P18)</f>
        <v>12719.374</v>
      </c>
      <c r="P18" s="51">
        <f t="shared" ref="P18:P20" si="7">P17</f>
        <v>0</v>
      </c>
      <c r="Q18" s="50">
        <f t="shared" si="3"/>
        <v>12719.374</v>
      </c>
      <c r="R18" s="32"/>
    </row>
    <row r="19" spans="1:18" ht="33" thickTop="1" thickBot="1" x14ac:dyDescent="0.4">
      <c r="A19" s="32"/>
      <c r="B19" s="48">
        <v>4</v>
      </c>
      <c r="C19" s="48">
        <f t="shared" si="4"/>
        <v>12719.374</v>
      </c>
      <c r="D19" s="49">
        <f t="shared" si="0"/>
        <v>0</v>
      </c>
      <c r="E19" s="50">
        <f t="shared" si="1"/>
        <v>12719.374</v>
      </c>
      <c r="F19" s="32"/>
      <c r="G19" s="32"/>
      <c r="H19" s="48">
        <v>4</v>
      </c>
      <c r="I19" s="48">
        <f t="shared" ref="I19:I24" si="8">I18*(1+J19)</f>
        <v>12719.374</v>
      </c>
      <c r="J19" s="51">
        <f t="shared" si="5"/>
        <v>0</v>
      </c>
      <c r="K19" s="50">
        <f t="shared" si="2"/>
        <v>12719.374</v>
      </c>
      <c r="L19" s="32"/>
      <c r="M19" s="32"/>
      <c r="N19" s="48">
        <v>4</v>
      </c>
      <c r="O19" s="48">
        <f t="shared" si="6"/>
        <v>12719.374</v>
      </c>
      <c r="P19" s="51">
        <f t="shared" si="7"/>
        <v>0</v>
      </c>
      <c r="Q19" s="50">
        <f t="shared" si="3"/>
        <v>12719.374</v>
      </c>
      <c r="R19" s="32"/>
    </row>
    <row r="20" spans="1:18" ht="33" thickTop="1" thickBot="1" x14ac:dyDescent="0.4">
      <c r="A20" s="32"/>
      <c r="B20" s="48">
        <v>5</v>
      </c>
      <c r="C20" s="48">
        <f t="shared" si="4"/>
        <v>12719.374</v>
      </c>
      <c r="D20" s="49">
        <f t="shared" si="0"/>
        <v>0</v>
      </c>
      <c r="E20" s="50">
        <f t="shared" si="1"/>
        <v>12719.374</v>
      </c>
      <c r="F20" s="32"/>
      <c r="G20" s="32"/>
      <c r="H20" s="48">
        <v>5</v>
      </c>
      <c r="I20" s="48">
        <f t="shared" si="8"/>
        <v>12719.374</v>
      </c>
      <c r="J20" s="51">
        <f t="shared" si="5"/>
        <v>0</v>
      </c>
      <c r="K20" s="50">
        <f t="shared" si="2"/>
        <v>12719.374</v>
      </c>
      <c r="L20" s="32"/>
      <c r="M20" s="32"/>
      <c r="N20" s="48">
        <v>5</v>
      </c>
      <c r="O20" s="48">
        <f t="shared" si="6"/>
        <v>12719.374</v>
      </c>
      <c r="P20" s="51">
        <f t="shared" si="7"/>
        <v>0</v>
      </c>
      <c r="Q20" s="50">
        <f t="shared" si="3"/>
        <v>12719.374</v>
      </c>
      <c r="R20" s="32"/>
    </row>
    <row r="21" spans="1:18" ht="33" thickTop="1" thickBot="1" x14ac:dyDescent="0.4">
      <c r="A21" s="32"/>
      <c r="B21" s="48">
        <v>6</v>
      </c>
      <c r="C21" s="48">
        <f t="shared" si="4"/>
        <v>12719.374</v>
      </c>
      <c r="D21" s="49">
        <f>$D$7</f>
        <v>0</v>
      </c>
      <c r="E21" s="50">
        <f t="shared" si="1"/>
        <v>12719.374</v>
      </c>
      <c r="F21" s="32"/>
      <c r="G21" s="32"/>
      <c r="H21" s="48">
        <v>6</v>
      </c>
      <c r="I21" s="48">
        <f t="shared" si="8"/>
        <v>12719.374</v>
      </c>
      <c r="J21" s="51">
        <f>J7</f>
        <v>0</v>
      </c>
      <c r="K21" s="50">
        <f t="shared" si="2"/>
        <v>12719.374</v>
      </c>
      <c r="L21" s="32"/>
      <c r="M21" s="32"/>
      <c r="N21" s="48">
        <v>6</v>
      </c>
      <c r="O21" s="48">
        <f t="shared" si="6"/>
        <v>12719.374</v>
      </c>
      <c r="P21" s="51">
        <f>P7</f>
        <v>0</v>
      </c>
      <c r="Q21" s="50">
        <f t="shared" si="3"/>
        <v>12719.374</v>
      </c>
      <c r="R21" s="32"/>
    </row>
    <row r="22" spans="1:18" ht="33" thickTop="1" thickBot="1" x14ac:dyDescent="0.4">
      <c r="A22" s="32"/>
      <c r="B22" s="48">
        <v>7</v>
      </c>
      <c r="C22" s="48">
        <f t="shared" si="4"/>
        <v>12719.374</v>
      </c>
      <c r="D22" s="49">
        <f t="shared" ref="D22:D25" si="9">$D$7</f>
        <v>0</v>
      </c>
      <c r="E22" s="50">
        <f t="shared" si="1"/>
        <v>12719.374</v>
      </c>
      <c r="F22" s="32"/>
      <c r="G22" s="32"/>
      <c r="H22" s="48">
        <v>7</v>
      </c>
      <c r="I22" s="48">
        <f t="shared" si="8"/>
        <v>12719.374</v>
      </c>
      <c r="J22" s="51">
        <f>J21</f>
        <v>0</v>
      </c>
      <c r="K22" s="50">
        <f t="shared" si="2"/>
        <v>12719.374</v>
      </c>
      <c r="L22" s="32"/>
      <c r="M22" s="32"/>
      <c r="N22" s="48">
        <v>7</v>
      </c>
      <c r="O22" s="48">
        <f t="shared" si="6"/>
        <v>12719.374</v>
      </c>
      <c r="P22" s="51">
        <f>P21</f>
        <v>0</v>
      </c>
      <c r="Q22" s="50">
        <f t="shared" si="3"/>
        <v>12719.374</v>
      </c>
      <c r="R22" s="32"/>
    </row>
    <row r="23" spans="1:18" ht="33" thickTop="1" thickBot="1" x14ac:dyDescent="0.4">
      <c r="A23" s="32"/>
      <c r="B23" s="48">
        <v>8</v>
      </c>
      <c r="C23" s="48">
        <f t="shared" si="4"/>
        <v>12719.374</v>
      </c>
      <c r="D23" s="49">
        <f t="shared" si="9"/>
        <v>0</v>
      </c>
      <c r="E23" s="50">
        <f t="shared" si="1"/>
        <v>12719.374</v>
      </c>
      <c r="F23" s="32"/>
      <c r="G23" s="32"/>
      <c r="H23" s="48">
        <v>8</v>
      </c>
      <c r="I23" s="48">
        <f t="shared" si="8"/>
        <v>12719.374</v>
      </c>
      <c r="J23" s="51">
        <f t="shared" ref="J23:J25" si="10">J22</f>
        <v>0</v>
      </c>
      <c r="K23" s="50">
        <f t="shared" si="2"/>
        <v>12719.374</v>
      </c>
      <c r="L23" s="32"/>
      <c r="M23" s="32"/>
      <c r="N23" s="48">
        <v>8</v>
      </c>
      <c r="O23" s="48">
        <f t="shared" si="6"/>
        <v>12719.374</v>
      </c>
      <c r="P23" s="51">
        <f t="shared" ref="P23:P25" si="11">P22</f>
        <v>0</v>
      </c>
      <c r="Q23" s="50">
        <f t="shared" si="3"/>
        <v>12719.374</v>
      </c>
      <c r="R23" s="32"/>
    </row>
    <row r="24" spans="1:18" ht="33" thickTop="1" thickBot="1" x14ac:dyDescent="0.4">
      <c r="A24" s="32"/>
      <c r="B24" s="48">
        <v>9</v>
      </c>
      <c r="C24" s="48">
        <f t="shared" si="4"/>
        <v>12719.374</v>
      </c>
      <c r="D24" s="49">
        <f t="shared" si="9"/>
        <v>0</v>
      </c>
      <c r="E24" s="50">
        <f t="shared" si="1"/>
        <v>12719.374</v>
      </c>
      <c r="F24" s="32"/>
      <c r="G24" s="32"/>
      <c r="H24" s="48">
        <v>9</v>
      </c>
      <c r="I24" s="48">
        <f t="shared" si="8"/>
        <v>12719.374</v>
      </c>
      <c r="J24" s="51">
        <f t="shared" si="10"/>
        <v>0</v>
      </c>
      <c r="K24" s="50">
        <f t="shared" si="2"/>
        <v>12719.374</v>
      </c>
      <c r="L24" s="32"/>
      <c r="M24" s="32"/>
      <c r="N24" s="48">
        <v>9</v>
      </c>
      <c r="O24" s="48">
        <f t="shared" si="6"/>
        <v>12719.374</v>
      </c>
      <c r="P24" s="51">
        <f t="shared" si="11"/>
        <v>0</v>
      </c>
      <c r="Q24" s="50">
        <f t="shared" si="3"/>
        <v>12719.374</v>
      </c>
      <c r="R24" s="32"/>
    </row>
    <row r="25" spans="1:18" ht="33" thickTop="1" thickBot="1" x14ac:dyDescent="0.4">
      <c r="A25" s="32"/>
      <c r="B25" s="48">
        <v>10</v>
      </c>
      <c r="C25" s="48">
        <f t="shared" si="4"/>
        <v>12719.374</v>
      </c>
      <c r="D25" s="49">
        <f t="shared" si="9"/>
        <v>0</v>
      </c>
      <c r="E25" s="50">
        <f t="shared" si="1"/>
        <v>12719.374</v>
      </c>
      <c r="F25" s="32"/>
      <c r="G25" s="32"/>
      <c r="H25" s="48">
        <v>10</v>
      </c>
      <c r="I25" s="48">
        <f>I24*(1+J25)</f>
        <v>12719.374</v>
      </c>
      <c r="J25" s="51">
        <f t="shared" si="10"/>
        <v>0</v>
      </c>
      <c r="K25" s="50">
        <f t="shared" si="2"/>
        <v>12719.374</v>
      </c>
      <c r="L25" s="32"/>
      <c r="M25" s="32"/>
      <c r="N25" s="48">
        <v>10</v>
      </c>
      <c r="O25" s="48">
        <f t="shared" si="6"/>
        <v>12719.374</v>
      </c>
      <c r="P25" s="51">
        <f t="shared" si="11"/>
        <v>0</v>
      </c>
      <c r="Q25" s="50">
        <f t="shared" si="3"/>
        <v>12719.374</v>
      </c>
      <c r="R25" s="32"/>
    </row>
    <row r="26" spans="1:18" ht="33" thickTop="1" thickBot="1" x14ac:dyDescent="0.4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</row>
    <row r="27" spans="1:18" ht="33" thickTop="1" thickBot="1" x14ac:dyDescent="0.4">
      <c r="A27" s="32"/>
      <c r="B27" s="32"/>
      <c r="C27" s="82" t="s">
        <v>94</v>
      </c>
      <c r="D27" s="83"/>
      <c r="E27" s="84"/>
      <c r="F27" s="32"/>
      <c r="G27" s="32"/>
      <c r="H27" s="32"/>
      <c r="I27" s="77" t="s">
        <v>94</v>
      </c>
      <c r="J27" s="77"/>
      <c r="K27" s="77"/>
      <c r="L27" s="32"/>
      <c r="M27" s="32"/>
      <c r="N27" s="32"/>
      <c r="O27" s="77" t="s">
        <v>94</v>
      </c>
      <c r="P27" s="77"/>
      <c r="Q27" s="77"/>
      <c r="R27" s="32"/>
    </row>
    <row r="28" spans="1:18" ht="33" thickTop="1" thickBot="1" x14ac:dyDescent="0.4">
      <c r="A28" s="32"/>
      <c r="B28" s="32"/>
      <c r="C28" s="52" t="s">
        <v>89</v>
      </c>
      <c r="D28" s="81">
        <f>C25*(1+C9)</f>
        <v>12719.374</v>
      </c>
      <c r="E28" s="81"/>
      <c r="F28" s="32"/>
      <c r="G28" s="32"/>
      <c r="H28" s="32"/>
      <c r="I28" s="52" t="s">
        <v>89</v>
      </c>
      <c r="J28" s="78">
        <f>I25*(1+C9)</f>
        <v>12719.374</v>
      </c>
      <c r="K28" s="79"/>
      <c r="L28" s="32"/>
      <c r="M28" s="32"/>
      <c r="N28" s="32"/>
      <c r="O28" s="52" t="s">
        <v>89</v>
      </c>
      <c r="P28" s="78">
        <f>O25*(1+C9)</f>
        <v>12719.374</v>
      </c>
      <c r="Q28" s="79"/>
      <c r="R28" s="32"/>
    </row>
    <row r="29" spans="1:18" ht="33" thickTop="1" thickBot="1" x14ac:dyDescent="0.4">
      <c r="A29" s="32"/>
      <c r="B29" s="32"/>
      <c r="C29" s="52" t="s">
        <v>90</v>
      </c>
      <c r="D29" s="80">
        <f>SUM(E16:E25)</f>
        <v>127193.73999999998</v>
      </c>
      <c r="E29" s="80"/>
      <c r="F29" s="32"/>
      <c r="G29" s="32"/>
      <c r="H29" s="32"/>
      <c r="I29" s="52" t="s">
        <v>90</v>
      </c>
      <c r="J29" s="66">
        <f>SUM(K16:K25)</f>
        <v>127193.73999999998</v>
      </c>
      <c r="K29" s="67"/>
      <c r="L29" s="32"/>
      <c r="M29" s="32"/>
      <c r="N29" s="32"/>
      <c r="O29" s="52" t="s">
        <v>90</v>
      </c>
      <c r="P29" s="66">
        <f>SUM(Q16:Q25)</f>
        <v>127193.73999999998</v>
      </c>
      <c r="Q29" s="67"/>
      <c r="R29" s="32"/>
    </row>
    <row r="30" spans="1:18" ht="33" thickTop="1" thickBot="1" x14ac:dyDescent="0.4">
      <c r="A30" s="32"/>
      <c r="B30" s="32"/>
      <c r="C30" s="52" t="s">
        <v>91</v>
      </c>
      <c r="D30" s="81" t="e">
        <f>((D28/($C$8-$C$9))/(1+$C$8)^B25)</f>
        <v>#DIV/0!</v>
      </c>
      <c r="E30" s="81"/>
      <c r="F30" s="32"/>
      <c r="G30" s="32"/>
      <c r="H30" s="32"/>
      <c r="I30" s="52" t="s">
        <v>91</v>
      </c>
      <c r="J30" s="78" t="e">
        <f>((J28)/($C$8-$C$9))/(1+$C$8)^H25</f>
        <v>#DIV/0!</v>
      </c>
      <c r="K30" s="79"/>
      <c r="L30" s="32"/>
      <c r="M30" s="32"/>
      <c r="N30" s="32"/>
      <c r="O30" s="52" t="s">
        <v>91</v>
      </c>
      <c r="P30" s="78" t="e">
        <f>((P28)/($C$8-$C$9))/(1+$C$8)^N25</f>
        <v>#DIV/0!</v>
      </c>
      <c r="Q30" s="79"/>
      <c r="R30" s="32"/>
    </row>
    <row r="31" spans="1:18" ht="33" thickTop="1" thickBot="1" x14ac:dyDescent="0.4">
      <c r="A31" s="32"/>
      <c r="B31" s="32"/>
      <c r="C31" s="52" t="s">
        <v>92</v>
      </c>
      <c r="D31" s="80" t="e">
        <f>D29+D30</f>
        <v>#DIV/0!</v>
      </c>
      <c r="E31" s="80"/>
      <c r="F31" s="32"/>
      <c r="G31" s="32"/>
      <c r="H31" s="32"/>
      <c r="I31" s="52" t="s">
        <v>92</v>
      </c>
      <c r="J31" s="66" t="e">
        <f>J29+J30</f>
        <v>#DIV/0!</v>
      </c>
      <c r="K31" s="67"/>
      <c r="L31" s="32"/>
      <c r="M31" s="32"/>
      <c r="N31" s="32"/>
      <c r="O31" s="52" t="s">
        <v>92</v>
      </c>
      <c r="P31" s="66" t="e">
        <f>P29+P30</f>
        <v>#DIV/0!</v>
      </c>
      <c r="Q31" s="67"/>
      <c r="R31" s="32"/>
    </row>
    <row r="32" spans="1:18" ht="33" thickTop="1" thickBot="1" x14ac:dyDescent="0.4">
      <c r="A32" s="32"/>
      <c r="B32" s="32"/>
      <c r="C32" s="52" t="s">
        <v>93</v>
      </c>
      <c r="D32" s="80" t="e">
        <f>(D31-$C$11)/$C$10</f>
        <v>#DIV/0!</v>
      </c>
      <c r="E32" s="80"/>
      <c r="F32" s="32"/>
      <c r="G32" s="32"/>
      <c r="H32" s="32"/>
      <c r="I32" s="52" t="s">
        <v>93</v>
      </c>
      <c r="J32" s="66" t="e">
        <f>(J31-$C$11)/$C$10</f>
        <v>#DIV/0!</v>
      </c>
      <c r="K32" s="67"/>
      <c r="L32" s="53"/>
      <c r="M32" s="32"/>
      <c r="N32" s="32"/>
      <c r="O32" s="52" t="s">
        <v>93</v>
      </c>
      <c r="P32" s="66" t="e">
        <f>(P31-$C$11)/$C$10</f>
        <v>#DIV/0!</v>
      </c>
      <c r="Q32" s="67"/>
      <c r="R32" s="53"/>
    </row>
    <row r="33" spans="1:18" ht="32" thickTop="1" x14ac:dyDescent="0.35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 x14ac:dyDescent="0.35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</sheetData>
  <sheetProtection algorithmName="SHA-512" hashValue="QVqT4qLYg/8P4BePfn04xLWVmX/Wcnpg5F1+amelN17Pf4piv/4/C2F45ew8pLUpaGIAycDmzwPQVVDZQ6e/JA==" saltValue="KeTUoSh3CFJtdPNsvwbdtw==" spinCount="100000" sheet="1" objects="1" scenarios="1"/>
  <mergeCells count="30">
    <mergeCell ref="B4:C4"/>
    <mergeCell ref="D28:E28"/>
    <mergeCell ref="D29:E29"/>
    <mergeCell ref="D30:E30"/>
    <mergeCell ref="D31:E31"/>
    <mergeCell ref="C27:E27"/>
    <mergeCell ref="E10:F10"/>
    <mergeCell ref="E11:F11"/>
    <mergeCell ref="E9:Q9"/>
    <mergeCell ref="J31:K31"/>
    <mergeCell ref="I12:K12"/>
    <mergeCell ref="I11:K11"/>
    <mergeCell ref="I10:K10"/>
    <mergeCell ref="O10:Q10"/>
    <mergeCell ref="O11:Q11"/>
    <mergeCell ref="J32:K32"/>
    <mergeCell ref="B5:D5"/>
    <mergeCell ref="H5:J5"/>
    <mergeCell ref="N5:P5"/>
    <mergeCell ref="I27:K27"/>
    <mergeCell ref="O27:Q27"/>
    <mergeCell ref="J28:K28"/>
    <mergeCell ref="J29:K29"/>
    <mergeCell ref="J30:K30"/>
    <mergeCell ref="D32:E32"/>
    <mergeCell ref="P28:Q28"/>
    <mergeCell ref="P29:Q29"/>
    <mergeCell ref="P30:Q30"/>
    <mergeCell ref="P31:Q31"/>
    <mergeCell ref="P32:Q32"/>
  </mergeCells>
  <hyperlinks>
    <hyperlink ref="I12" r:id="rId1" xr:uid="{3FC22959-6E1D-CF40-B9CF-F7DF34E4478D}"/>
    <hyperlink ref="O11" r:id="rId2" xr:uid="{F93FEFDC-ABA3-D04A-BE75-0CAADEBA7F77}"/>
    <hyperlink ref="E11" r:id="rId3" xr:uid="{A703AB3D-2268-B848-B893-87F2B63FAFDC}"/>
    <hyperlink ref="I11" r:id="rId4" xr:uid="{92AB3336-012B-B24D-8BEB-853D4F129794}"/>
    <hyperlink ref="I10" r:id="rId5" xr:uid="{51CEE770-52A1-DC4F-A4BF-6E072A80136C}"/>
    <hyperlink ref="O10" r:id="rId6" xr:uid="{9017675D-1CB5-1F48-8386-86986699F600}"/>
  </hyperlinks>
  <pageMargins left="0.7" right="0.7" top="0.75" bottom="0.75" header="0.3" footer="0.3"/>
  <pageSetup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Data Sheet</vt:lpstr>
      <vt:lpstr>DCF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Raise Basha Naik</cp:lastModifiedBy>
  <cp:lastPrinted>2012-12-06T18:14:13Z</cp:lastPrinted>
  <dcterms:created xsi:type="dcterms:W3CDTF">2012-08-17T09:55:37Z</dcterms:created>
  <dcterms:modified xsi:type="dcterms:W3CDTF">2021-10-02T07:12:44Z</dcterms:modified>
</cp:coreProperties>
</file>