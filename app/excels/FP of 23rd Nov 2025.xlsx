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24F85104-D741-FD40-A654-6E48E106D207}" xr6:coauthVersionLast="47" xr6:coauthVersionMax="47" xr10:uidLastSave="{00000000-0000-0000-0000-000000000000}"/>
  <bookViews>
    <workbookView xWindow="0" yWindow="680" windowWidth="34560" windowHeight="19860" xr2:uid="{59FD12AB-B300-6A4B-BE0A-A77AFDF767F1}"/>
  </bookViews>
  <sheets>
    <sheet name="Retirement by 40 - 43" sheetId="2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21" l="1"/>
  <c r="M37" i="21" s="1"/>
  <c r="M34" i="21"/>
  <c r="M33" i="21"/>
  <c r="S8" i="21"/>
  <c r="M30" i="21"/>
  <c r="M27" i="21"/>
  <c r="M25" i="21"/>
  <c r="M23" i="21"/>
  <c r="M22" i="21"/>
  <c r="M62" i="21"/>
  <c r="T46" i="21"/>
  <c r="M48" i="21"/>
  <c r="M47" i="21"/>
  <c r="U46" i="21" s="1"/>
  <c r="V46" i="21" s="1"/>
  <c r="T47" i="21" s="1"/>
  <c r="M46" i="21"/>
  <c r="M17" i="21"/>
  <c r="M19" i="21" s="1"/>
  <c r="M13" i="21"/>
  <c r="V26" i="21" s="1"/>
  <c r="V27" i="21" s="1"/>
  <c r="M7" i="21"/>
  <c r="M11" i="21" s="1"/>
  <c r="G33" i="21"/>
  <c r="F23" i="21"/>
  <c r="U7" i="21" s="1"/>
  <c r="F22" i="21"/>
  <c r="T7" i="21" s="1"/>
  <c r="T8" i="21" l="1"/>
  <c r="U8" i="21"/>
  <c r="V8" i="21" s="1"/>
  <c r="S9" i="21"/>
  <c r="S10" i="21" s="1"/>
  <c r="S11" i="21" s="1"/>
  <c r="S12" i="21" s="1"/>
  <c r="S13" i="21" s="1"/>
  <c r="S14" i="21" s="1"/>
  <c r="S15" i="21" s="1"/>
  <c r="S16" i="21" s="1"/>
  <c r="S17" i="21" s="1"/>
  <c r="S18" i="21" s="1"/>
  <c r="S19" i="21" s="1"/>
  <c r="U47" i="21"/>
  <c r="V47" i="21" s="1"/>
  <c r="T48" i="21" s="1"/>
  <c r="V7" i="21"/>
  <c r="M16" i="21"/>
  <c r="U48" i="21" l="1"/>
  <c r="U49" i="21" s="1"/>
  <c r="U50" i="21" s="1"/>
  <c r="U51" i="21" s="1"/>
  <c r="U52" i="21" s="1"/>
  <c r="U53" i="21" s="1"/>
  <c r="U54" i="21" s="1"/>
  <c r="U55" i="21" s="1"/>
  <c r="U56" i="21" s="1"/>
  <c r="U57" i="21" s="1"/>
  <c r="U58" i="21" s="1"/>
  <c r="U59" i="21" s="1"/>
  <c r="U60" i="21" s="1"/>
  <c r="U61" i="21" s="1"/>
  <c r="U62" i="21" s="1"/>
  <c r="U63" i="21" s="1"/>
  <c r="U64" i="21" s="1"/>
  <c r="U65" i="21" s="1"/>
  <c r="T9" i="21"/>
  <c r="U9" i="21"/>
  <c r="S20" i="21"/>
  <c r="V48" i="21"/>
  <c r="T49" i="21" s="1"/>
  <c r="V49" i="21" s="1"/>
  <c r="T50" i="21" s="1"/>
  <c r="V50" i="21" s="1"/>
  <c r="V9" i="21" l="1"/>
  <c r="T10" i="21" s="1"/>
  <c r="U10" i="21"/>
  <c r="U11" i="21" s="1"/>
  <c r="U12" i="21" s="1"/>
  <c r="U13" i="21" s="1"/>
  <c r="U14" i="21" s="1"/>
  <c r="U15" i="21" s="1"/>
  <c r="U16" i="21" s="1"/>
  <c r="U17" i="21" s="1"/>
  <c r="U18" i="21" s="1"/>
  <c r="U19" i="21" s="1"/>
  <c r="U20" i="21" s="1"/>
  <c r="T51" i="21"/>
  <c r="V51" i="21" s="1"/>
  <c r="V10" i="21" l="1"/>
  <c r="T11" i="21" s="1"/>
  <c r="V11" i="21" s="1"/>
  <c r="T12" i="21" s="1"/>
  <c r="V12" i="21" s="1"/>
  <c r="T13" i="21" s="1"/>
  <c r="V13" i="21" s="1"/>
  <c r="T52" i="21"/>
  <c r="V52" i="21" s="1"/>
  <c r="T53" i="21" l="1"/>
  <c r="V53" i="21" s="1"/>
  <c r="T14" i="21"/>
  <c r="V14" i="21" s="1"/>
  <c r="T54" i="21" l="1"/>
  <c r="V54" i="21" s="1"/>
  <c r="T15" i="21"/>
  <c r="V15" i="21" s="1"/>
  <c r="T55" i="21" l="1"/>
  <c r="V55" i="21" s="1"/>
  <c r="T16" i="21"/>
  <c r="V16" i="21" s="1"/>
  <c r="T56" i="21" l="1"/>
  <c r="V56" i="21" s="1"/>
  <c r="T17" i="21"/>
  <c r="V17" i="21" s="1"/>
  <c r="T18" i="21" s="1"/>
  <c r="V18" i="21" s="1"/>
  <c r="T19" i="21" s="1"/>
  <c r="V19" i="21" s="1"/>
  <c r="T20" i="21" s="1"/>
  <c r="V20" i="21" s="1"/>
  <c r="V23" i="21" s="1"/>
  <c r="V28" i="21" l="1"/>
  <c r="V30" i="21" s="1"/>
  <c r="T57" i="21"/>
  <c r="V57" i="21" s="1"/>
  <c r="T58" i="21" l="1"/>
  <c r="V58" i="21" s="1"/>
  <c r="T59" i="21" l="1"/>
  <c r="V59" i="21" s="1"/>
  <c r="T60" i="21" l="1"/>
  <c r="V60" i="21" s="1"/>
  <c r="T61" i="21" l="1"/>
  <c r="V61" i="21" s="1"/>
  <c r="T62" i="21" l="1"/>
  <c r="V62" i="21" s="1"/>
  <c r="T63" i="21" l="1"/>
  <c r="V63" i="21" l="1"/>
  <c r="T64" i="21" s="1"/>
  <c r="V64" i="21" l="1"/>
  <c r="T65" i="21" s="1"/>
  <c r="V65" i="21" s="1"/>
  <c r="M64" i="21" s="1"/>
  <c r="M65" i="21" s="1"/>
</calcChain>
</file>

<file path=xl/sharedStrings.xml><?xml version="1.0" encoding="utf-8"?>
<sst xmlns="http://schemas.openxmlformats.org/spreadsheetml/2006/main" count="125" uniqueCount="102">
  <si>
    <t>AGE</t>
  </si>
  <si>
    <t>EXPECTED RETURN</t>
  </si>
  <si>
    <t>END VALUE</t>
  </si>
  <si>
    <t>NAME</t>
  </si>
  <si>
    <t>RETIREMENT AGE</t>
  </si>
  <si>
    <t>GOALS</t>
  </si>
  <si>
    <t>INFLATION</t>
  </si>
  <si>
    <t>SIP</t>
  </si>
  <si>
    <t>TIME LEFT</t>
  </si>
  <si>
    <t>SALARY</t>
  </si>
  <si>
    <t>INSURANCE</t>
  </si>
  <si>
    <t>TERM INSURANCE</t>
  </si>
  <si>
    <t>HEALTH INSURANCE</t>
  </si>
  <si>
    <t>NARASIMHA</t>
  </si>
  <si>
    <t>SPOUSE'S INCOME</t>
  </si>
  <si>
    <t>PLAN</t>
  </si>
  <si>
    <t>SUM ASSURED</t>
  </si>
  <si>
    <t>PREMIUM</t>
  </si>
  <si>
    <t>MONTHLY EXPENSES</t>
  </si>
  <si>
    <t>PERSONAL LOAN</t>
  </si>
  <si>
    <t>5 YEARS</t>
  </si>
  <si>
    <t>MUTUAL FUNDS</t>
  </si>
  <si>
    <t>DIRECT EQUITY</t>
  </si>
  <si>
    <t>DIRECT EQUITY SIP</t>
  </si>
  <si>
    <t>MF SIP</t>
  </si>
  <si>
    <t>NPS</t>
  </si>
  <si>
    <t>NPS SIP</t>
  </si>
  <si>
    <t>EMERGENCY FUND</t>
  </si>
  <si>
    <t>ASSETS</t>
  </si>
  <si>
    <t>FARM LAND</t>
  </si>
  <si>
    <t>5 ACERS</t>
  </si>
  <si>
    <t>PLOT 1</t>
  </si>
  <si>
    <t>10 CENTS</t>
  </si>
  <si>
    <t>PLOT 2</t>
  </si>
  <si>
    <t>50 CENTS</t>
  </si>
  <si>
    <t>COST</t>
  </si>
  <si>
    <t>BUILD HOUSE</t>
  </si>
  <si>
    <t>LIABILITIES</t>
  </si>
  <si>
    <t>INVESTMENTS</t>
  </si>
  <si>
    <t>TYPE</t>
  </si>
  <si>
    <t>VALUE</t>
  </si>
  <si>
    <t>PLANNED TO ADD</t>
  </si>
  <si>
    <t>VOLUME</t>
  </si>
  <si>
    <t>WORTH</t>
  </si>
  <si>
    <t>NA</t>
  </si>
  <si>
    <t>8K INDEX FUNDFROM 2026, 20L HOME LOAN</t>
  </si>
  <si>
    <t>SPOUSE'S SAVINGS</t>
  </si>
  <si>
    <t>RETIREMENT</t>
  </si>
  <si>
    <t>YEAR/AGE</t>
  </si>
  <si>
    <t>40 - 43 YEARS</t>
  </si>
  <si>
    <t>RETIREMENT PLANNING</t>
  </si>
  <si>
    <t>CURRENT AGE</t>
  </si>
  <si>
    <t>PLANNING TO RETIRE @ AGE</t>
  </si>
  <si>
    <t>PLANNING CASHFLOWS TILL 60 YEARS</t>
  </si>
  <si>
    <t>FUNDS REQUIRED TILL</t>
  </si>
  <si>
    <t>CURRENT  HOUSE HOLD EXPENSES</t>
  </si>
  <si>
    <t>CURRENT VALUE</t>
  </si>
  <si>
    <t>SIP TOP-UP RATE</t>
  </si>
  <si>
    <t>EXPECTED RATE</t>
  </si>
  <si>
    <t xml:space="preserve">VALUE OF MUTUAL FUNDS INVESTMENT </t>
  </si>
  <si>
    <t>MONTHLY EXPENSE REQUIRED AT 60</t>
  </si>
  <si>
    <t>CHILD FUTURE PLANNING</t>
  </si>
  <si>
    <t xml:space="preserve">EXPENSE REQUIRED AT </t>
  </si>
  <si>
    <t xml:space="preserve">CURRENT SPOUSE'S MONTHLY INCOME </t>
  </si>
  <si>
    <t>RATE IF SAVINGS FOR CHILD FUTURE</t>
  </si>
  <si>
    <t>MONTHLY SAVINGS FOR CHILD'S FUTURE</t>
  </si>
  <si>
    <t>CURRENT SAVINGS</t>
  </si>
  <si>
    <t>PRESENT VALUE OF CHILD'S FUTURE INCOME</t>
  </si>
  <si>
    <t>EDUCATION INFLATION</t>
  </si>
  <si>
    <t>END VALUE OF CHILD'S SAVINGS</t>
  </si>
  <si>
    <t>NPS CALCULATION</t>
  </si>
  <si>
    <t>SIP IN NPS</t>
  </si>
  <si>
    <t>PLANNED RETIREMENT AGE</t>
  </si>
  <si>
    <t>NPS VALUE AT 40 YEARS AGE</t>
  </si>
  <si>
    <t>MINIMUM INVESTMENT</t>
  </si>
  <si>
    <t>ACTUAL RETIREMENT AGE</t>
  </si>
  <si>
    <t>SURVIVAL AGE</t>
  </si>
  <si>
    <t>CORPUS REQUIRED TO RETIRE</t>
  </si>
  <si>
    <t>CORPUS AT THE END OF 60 YEARS</t>
  </si>
  <si>
    <t>SURPLUS POST FUNDING CASHFLOWS</t>
  </si>
  <si>
    <t>CORPUS REQUIRED TO FUND CASHFLOWS</t>
  </si>
  <si>
    <t>SURPLUS MONEY REQUIRED AT</t>
  </si>
  <si>
    <t>TIME LEFT TO REACH 60</t>
  </si>
  <si>
    <t>VALUE OF REMAINING CORPUS</t>
  </si>
  <si>
    <t>CASHFLOWS SERVED TILL</t>
  </si>
  <si>
    <t>RETIREMENT GOAL REACHED</t>
  </si>
  <si>
    <t>CORPUS CALCULATION OF DIRECT EQUITY INVESTMENT</t>
  </si>
  <si>
    <t xml:space="preserve">INVESTMENT TILL </t>
  </si>
  <si>
    <t>VALUE TIIL RETIREMENT</t>
  </si>
  <si>
    <t>LEFT OUT POST FULFILLING CASH FLOWS</t>
  </si>
  <si>
    <t>DETAILS</t>
  </si>
  <si>
    <t>18 LAKHS PER ACER</t>
  </si>
  <si>
    <t>TOTAL EXPENSE 18000-8500 RENT</t>
  </si>
  <si>
    <t>MONTHLY EXPENSE REQUIRED AT RETIREMENT</t>
  </si>
  <si>
    <t>A</t>
  </si>
  <si>
    <t>B</t>
  </si>
  <si>
    <t>C</t>
  </si>
  <si>
    <t>D</t>
  </si>
  <si>
    <t>E</t>
  </si>
  <si>
    <t>E-A</t>
  </si>
  <si>
    <t>F</t>
  </si>
  <si>
    <t>B-C-F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</si>
</sst>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3" x14ac:knownFonts="1"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54E1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ck">
        <color rgb="FF002060"/>
      </left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 style="thick">
        <color rgb="FF002060"/>
      </left>
      <right style="thick">
        <color rgb="FF002060"/>
      </right>
      <top style="thick">
        <color rgb="FF002060"/>
      </top>
      <bottom/>
      <diagonal/>
    </border>
    <border>
      <left style="thick">
        <color rgb="FF002060"/>
      </left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/>
    <xf numFmtId="10" fontId="1" fillId="0" borderId="1" xfId="0" applyNumberFormat="1" applyFont="1" applyBorder="1"/>
    <xf numFmtId="10" fontId="1" fillId="0" borderId="0" xfId="0" applyNumberFormat="1" applyFont="1"/>
    <xf numFmtId="9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8" fontId="1" fillId="0" borderId="1" xfId="0" applyNumberFormat="1" applyFont="1" applyBorder="1"/>
    <xf numFmtId="8" fontId="1" fillId="0" borderId="1" xfId="0" applyNumberFormat="1" applyFont="1" applyBorder="1" applyAlignment="1">
      <alignment horizontal="center"/>
    </xf>
    <xf numFmtId="8" fontId="1" fillId="3" borderId="1" xfId="0" applyNumberFormat="1" applyFont="1" applyFill="1" applyBorder="1"/>
    <xf numFmtId="0" fontId="1" fillId="0" borderId="1" xfId="0" applyFont="1" applyBorder="1" applyAlignment="1">
      <alignment horizontal="left"/>
    </xf>
    <xf numFmtId="0" fontId="1" fillId="4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1" fillId="0" borderId="3" xfId="0" applyFont="1" applyBorder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3" xfId="0" applyFont="1" applyFill="1" applyBorder="1" applyAlignment="1">
      <alignment vertical="center"/>
    </xf>
    <xf numFmtId="9" fontId="1" fillId="0" borderId="3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9" fontId="1" fillId="0" borderId="2" xfId="0" applyNumberFormat="1" applyFont="1" applyBorder="1" applyAlignment="1">
      <alignment horizontal="center" vertical="center"/>
    </xf>
    <xf numFmtId="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000"/>
      <color rgb="FF754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1372C-8DD7-D24A-A2CD-8242F2A31BE3}">
  <dimension ref="E2:W66"/>
  <sheetViews>
    <sheetView showGridLines="0" tabSelected="1" zoomScale="59" workbookViewId="0">
      <selection activeCell="M9" sqref="M9"/>
    </sheetView>
  </sheetViews>
  <sheetFormatPr baseColWidth="10" defaultRowHeight="47" x14ac:dyDescent="0.55000000000000004"/>
  <cols>
    <col min="1" max="4" width="10.83203125" style="1"/>
    <col min="5" max="5" width="53" style="1" bestFit="1" customWidth="1"/>
    <col min="6" max="6" width="43.83203125" style="1" customWidth="1"/>
    <col min="7" max="7" width="45" style="1" customWidth="1"/>
    <col min="8" max="8" width="113.33203125" style="1" bestFit="1" customWidth="1"/>
    <col min="9" max="11" width="10.83203125" style="1"/>
    <col min="12" max="12" width="117.5" style="1" customWidth="1"/>
    <col min="13" max="13" width="49.83203125" style="1" customWidth="1"/>
    <col min="14" max="14" width="28.33203125" style="1" customWidth="1"/>
    <col min="15" max="15" width="26.1640625" style="1" customWidth="1"/>
    <col min="16" max="16" width="28.33203125" style="1" customWidth="1"/>
    <col min="17" max="18" width="10.83203125" style="1"/>
    <col min="19" max="19" width="17.83203125" style="1" customWidth="1"/>
    <col min="20" max="20" width="47.5" style="1" customWidth="1"/>
    <col min="21" max="21" width="48.33203125" style="1" customWidth="1"/>
    <col min="22" max="22" width="52.6640625" style="1" customWidth="1"/>
    <col min="23" max="16384" width="10.83203125" style="1"/>
  </cols>
  <sheetData>
    <row r="2" spans="5:22" ht="48" thickBot="1" x14ac:dyDescent="0.6"/>
    <row r="3" spans="5:22" ht="49" thickTop="1" thickBot="1" x14ac:dyDescent="0.6">
      <c r="S3" s="26" t="s">
        <v>59</v>
      </c>
      <c r="T3" s="26"/>
      <c r="U3" s="26"/>
      <c r="V3" s="26"/>
    </row>
    <row r="4" spans="5:22" ht="49" thickTop="1" thickBot="1" x14ac:dyDescent="0.6">
      <c r="S4" s="19"/>
      <c r="T4" s="25"/>
      <c r="U4" s="20" t="s">
        <v>57</v>
      </c>
      <c r="V4" s="21">
        <v>7.0000000000000007E-2</v>
      </c>
    </row>
    <row r="5" spans="5:22" ht="49" thickTop="1" thickBot="1" x14ac:dyDescent="0.6">
      <c r="E5" s="31" t="s">
        <v>90</v>
      </c>
      <c r="F5" s="32"/>
      <c r="S5" s="19"/>
      <c r="T5" s="25"/>
      <c r="U5" s="22" t="s">
        <v>58</v>
      </c>
      <c r="V5" s="23">
        <v>0.12</v>
      </c>
    </row>
    <row r="6" spans="5:22" ht="49" thickTop="1" thickBot="1" x14ac:dyDescent="0.6">
      <c r="E6" s="17" t="s">
        <v>3</v>
      </c>
      <c r="F6" s="17" t="s">
        <v>13</v>
      </c>
      <c r="L6" s="26" t="s">
        <v>50</v>
      </c>
      <c r="M6" s="26"/>
      <c r="S6" s="18" t="s">
        <v>0</v>
      </c>
      <c r="T6" s="18" t="s">
        <v>56</v>
      </c>
      <c r="U6" s="24" t="s">
        <v>7</v>
      </c>
      <c r="V6" s="18" t="s">
        <v>2</v>
      </c>
    </row>
    <row r="7" spans="5:22" ht="49" thickTop="1" thickBot="1" x14ac:dyDescent="0.6">
      <c r="E7" s="4" t="s">
        <v>0</v>
      </c>
      <c r="F7" s="4">
        <v>30</v>
      </c>
      <c r="L7" s="4" t="s">
        <v>51</v>
      </c>
      <c r="M7" s="4">
        <f>F7</f>
        <v>30</v>
      </c>
      <c r="S7" s="3">
        <v>30</v>
      </c>
      <c r="T7" s="9">
        <f>F22</f>
        <v>405900</v>
      </c>
      <c r="U7" s="9">
        <f>F23</f>
        <v>10500</v>
      </c>
      <c r="V7" s="11">
        <f>FV(NOMINAL($V$5,12)/12,12,-U7,-T7)</f>
        <v>587396.2280377096</v>
      </c>
    </row>
    <row r="8" spans="5:22" ht="49" thickTop="1" thickBot="1" x14ac:dyDescent="0.6">
      <c r="E8" s="4" t="s">
        <v>9</v>
      </c>
      <c r="F8" s="5">
        <v>69000</v>
      </c>
      <c r="L8" s="4" t="s">
        <v>52</v>
      </c>
      <c r="M8" s="14">
        <v>43</v>
      </c>
      <c r="S8" s="3">
        <f>IF(S7&lt;$M$8,S7+1, "NIL")</f>
        <v>31</v>
      </c>
      <c r="T8" s="11">
        <f>IF(S8= "NIL",0,V7)</f>
        <v>587396.2280377096</v>
      </c>
      <c r="U8" s="9">
        <f>IF(S8= "NIL",0,(1+$V$4)*U7)</f>
        <v>11235</v>
      </c>
      <c r="V8" s="11">
        <f>IF(S8= "NIL",0,FV(NOMINAL($V$5,12)/12,12,-U8,-T8))</f>
        <v>799967.17940258421</v>
      </c>
    </row>
    <row r="9" spans="5:22" ht="49" thickTop="1" thickBot="1" x14ac:dyDescent="0.6">
      <c r="E9" s="4" t="s">
        <v>14</v>
      </c>
      <c r="F9" s="5">
        <v>29000</v>
      </c>
      <c r="L9" s="4" t="s">
        <v>55</v>
      </c>
      <c r="M9" s="5">
        <v>9500</v>
      </c>
      <c r="N9" s="1" t="s">
        <v>92</v>
      </c>
      <c r="S9" s="3">
        <f t="shared" ref="S9:S20" si="0">IF(S8&lt;$M$8,S8+1, "NIL")</f>
        <v>32</v>
      </c>
      <c r="T9" s="11">
        <f t="shared" ref="T9:T17" si="1">IF(S9= "NIL",0,V8)</f>
        <v>799967.17940258421</v>
      </c>
      <c r="U9" s="9">
        <f t="shared" ref="U9:U17" si="2">IF(S9= "NIL",0,(1+$V$4)*U8)</f>
        <v>12021.45</v>
      </c>
      <c r="V9" s="11">
        <f t="shared" ref="V9:V17" si="3">IF(S9= "NIL",0,FV(NOMINAL($V$5,12)/12,12,-U9,-T9))</f>
        <v>1047992.4832112684</v>
      </c>
    </row>
    <row r="10" spans="5:22" ht="49" thickTop="1" thickBot="1" x14ac:dyDescent="0.6">
      <c r="E10" s="4" t="s">
        <v>18</v>
      </c>
      <c r="F10" s="5">
        <v>18000</v>
      </c>
      <c r="L10" s="4" t="s">
        <v>6</v>
      </c>
      <c r="M10" s="8">
        <v>7.0000000000000007E-2</v>
      </c>
      <c r="S10" s="3">
        <f t="shared" si="0"/>
        <v>33</v>
      </c>
      <c r="T10" s="11">
        <f t="shared" si="1"/>
        <v>1047992.4832112684</v>
      </c>
      <c r="U10" s="9">
        <f t="shared" si="2"/>
        <v>12862.951500000001</v>
      </c>
      <c r="V10" s="11">
        <f t="shared" si="3"/>
        <v>1336422.8704366214</v>
      </c>
    </row>
    <row r="11" spans="5:22" ht="49" thickTop="1" thickBot="1" x14ac:dyDescent="0.6">
      <c r="L11" s="4" t="s">
        <v>93</v>
      </c>
      <c r="M11" s="10">
        <f>FV(M10,(M8-M7),0,-M9)</f>
        <v>22893.527501786772</v>
      </c>
      <c r="S11" s="3">
        <f t="shared" si="0"/>
        <v>34</v>
      </c>
      <c r="T11" s="11">
        <f t="shared" si="1"/>
        <v>1336422.8704366214</v>
      </c>
      <c r="U11" s="9">
        <f t="shared" si="2"/>
        <v>13763.358105000001</v>
      </c>
      <c r="V11" s="11">
        <f t="shared" si="3"/>
        <v>1670851.8943758169</v>
      </c>
    </row>
    <row r="12" spans="5:22" ht="49" thickTop="1" thickBot="1" x14ac:dyDescent="0.6">
      <c r="E12" s="26" t="s">
        <v>10</v>
      </c>
      <c r="F12" s="26"/>
      <c r="G12" s="26"/>
      <c r="L12" s="26" t="s">
        <v>53</v>
      </c>
      <c r="M12" s="26"/>
      <c r="S12" s="3">
        <f t="shared" si="0"/>
        <v>35</v>
      </c>
      <c r="T12" s="11">
        <f t="shared" si="1"/>
        <v>1670851.8943758169</v>
      </c>
      <c r="U12" s="9">
        <f t="shared" si="2"/>
        <v>14726.793172350002</v>
      </c>
      <c r="V12" s="11">
        <f t="shared" si="3"/>
        <v>2057596.4807517924</v>
      </c>
    </row>
    <row r="13" spans="5:22" ht="49" thickTop="1" thickBot="1" x14ac:dyDescent="0.6">
      <c r="E13" s="16" t="s">
        <v>15</v>
      </c>
      <c r="F13" s="15" t="s">
        <v>16</v>
      </c>
      <c r="G13" s="15" t="s">
        <v>17</v>
      </c>
      <c r="L13" s="4" t="s">
        <v>4</v>
      </c>
      <c r="M13" s="4">
        <f>M8</f>
        <v>43</v>
      </c>
      <c r="S13" s="3">
        <f t="shared" si="0"/>
        <v>36</v>
      </c>
      <c r="T13" s="11">
        <f t="shared" si="1"/>
        <v>2057596.4807517924</v>
      </c>
      <c r="U13" s="9">
        <f t="shared" si="2"/>
        <v>15757.668694414504</v>
      </c>
      <c r="V13" s="11">
        <f t="shared" si="3"/>
        <v>2503787.3826264469</v>
      </c>
    </row>
    <row r="14" spans="5:22" ht="49" thickTop="1" thickBot="1" x14ac:dyDescent="0.6">
      <c r="E14" s="4" t="s">
        <v>12</v>
      </c>
      <c r="F14" s="5">
        <v>1000000</v>
      </c>
      <c r="G14" s="5">
        <v>18000</v>
      </c>
      <c r="L14" s="4" t="s">
        <v>54</v>
      </c>
      <c r="M14" s="4">
        <v>60</v>
      </c>
      <c r="S14" s="3">
        <f t="shared" si="0"/>
        <v>37</v>
      </c>
      <c r="T14" s="11">
        <f t="shared" si="1"/>
        <v>2503787.3826264469</v>
      </c>
      <c r="U14" s="9">
        <f t="shared" si="2"/>
        <v>16860.705503023521</v>
      </c>
      <c r="V14" s="11">
        <f t="shared" si="3"/>
        <v>3017470.7454189709</v>
      </c>
    </row>
    <row r="15" spans="5:22" ht="49" thickTop="1" thickBot="1" x14ac:dyDescent="0.6">
      <c r="E15" s="4" t="s">
        <v>11</v>
      </c>
      <c r="F15" s="5">
        <v>10000000</v>
      </c>
      <c r="G15" s="5">
        <v>17000</v>
      </c>
      <c r="L15" s="4" t="s">
        <v>1</v>
      </c>
      <c r="M15" s="8">
        <v>0.08</v>
      </c>
      <c r="S15" s="3">
        <f t="shared" si="0"/>
        <v>38</v>
      </c>
      <c r="T15" s="11">
        <f t="shared" si="1"/>
        <v>3017470.7454189709</v>
      </c>
      <c r="U15" s="9">
        <f t="shared" si="2"/>
        <v>18040.954888235166</v>
      </c>
      <c r="V15" s="11">
        <f t="shared" si="3"/>
        <v>3607722.133128013</v>
      </c>
    </row>
    <row r="16" spans="5:22" ht="49" thickTop="1" thickBot="1" x14ac:dyDescent="0.6">
      <c r="L16" s="4" t="s">
        <v>80</v>
      </c>
      <c r="M16" s="12">
        <f>PV(NOMINAL((1+M15)/(1+M10)-1,12)/12,(M14-M13)*12,-M11,0)</f>
        <v>4318045.131165551</v>
      </c>
      <c r="N16" s="1" t="s">
        <v>94</v>
      </c>
      <c r="S16" s="3">
        <f t="shared" si="0"/>
        <v>39</v>
      </c>
      <c r="T16" s="11">
        <f t="shared" si="1"/>
        <v>3607722.133128013</v>
      </c>
      <c r="U16" s="9">
        <f t="shared" si="2"/>
        <v>19303.82173041163</v>
      </c>
      <c r="V16" s="11">
        <f t="shared" si="3"/>
        <v>4284774.5302402545</v>
      </c>
    </row>
    <row r="17" spans="5:23" ht="49" thickTop="1" thickBot="1" x14ac:dyDescent="0.6">
      <c r="E17" s="26" t="s">
        <v>37</v>
      </c>
      <c r="F17" s="26"/>
      <c r="G17" s="26"/>
      <c r="H17" s="26"/>
      <c r="L17" s="4" t="s">
        <v>60</v>
      </c>
      <c r="M17" s="10">
        <f>FV(M10,M14-M7,0,-M9)</f>
        <v>72316.422905289292</v>
      </c>
      <c r="S17" s="3">
        <f t="shared" si="0"/>
        <v>40</v>
      </c>
      <c r="T17" s="11">
        <f t="shared" si="1"/>
        <v>4284774.5302402545</v>
      </c>
      <c r="U17" s="9">
        <f t="shared" si="2"/>
        <v>20655.089251540445</v>
      </c>
      <c r="V17" s="11">
        <f t="shared" si="3"/>
        <v>5060162.016885547</v>
      </c>
      <c r="W17" s="1" t="s">
        <v>98</v>
      </c>
    </row>
    <row r="18" spans="5:23" ht="49" thickTop="1" thickBot="1" x14ac:dyDescent="0.6">
      <c r="E18" s="4" t="s">
        <v>19</v>
      </c>
      <c r="F18" s="5">
        <v>1130000</v>
      </c>
      <c r="G18" s="6">
        <v>0.1125</v>
      </c>
      <c r="H18" s="4" t="s">
        <v>20</v>
      </c>
      <c r="L18" s="4" t="s">
        <v>76</v>
      </c>
      <c r="M18" s="14">
        <v>85</v>
      </c>
      <c r="S18" s="3">
        <f t="shared" si="0"/>
        <v>41</v>
      </c>
      <c r="T18" s="11">
        <f t="shared" ref="T18:T20" si="4">IF(S18= "NIL",0,V17)</f>
        <v>5060162.016885547</v>
      </c>
      <c r="U18" s="9">
        <f t="shared" ref="U18:U20" si="5">IF(S18= "NIL",0,(1+$V$4)*U17)</f>
        <v>22100.945499148278</v>
      </c>
      <c r="V18" s="11">
        <f t="shared" ref="V18:V20" si="6">IF(S18= "NIL",0,FV(NOMINAL($V$5,12)/12,12,-U18,-T18))</f>
        <v>5946881.0199394282</v>
      </c>
    </row>
    <row r="19" spans="5:23" ht="49" thickTop="1" thickBot="1" x14ac:dyDescent="0.6">
      <c r="F19" s="2"/>
      <c r="G19" s="7"/>
      <c r="L19" s="4" t="s">
        <v>77</v>
      </c>
      <c r="M19" s="10">
        <f>PV(NOMINAL((1+M15)/(1+M10)-1,12)/12,(M18-M14)*12,-M17,0)</f>
        <v>19349438.549860578</v>
      </c>
      <c r="N19" s="1" t="s">
        <v>95</v>
      </c>
      <c r="S19" s="3">
        <f t="shared" si="0"/>
        <v>42</v>
      </c>
      <c r="T19" s="11">
        <f t="shared" si="4"/>
        <v>5946881.0199394282</v>
      </c>
      <c r="U19" s="9">
        <f t="shared" si="5"/>
        <v>23648.011684088659</v>
      </c>
      <c r="V19" s="11">
        <f t="shared" si="6"/>
        <v>6959571.2726317076</v>
      </c>
    </row>
    <row r="20" spans="5:23" ht="49" thickTop="1" thickBot="1" x14ac:dyDescent="0.6">
      <c r="E20" s="26" t="s">
        <v>38</v>
      </c>
      <c r="F20" s="26"/>
      <c r="G20" s="26"/>
      <c r="S20" s="3">
        <f t="shared" si="0"/>
        <v>43</v>
      </c>
      <c r="T20" s="11">
        <f t="shared" si="4"/>
        <v>6959571.2726317076</v>
      </c>
      <c r="U20" s="9">
        <f t="shared" si="5"/>
        <v>25303.372501974867</v>
      </c>
      <c r="V20" s="11">
        <f t="shared" si="6"/>
        <v>8114718.8727680305</v>
      </c>
      <c r="W20" s="1" t="s">
        <v>98</v>
      </c>
    </row>
    <row r="21" spans="5:23" ht="49" thickTop="1" thickBot="1" x14ac:dyDescent="0.6">
      <c r="E21" s="15" t="s">
        <v>39</v>
      </c>
      <c r="F21" s="15" t="s">
        <v>40</v>
      </c>
      <c r="G21" s="15" t="s">
        <v>41</v>
      </c>
      <c r="L21" s="26" t="s">
        <v>70</v>
      </c>
      <c r="M21" s="26"/>
    </row>
    <row r="22" spans="5:23" ht="49" thickTop="1" thickBot="1" x14ac:dyDescent="0.6">
      <c r="E22" s="4" t="s">
        <v>21</v>
      </c>
      <c r="F22" s="5">
        <f>165000+97500+133000+10400</f>
        <v>405900</v>
      </c>
      <c r="G22" s="4"/>
      <c r="L22" s="4" t="s">
        <v>56</v>
      </c>
      <c r="M22" s="5">
        <f>F26</f>
        <v>147000</v>
      </c>
      <c r="T22" s="26" t="s">
        <v>89</v>
      </c>
      <c r="U22" s="26"/>
      <c r="V22" s="26"/>
    </row>
    <row r="23" spans="5:23" ht="49" thickTop="1" thickBot="1" x14ac:dyDescent="0.6">
      <c r="E23" s="4" t="s">
        <v>24</v>
      </c>
      <c r="F23" s="5">
        <f>3500+3500+2500+1000</f>
        <v>10500</v>
      </c>
      <c r="G23" s="5">
        <v>2000</v>
      </c>
      <c r="L23" s="4" t="s">
        <v>71</v>
      </c>
      <c r="M23" s="5">
        <f>F27</f>
        <v>4250</v>
      </c>
      <c r="T23" s="27" t="s">
        <v>79</v>
      </c>
      <c r="U23" s="28"/>
      <c r="V23" s="10">
        <f>MAX(V7:V20)-M16</f>
        <v>3796673.7416024795</v>
      </c>
      <c r="W23" s="1" t="s">
        <v>99</v>
      </c>
    </row>
    <row r="24" spans="5:23" ht="49" thickTop="1" thickBot="1" x14ac:dyDescent="0.6">
      <c r="E24" s="4" t="s">
        <v>22</v>
      </c>
      <c r="F24" s="5">
        <v>244000</v>
      </c>
      <c r="G24" s="5"/>
      <c r="L24" s="4" t="s">
        <v>72</v>
      </c>
      <c r="M24" s="4">
        <v>40</v>
      </c>
      <c r="T24" s="29" t="s">
        <v>1</v>
      </c>
      <c r="U24" s="30"/>
      <c r="V24" s="8">
        <v>0.12</v>
      </c>
    </row>
    <row r="25" spans="5:23" ht="49" thickTop="1" thickBot="1" x14ac:dyDescent="0.6">
      <c r="E25" s="4" t="s">
        <v>23</v>
      </c>
      <c r="F25" s="5">
        <v>2800</v>
      </c>
      <c r="G25" s="5">
        <v>700</v>
      </c>
      <c r="L25" s="4" t="s">
        <v>51</v>
      </c>
      <c r="M25" s="4">
        <f>M7</f>
        <v>30</v>
      </c>
      <c r="T25" s="29" t="s">
        <v>81</v>
      </c>
      <c r="U25" s="30"/>
      <c r="V25" s="4">
        <v>60</v>
      </c>
    </row>
    <row r="26" spans="5:23" ht="49" thickTop="1" thickBot="1" x14ac:dyDescent="0.6">
      <c r="E26" s="4" t="s">
        <v>25</v>
      </c>
      <c r="F26" s="5">
        <v>147000</v>
      </c>
      <c r="G26" s="4"/>
      <c r="L26" s="4" t="s">
        <v>1</v>
      </c>
      <c r="M26" s="8">
        <v>0.1</v>
      </c>
      <c r="T26" s="29" t="s">
        <v>84</v>
      </c>
      <c r="U26" s="30"/>
      <c r="V26" s="4">
        <f>M13</f>
        <v>43</v>
      </c>
    </row>
    <row r="27" spans="5:23" ht="49" thickTop="1" thickBot="1" x14ac:dyDescent="0.6">
      <c r="E27" s="4" t="s">
        <v>26</v>
      </c>
      <c r="F27" s="5">
        <v>4250</v>
      </c>
      <c r="G27" s="4"/>
      <c r="L27" s="4" t="s">
        <v>73</v>
      </c>
      <c r="M27" s="10">
        <f>FV(M26,(M24-M25),-M23,-M22)</f>
        <v>449014.19618895039</v>
      </c>
      <c r="T27" s="13" t="s">
        <v>82</v>
      </c>
      <c r="U27" s="13"/>
      <c r="V27" s="4">
        <f>V25-V26</f>
        <v>17</v>
      </c>
    </row>
    <row r="28" spans="5:23" ht="49" thickTop="1" thickBot="1" x14ac:dyDescent="0.6">
      <c r="E28" s="4" t="s">
        <v>27</v>
      </c>
      <c r="F28" s="5">
        <v>35000</v>
      </c>
      <c r="G28" s="4"/>
      <c r="L28" s="4" t="s">
        <v>74</v>
      </c>
      <c r="M28" s="5">
        <v>500</v>
      </c>
      <c r="T28" s="29" t="s">
        <v>83</v>
      </c>
      <c r="U28" s="30"/>
      <c r="V28" s="10">
        <f>FV(V24,V27,0,-V23)</f>
        <v>26068117.149802938</v>
      </c>
      <c r="W28" s="1" t="s">
        <v>100</v>
      </c>
    </row>
    <row r="29" spans="5:23" ht="49" thickTop="1" thickBot="1" x14ac:dyDescent="0.6">
      <c r="E29" s="4" t="s">
        <v>46</v>
      </c>
      <c r="F29" s="5">
        <v>200000</v>
      </c>
      <c r="G29" s="4"/>
      <c r="L29" s="4" t="s">
        <v>75</v>
      </c>
      <c r="M29" s="4">
        <v>60</v>
      </c>
    </row>
    <row r="30" spans="5:23" ht="49" thickTop="1" thickBot="1" x14ac:dyDescent="0.6">
      <c r="L30" s="4" t="s">
        <v>78</v>
      </c>
      <c r="M30" s="10">
        <f>FV(M26,M29-M24,-M28,-M27)</f>
        <v>3049380.4818542711</v>
      </c>
      <c r="N30" s="1" t="s">
        <v>96</v>
      </c>
      <c r="T30" s="33" t="s">
        <v>85</v>
      </c>
      <c r="U30" s="33"/>
      <c r="V30" s="10">
        <f>M30+V28-M19</f>
        <v>9768059.0817966312</v>
      </c>
      <c r="W30" s="1" t="s">
        <v>101</v>
      </c>
    </row>
    <row r="31" spans="5:23" ht="49" thickTop="1" thickBot="1" x14ac:dyDescent="0.6">
      <c r="E31" s="26" t="s">
        <v>28</v>
      </c>
      <c r="F31" s="26"/>
      <c r="G31" s="26"/>
    </row>
    <row r="32" spans="5:23" ht="49" thickTop="1" thickBot="1" x14ac:dyDescent="0.6">
      <c r="E32" s="15" t="s">
        <v>39</v>
      </c>
      <c r="F32" s="15" t="s">
        <v>42</v>
      </c>
      <c r="G32" s="16" t="s">
        <v>43</v>
      </c>
      <c r="L32" s="26" t="s">
        <v>86</v>
      </c>
      <c r="M32" s="26"/>
    </row>
    <row r="33" spans="5:22" ht="49" thickTop="1" thickBot="1" x14ac:dyDescent="0.6">
      <c r="E33" s="4" t="s">
        <v>29</v>
      </c>
      <c r="F33" s="4" t="s">
        <v>30</v>
      </c>
      <c r="G33" s="5">
        <f>1800000*5</f>
        <v>9000000</v>
      </c>
      <c r="H33" s="1" t="s">
        <v>91</v>
      </c>
      <c r="L33" s="4" t="s">
        <v>56</v>
      </c>
      <c r="M33" s="5">
        <f>F24</f>
        <v>244000</v>
      </c>
    </row>
    <row r="34" spans="5:22" ht="49" thickTop="1" thickBot="1" x14ac:dyDescent="0.6">
      <c r="E34" s="4" t="s">
        <v>31</v>
      </c>
      <c r="F34" s="4" t="s">
        <v>32</v>
      </c>
      <c r="G34" s="4" t="s">
        <v>44</v>
      </c>
      <c r="L34" s="4" t="s">
        <v>7</v>
      </c>
      <c r="M34" s="5">
        <f>F25</f>
        <v>2800</v>
      </c>
    </row>
    <row r="35" spans="5:22" ht="49" thickTop="1" thickBot="1" x14ac:dyDescent="0.6">
      <c r="E35" s="4" t="s">
        <v>33</v>
      </c>
      <c r="F35" s="4" t="s">
        <v>34</v>
      </c>
      <c r="G35" s="4" t="s">
        <v>44</v>
      </c>
      <c r="L35" s="4" t="s">
        <v>1</v>
      </c>
      <c r="M35" s="8">
        <v>0.12</v>
      </c>
    </row>
    <row r="36" spans="5:22" ht="49" thickTop="1" thickBot="1" x14ac:dyDescent="0.6">
      <c r="L36" s="4" t="s">
        <v>87</v>
      </c>
      <c r="M36" s="4">
        <f>M8</f>
        <v>43</v>
      </c>
    </row>
    <row r="37" spans="5:22" ht="49" thickTop="1" thickBot="1" x14ac:dyDescent="0.6">
      <c r="E37" s="26" t="s">
        <v>5</v>
      </c>
      <c r="F37" s="26"/>
      <c r="G37" s="26"/>
      <c r="H37" s="26"/>
      <c r="L37" s="4" t="s">
        <v>88</v>
      </c>
      <c r="M37" s="10">
        <f>FV(NOMINAL(M35,12)/12,(M36-M7)*12,-M34,-M33)</f>
        <v>2057208.5199396885</v>
      </c>
      <c r="N37" s="1" t="s">
        <v>97</v>
      </c>
    </row>
    <row r="38" spans="5:22" ht="49" thickTop="1" thickBot="1" x14ac:dyDescent="0.6">
      <c r="E38" s="16" t="s">
        <v>15</v>
      </c>
      <c r="F38" s="16" t="s">
        <v>35</v>
      </c>
      <c r="G38" s="16" t="s">
        <v>48</v>
      </c>
      <c r="H38" s="16" t="s">
        <v>15</v>
      </c>
    </row>
    <row r="39" spans="5:22" ht="49" thickTop="1" thickBot="1" x14ac:dyDescent="0.6">
      <c r="E39" s="4" t="s">
        <v>36</v>
      </c>
      <c r="F39" s="5">
        <v>2500000</v>
      </c>
      <c r="G39" s="4">
        <v>2030</v>
      </c>
      <c r="H39" s="4" t="s">
        <v>45</v>
      </c>
    </row>
    <row r="40" spans="5:22" ht="49" thickTop="1" thickBot="1" x14ac:dyDescent="0.6">
      <c r="E40" s="4" t="s">
        <v>47</v>
      </c>
      <c r="F40" s="4" t="s">
        <v>44</v>
      </c>
      <c r="G40" s="4" t="s">
        <v>49</v>
      </c>
    </row>
    <row r="41" spans="5:22" ht="49" thickTop="1" thickBot="1" x14ac:dyDescent="0.6"/>
    <row r="42" spans="5:22" ht="49" thickTop="1" thickBot="1" x14ac:dyDescent="0.6">
      <c r="L42" s="34" t="s">
        <v>61</v>
      </c>
      <c r="M42" s="34"/>
      <c r="S42" s="26" t="s">
        <v>61</v>
      </c>
      <c r="T42" s="26"/>
      <c r="U42" s="26"/>
      <c r="V42" s="26"/>
    </row>
    <row r="43" spans="5:22" ht="49" thickTop="1" thickBot="1" x14ac:dyDescent="0.6">
      <c r="L43" s="4" t="s">
        <v>51</v>
      </c>
      <c r="M43" s="4">
        <v>0</v>
      </c>
      <c r="S43" s="19"/>
      <c r="T43" s="25"/>
      <c r="U43" s="20" t="s">
        <v>57</v>
      </c>
      <c r="V43" s="21">
        <v>0</v>
      </c>
    </row>
    <row r="44" spans="5:22" ht="49" thickTop="1" thickBot="1" x14ac:dyDescent="0.6">
      <c r="L44" s="4" t="s">
        <v>62</v>
      </c>
      <c r="M44" s="4">
        <v>19</v>
      </c>
      <c r="S44" s="19"/>
      <c r="T44" s="25"/>
      <c r="U44" s="22" t="s">
        <v>1</v>
      </c>
      <c r="V44" s="23">
        <v>0.12</v>
      </c>
    </row>
    <row r="45" spans="5:22" ht="49" thickTop="1" thickBot="1" x14ac:dyDescent="0.6">
      <c r="L45" s="4" t="s">
        <v>64</v>
      </c>
      <c r="M45" s="8">
        <v>0.35</v>
      </c>
      <c r="S45" s="18" t="s">
        <v>0</v>
      </c>
      <c r="T45" s="18" t="s">
        <v>56</v>
      </c>
      <c r="U45" s="24" t="s">
        <v>7</v>
      </c>
      <c r="V45" s="18" t="s">
        <v>2</v>
      </c>
    </row>
    <row r="46" spans="5:22" ht="49" thickTop="1" thickBot="1" x14ac:dyDescent="0.6">
      <c r="L46" s="4" t="s">
        <v>63</v>
      </c>
      <c r="M46" s="5">
        <f>F9</f>
        <v>29000</v>
      </c>
      <c r="S46" s="3">
        <v>0</v>
      </c>
      <c r="T46" s="9">
        <f>M48</f>
        <v>200000</v>
      </c>
      <c r="U46" s="9">
        <f>M47</f>
        <v>10150</v>
      </c>
      <c r="V46" s="11">
        <f t="shared" ref="V46:V65" si="7">FV(NOMINAL($V$44,12)/12,12,-U46,-T46)</f>
        <v>352361.95376978564</v>
      </c>
    </row>
    <row r="47" spans="5:22" ht="49" thickTop="1" thickBot="1" x14ac:dyDescent="0.6">
      <c r="L47" s="4" t="s">
        <v>65</v>
      </c>
      <c r="M47" s="5">
        <f>M46*M45</f>
        <v>10150</v>
      </c>
      <c r="S47" s="3">
        <v>1</v>
      </c>
      <c r="T47" s="11">
        <f>V46</f>
        <v>352361.95376978564</v>
      </c>
      <c r="U47" s="9">
        <f t="shared" ref="U47:U65" si="8">(1+$V$43)*U46</f>
        <v>10150</v>
      </c>
      <c r="V47" s="11">
        <f t="shared" si="7"/>
        <v>523007.34199194575</v>
      </c>
    </row>
    <row r="48" spans="5:22" ht="49" thickTop="1" thickBot="1" x14ac:dyDescent="0.6">
      <c r="L48" s="4" t="s">
        <v>66</v>
      </c>
      <c r="M48" s="5">
        <f>F29</f>
        <v>200000</v>
      </c>
      <c r="S48" s="3">
        <v>2</v>
      </c>
      <c r="T48" s="11">
        <f t="shared" ref="T48:T56" si="9">V47</f>
        <v>523007.34199194575</v>
      </c>
      <c r="U48" s="9">
        <f t="shared" si="8"/>
        <v>10150</v>
      </c>
      <c r="V48" s="11">
        <f t="shared" si="7"/>
        <v>714130.17680076533</v>
      </c>
    </row>
    <row r="49" spans="12:22" ht="49" thickTop="1" thickBot="1" x14ac:dyDescent="0.6">
      <c r="S49" s="3">
        <v>3</v>
      </c>
      <c r="T49" s="11">
        <f t="shared" si="9"/>
        <v>714130.17680076533</v>
      </c>
      <c r="U49" s="9">
        <f t="shared" si="8"/>
        <v>10150</v>
      </c>
      <c r="V49" s="11">
        <f t="shared" si="7"/>
        <v>928187.75178664352</v>
      </c>
    </row>
    <row r="50" spans="12:22" ht="49" thickTop="1" thickBot="1" x14ac:dyDescent="0.6">
      <c r="S50" s="3">
        <v>4</v>
      </c>
      <c r="T50" s="11">
        <f t="shared" si="9"/>
        <v>928187.75178664352</v>
      </c>
      <c r="U50" s="9">
        <f t="shared" si="8"/>
        <v>10150</v>
      </c>
      <c r="V50" s="11">
        <f t="shared" si="7"/>
        <v>1167932.2357708274</v>
      </c>
    </row>
    <row r="51" spans="12:22" ht="49" thickTop="1" thickBot="1" x14ac:dyDescent="0.6">
      <c r="S51" s="3">
        <v>5</v>
      </c>
      <c r="T51" s="11">
        <f t="shared" si="9"/>
        <v>1167932.2357708274</v>
      </c>
      <c r="U51" s="9">
        <f t="shared" si="8"/>
        <v>10150</v>
      </c>
      <c r="V51" s="11">
        <f t="shared" si="7"/>
        <v>1436446.0578331137</v>
      </c>
    </row>
    <row r="52" spans="12:22" ht="49" thickTop="1" thickBot="1" x14ac:dyDescent="0.6">
      <c r="S52" s="3">
        <v>6</v>
      </c>
      <c r="T52" s="11">
        <f t="shared" si="9"/>
        <v>1436446.0578331137</v>
      </c>
      <c r="U52" s="9">
        <f t="shared" si="8"/>
        <v>10150</v>
      </c>
      <c r="V52" s="11">
        <f t="shared" si="7"/>
        <v>1737181.5385428749</v>
      </c>
    </row>
    <row r="53" spans="12:22" ht="49" thickTop="1" thickBot="1" x14ac:dyDescent="0.6">
      <c r="S53" s="3">
        <v>7</v>
      </c>
      <c r="T53" s="11">
        <f t="shared" si="9"/>
        <v>1737181.5385428749</v>
      </c>
      <c r="U53" s="9">
        <f t="shared" si="8"/>
        <v>10150</v>
      </c>
      <c r="V53" s="11">
        <f t="shared" si="7"/>
        <v>2074005.2769378077</v>
      </c>
    </row>
    <row r="54" spans="12:22" ht="49" thickTop="1" thickBot="1" x14ac:dyDescent="0.6">
      <c r="S54" s="3">
        <v>8</v>
      </c>
      <c r="T54" s="11">
        <f t="shared" si="9"/>
        <v>2074005.2769378077</v>
      </c>
      <c r="U54" s="9">
        <f t="shared" si="8"/>
        <v>10150</v>
      </c>
      <c r="V54" s="11">
        <f t="shared" si="7"/>
        <v>2451247.8639401328</v>
      </c>
    </row>
    <row r="55" spans="12:22" ht="49" thickTop="1" thickBot="1" x14ac:dyDescent="0.6">
      <c r="S55" s="3">
        <v>9</v>
      </c>
      <c r="T55" s="11">
        <f t="shared" si="9"/>
        <v>2451247.8639401328</v>
      </c>
      <c r="U55" s="9">
        <f t="shared" si="8"/>
        <v>10150</v>
      </c>
      <c r="V55" s="11">
        <f t="shared" si="7"/>
        <v>2873759.5613827375</v>
      </c>
    </row>
    <row r="56" spans="12:22" ht="49" thickTop="1" thickBot="1" x14ac:dyDescent="0.6">
      <c r="S56" s="3">
        <v>10</v>
      </c>
      <c r="T56" s="11">
        <f t="shared" si="9"/>
        <v>2873759.5613827375</v>
      </c>
      <c r="U56" s="9">
        <f t="shared" si="8"/>
        <v>10150</v>
      </c>
      <c r="V56" s="11">
        <f t="shared" si="7"/>
        <v>3346972.6625184556</v>
      </c>
    </row>
    <row r="57" spans="12:22" ht="49" thickTop="1" thickBot="1" x14ac:dyDescent="0.6">
      <c r="S57" s="3">
        <v>11</v>
      </c>
      <c r="T57" s="11">
        <f t="shared" ref="T57:T61" si="10">V56</f>
        <v>3346972.6625184556</v>
      </c>
      <c r="U57" s="9">
        <f t="shared" si="8"/>
        <v>10150</v>
      </c>
      <c r="V57" s="11">
        <f t="shared" si="7"/>
        <v>3876971.3357904605</v>
      </c>
    </row>
    <row r="58" spans="12:22" ht="49" thickTop="1" thickBot="1" x14ac:dyDescent="0.6">
      <c r="S58" s="3">
        <v>12</v>
      </c>
      <c r="T58" s="11">
        <f t="shared" si="10"/>
        <v>3876971.3357904605</v>
      </c>
      <c r="U58" s="9">
        <f t="shared" si="8"/>
        <v>10150</v>
      </c>
      <c r="V58" s="11">
        <f t="shared" si="7"/>
        <v>4470569.8498551063</v>
      </c>
    </row>
    <row r="59" spans="12:22" ht="49" thickTop="1" thickBot="1" x14ac:dyDescent="0.6">
      <c r="S59" s="3">
        <v>13</v>
      </c>
      <c r="T59" s="11">
        <f t="shared" si="10"/>
        <v>4470569.8498551063</v>
      </c>
      <c r="U59" s="9">
        <f t="shared" si="8"/>
        <v>10150</v>
      </c>
      <c r="V59" s="11">
        <f t="shared" si="7"/>
        <v>5135400.1856075106</v>
      </c>
    </row>
    <row r="60" spans="12:22" ht="49" thickTop="1" thickBot="1" x14ac:dyDescent="0.6">
      <c r="S60" s="3">
        <v>14</v>
      </c>
      <c r="T60" s="11">
        <f t="shared" si="10"/>
        <v>5135400.1856075106</v>
      </c>
      <c r="U60" s="9">
        <f t="shared" si="8"/>
        <v>10150</v>
      </c>
      <c r="V60" s="11">
        <f t="shared" si="7"/>
        <v>5880010.161650205</v>
      </c>
    </row>
    <row r="61" spans="12:22" ht="49" thickTop="1" thickBot="1" x14ac:dyDescent="0.6">
      <c r="L61" s="31" t="s">
        <v>67</v>
      </c>
      <c r="M61" s="32"/>
      <c r="S61" s="3">
        <v>15</v>
      </c>
      <c r="T61" s="11">
        <f t="shared" si="10"/>
        <v>5880010.161650205</v>
      </c>
      <c r="U61" s="9">
        <f t="shared" si="8"/>
        <v>10150</v>
      </c>
      <c r="V61" s="11">
        <f t="shared" si="7"/>
        <v>6713973.3348180233</v>
      </c>
    </row>
    <row r="62" spans="12:22" ht="49" thickTop="1" thickBot="1" x14ac:dyDescent="0.6">
      <c r="L62" s="4" t="s">
        <v>8</v>
      </c>
      <c r="M62" s="4">
        <f>M44</f>
        <v>19</v>
      </c>
      <c r="S62" s="3">
        <v>16</v>
      </c>
      <c r="T62" s="11">
        <f t="shared" ref="T62:T65" si="11">V61</f>
        <v>6713973.3348180233</v>
      </c>
      <c r="U62" s="9">
        <f t="shared" si="8"/>
        <v>10150</v>
      </c>
      <c r="V62" s="11">
        <f t="shared" si="7"/>
        <v>7648012.0887659807</v>
      </c>
    </row>
    <row r="63" spans="12:22" ht="49" thickTop="1" thickBot="1" x14ac:dyDescent="0.6">
      <c r="L63" s="4" t="s">
        <v>68</v>
      </c>
      <c r="M63" s="8">
        <v>0.1</v>
      </c>
      <c r="S63" s="3">
        <v>17</v>
      </c>
      <c r="T63" s="11">
        <f t="shared" si="11"/>
        <v>7648012.0887659807</v>
      </c>
      <c r="U63" s="9">
        <f t="shared" si="8"/>
        <v>10150</v>
      </c>
      <c r="V63" s="11">
        <f t="shared" si="7"/>
        <v>8694135.4931876939</v>
      </c>
    </row>
    <row r="64" spans="12:22" ht="49" thickTop="1" thickBot="1" x14ac:dyDescent="0.6">
      <c r="L64" s="4" t="s">
        <v>69</v>
      </c>
      <c r="M64" s="10">
        <f>V65</f>
        <v>11178050.904646615</v>
      </c>
      <c r="S64" s="3">
        <v>18</v>
      </c>
      <c r="T64" s="11">
        <f t="shared" si="11"/>
        <v>8694135.4931876939</v>
      </c>
      <c r="U64" s="9">
        <f t="shared" si="8"/>
        <v>10150</v>
      </c>
      <c r="V64" s="11">
        <f t="shared" si="7"/>
        <v>9865793.7061400134</v>
      </c>
    </row>
    <row r="65" spans="12:22" ht="49" thickTop="1" thickBot="1" x14ac:dyDescent="0.6">
      <c r="L65" s="4" t="s">
        <v>56</v>
      </c>
      <c r="M65" s="10">
        <f>PV(M63,M62,0,-M64)</f>
        <v>1827700.644775755</v>
      </c>
      <c r="S65" s="3">
        <v>19</v>
      </c>
      <c r="T65" s="11">
        <f t="shared" si="11"/>
        <v>9865793.7061400134</v>
      </c>
      <c r="U65" s="9">
        <f t="shared" si="8"/>
        <v>10150</v>
      </c>
      <c r="V65" s="11">
        <f t="shared" si="7"/>
        <v>11178050.904646615</v>
      </c>
    </row>
    <row r="66" spans="12:22" ht="48" thickTop="1" x14ac:dyDescent="0.55000000000000004"/>
  </sheetData>
  <mergeCells count="23">
    <mergeCell ref="T4:T5"/>
    <mergeCell ref="S3:V3"/>
    <mergeCell ref="E12:G12"/>
    <mergeCell ref="T22:V22"/>
    <mergeCell ref="L42:M42"/>
    <mergeCell ref="S42:V42"/>
    <mergeCell ref="E5:F5"/>
    <mergeCell ref="E17:H17"/>
    <mergeCell ref="E20:G20"/>
    <mergeCell ref="E37:H37"/>
    <mergeCell ref="E31:G31"/>
    <mergeCell ref="L6:M6"/>
    <mergeCell ref="L12:M12"/>
    <mergeCell ref="T43:T44"/>
    <mergeCell ref="L21:M21"/>
    <mergeCell ref="T23:U23"/>
    <mergeCell ref="T24:U24"/>
    <mergeCell ref="L61:M61"/>
    <mergeCell ref="T25:U25"/>
    <mergeCell ref="T30:U30"/>
    <mergeCell ref="T26:U26"/>
    <mergeCell ref="T28:U28"/>
    <mergeCell ref="L32:M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Retirement by 40 - 43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2025-06-05T12:12:45Z</dcterms:created>
  <dcterms:modified xsi:type="dcterms:W3CDTF">2025-11-23T05:18:46Z</dcterms:modified>
</cp:coreProperties>
</file>