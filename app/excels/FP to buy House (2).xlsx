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B13CB7D9-AABA-AA46-AC84-8D1CBCBD5B5B}" xr6:coauthVersionLast="47" xr6:coauthVersionMax="47" xr10:uidLastSave="{00000000-0000-0000-0000-000000000000}"/>
  <bookViews>
    <workbookView xWindow="0" yWindow="1360" windowWidth="34560" windowHeight="19180" xr2:uid="{4F37378B-CC1B-EF48-A849-0111C2C0E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I14" i="1"/>
  <c r="W37" i="1" l="1"/>
  <c r="V37" i="1"/>
  <c r="U37" i="1"/>
  <c r="T37" i="1"/>
  <c r="L8" i="1"/>
  <c r="O7" i="1" s="1"/>
  <c r="S8" i="1"/>
  <c r="W8" i="1" s="1"/>
  <c r="S9" i="1" s="1"/>
  <c r="L17" i="1"/>
  <c r="L19" i="1" s="1"/>
  <c r="L22" i="1" s="1"/>
  <c r="T29" i="1" s="1"/>
  <c r="T38" i="1" s="1"/>
  <c r="I22" i="1"/>
  <c r="I23" i="1" s="1"/>
  <c r="T25" i="1" s="1"/>
  <c r="U34" i="1" s="1"/>
  <c r="O6" i="1"/>
  <c r="O5" i="1"/>
  <c r="L7" i="1"/>
  <c r="L5" i="1"/>
  <c r="I8" i="1"/>
  <c r="I10" i="1" s="1"/>
  <c r="I13" i="1" s="1"/>
  <c r="V12" i="1" s="1"/>
  <c r="E20" i="1"/>
  <c r="T10" i="1" s="1"/>
  <c r="V34" i="1" l="1"/>
  <c r="V38" i="1"/>
  <c r="T34" i="1"/>
  <c r="U38" i="1"/>
  <c r="W38" i="1"/>
  <c r="L9" i="1"/>
  <c r="O14" i="1" s="1"/>
  <c r="V15" i="1"/>
  <c r="V13" i="1"/>
  <c r="V16" i="1"/>
  <c r="V14" i="1"/>
  <c r="T24" i="1"/>
  <c r="T27" i="1"/>
  <c r="T26" i="1"/>
  <c r="O8" i="1"/>
  <c r="W35" i="1" l="1"/>
  <c r="V35" i="1"/>
  <c r="T35" i="1"/>
  <c r="U35" i="1"/>
  <c r="W36" i="1"/>
  <c r="U36" i="1"/>
  <c r="T36" i="1"/>
  <c r="V36" i="1"/>
  <c r="T33" i="1"/>
  <c r="U33" i="1"/>
  <c r="O10" i="1"/>
  <c r="O13" i="1" s="1"/>
  <c r="O15" i="1" s="1"/>
  <c r="T5" i="1"/>
  <c r="U39" i="1" l="1"/>
  <c r="T39" i="1"/>
  <c r="V39" i="1"/>
  <c r="W39" i="1"/>
  <c r="U27" i="1"/>
  <c r="U28" i="1"/>
  <c r="U29" i="1"/>
  <c r="U9" i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/>
  <c r="W9" i="1" l="1"/>
  <c r="S10" i="1" s="1"/>
  <c r="W10" i="1" s="1"/>
  <c r="S11" i="1" s="1"/>
  <c r="W11" i="1" s="1"/>
  <c r="S12" i="1" s="1"/>
  <c r="W12" i="1" s="1"/>
  <c r="S13" i="1" s="1"/>
  <c r="W13" i="1" l="1"/>
  <c r="S14" i="1" s="1"/>
  <c r="W14" i="1" l="1"/>
  <c r="S15" i="1" s="1"/>
  <c r="W15" i="1" l="1"/>
  <c r="S16" i="1" s="1"/>
  <c r="W16" i="1" l="1"/>
  <c r="S17" i="1" s="1"/>
  <c r="W17" i="1" l="1"/>
  <c r="S18" i="1" s="1"/>
  <c r="W18" i="1" l="1"/>
  <c r="S19" i="1" s="1"/>
  <c r="W19" i="1" l="1"/>
  <c r="S20" i="1" s="1"/>
  <c r="W20" i="1" l="1"/>
  <c r="S21" i="1" s="1"/>
  <c r="W21" i="1" l="1"/>
  <c r="S22" i="1" s="1"/>
  <c r="W22" i="1" s="1"/>
  <c r="S23" i="1" l="1"/>
  <c r="W23" i="1" s="1"/>
  <c r="X22" i="1"/>
  <c r="S24" i="1" l="1"/>
  <c r="W24" i="1" s="1"/>
  <c r="X23" i="1"/>
  <c r="S25" i="1" l="1"/>
  <c r="W25" i="1" s="1"/>
  <c r="X24" i="1"/>
  <c r="S26" i="1" l="1"/>
  <c r="W26" i="1" s="1"/>
  <c r="S27" i="1" s="1"/>
  <c r="W27" i="1" s="1"/>
  <c r="S28" i="1" s="1"/>
  <c r="X25" i="1"/>
  <c r="W28" i="1" l="1"/>
  <c r="S29" i="1" s="1"/>
  <c r="W29" i="1" l="1"/>
</calcChain>
</file>

<file path=xl/sharedStrings.xml><?xml version="1.0" encoding="utf-8"?>
<sst xmlns="http://schemas.openxmlformats.org/spreadsheetml/2006/main" count="72" uniqueCount="66">
  <si>
    <t>VPF</t>
  </si>
  <si>
    <t>Income</t>
  </si>
  <si>
    <t>NSC Scheme</t>
  </si>
  <si>
    <t xml:space="preserve">Stocks </t>
  </si>
  <si>
    <t>MF</t>
  </si>
  <si>
    <t>SIP</t>
  </si>
  <si>
    <t>Monthly Exp</t>
  </si>
  <si>
    <t>Current Land value</t>
  </si>
  <si>
    <t>Plan to buy in years</t>
  </si>
  <si>
    <t>Goal 1 buy land in 2 yrs</t>
  </si>
  <si>
    <t>Loan &amp; Others</t>
  </si>
  <si>
    <t>Expected Growth</t>
  </si>
  <si>
    <t>Corpus required to buy</t>
  </si>
  <si>
    <t>Goal 2 buy a car</t>
  </si>
  <si>
    <t>Current Cost</t>
  </si>
  <si>
    <t>Plan to buy after</t>
  </si>
  <si>
    <t xml:space="preserve">Aprox cost </t>
  </si>
  <si>
    <t>Down payment</t>
  </si>
  <si>
    <t>Loan Amount</t>
  </si>
  <si>
    <t>Aprox Rate of Interest</t>
  </si>
  <si>
    <t>Tenure</t>
  </si>
  <si>
    <t>Approx EMI</t>
  </si>
  <si>
    <t>VPF Corpus Calculation</t>
  </si>
  <si>
    <t>Monthly Contribution</t>
  </si>
  <si>
    <t>Expected Return</t>
  </si>
  <si>
    <t>Current Age</t>
  </si>
  <si>
    <t>Plan to retire by</t>
  </si>
  <si>
    <t>Corpus</t>
  </si>
  <si>
    <t>Current Expenses</t>
  </si>
  <si>
    <t>Retirement Plan</t>
  </si>
  <si>
    <t>Plans to Retire in Years</t>
  </si>
  <si>
    <t>Aprox Inflation</t>
  </si>
  <si>
    <t>Expense Post Retirement</t>
  </si>
  <si>
    <t>Life Expectancy</t>
  </si>
  <si>
    <t>Returns in Disburement Phase</t>
  </si>
  <si>
    <t>Corpus Required</t>
  </si>
  <si>
    <t>Year</t>
  </si>
  <si>
    <t>Begin Value</t>
  </si>
  <si>
    <t>SIP Investment</t>
  </si>
  <si>
    <t>Annual Withdrawal</t>
  </si>
  <si>
    <t>Monthly Withdrawal</t>
  </si>
  <si>
    <t>Accumulation from VPF</t>
  </si>
  <si>
    <t>Corpus Still Required</t>
  </si>
  <si>
    <t>Cost of education per year</t>
  </si>
  <si>
    <t>Need to be fund for years</t>
  </si>
  <si>
    <t>Inflation</t>
  </si>
  <si>
    <t>Current Age of the Child</t>
  </si>
  <si>
    <t>Age of the child funding Required</t>
  </si>
  <si>
    <t xml:space="preserve">Time Left </t>
  </si>
  <si>
    <t>Aprox cost per year</t>
  </si>
  <si>
    <t>Child Marriage Age</t>
  </si>
  <si>
    <t>time Left</t>
  </si>
  <si>
    <t>Aprox Cost</t>
  </si>
  <si>
    <t>End Value</t>
  </si>
  <si>
    <t>Age</t>
  </si>
  <si>
    <t>Step-up</t>
  </si>
  <si>
    <t>Return</t>
  </si>
  <si>
    <t>Planning to retire by</t>
  </si>
  <si>
    <t>Planning to Retire by</t>
  </si>
  <si>
    <t>Total</t>
  </si>
  <si>
    <t>Details</t>
  </si>
  <si>
    <t>Flow</t>
  </si>
  <si>
    <t xml:space="preserve"> Goal 3 Child Education</t>
  </si>
  <si>
    <t>Goal 4 Child Marriage</t>
  </si>
  <si>
    <t>Goal 5 Retirement Corpus Calculation</t>
  </si>
  <si>
    <t>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</si>
</sst>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5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theme="0"/>
      <name val="Aptos Narrow"/>
      <family val="2"/>
      <scheme val="minor"/>
    </font>
    <font>
      <b/>
      <sz val="36"/>
      <color theme="0"/>
      <name val="Aptos Narrow"/>
      <scheme val="minor"/>
    </font>
    <font>
      <b/>
      <sz val="36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54D18"/>
        <bgColor indexed="64"/>
      </patternFill>
    </fill>
    <fill>
      <patternFill patternType="solid">
        <fgColor rgb="FFF9E5B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D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0" fontId="3" fillId="2" borderId="3" xfId="0" applyFont="1" applyFill="1" applyBorder="1" applyProtection="1">
      <protection hidden="1"/>
    </xf>
    <xf numFmtId="0" fontId="1" fillId="0" borderId="3" xfId="0" applyFont="1" applyBorder="1" applyAlignment="1" applyProtection="1">
      <alignment horizontal="center"/>
      <protection hidden="1"/>
    </xf>
    <xf numFmtId="9" fontId="1" fillId="0" borderId="1" xfId="0" applyNumberFormat="1" applyFont="1" applyBorder="1" applyProtection="1">
      <protection hidden="1"/>
    </xf>
    <xf numFmtId="0" fontId="3" fillId="2" borderId="2" xfId="0" applyFont="1" applyFill="1" applyBorder="1" applyProtection="1">
      <protection hidden="1"/>
    </xf>
    <xf numFmtId="9" fontId="1" fillId="0" borderId="2" xfId="0" applyNumberFormat="1" applyFont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8" fontId="1" fillId="0" borderId="1" xfId="0" applyNumberFormat="1" applyFont="1" applyBorder="1" applyProtection="1">
      <protection hidden="1"/>
    </xf>
    <xf numFmtId="8" fontId="2" fillId="4" borderId="1" xfId="0" applyNumberFormat="1" applyFont="1" applyFill="1" applyBorder="1" applyProtection="1">
      <protection hidden="1"/>
    </xf>
    <xf numFmtId="8" fontId="3" fillId="5" borderId="1" xfId="0" applyNumberFormat="1" applyFont="1" applyFill="1" applyBorder="1" applyProtection="1">
      <protection hidden="1"/>
    </xf>
    <xf numFmtId="8" fontId="3" fillId="6" borderId="1" xfId="0" applyNumberFormat="1" applyFont="1" applyFill="1" applyBorder="1" applyProtection="1">
      <protection hidden="1"/>
    </xf>
    <xf numFmtId="8" fontId="3" fillId="9" borderId="1" xfId="0" applyNumberFormat="1" applyFont="1" applyFill="1" applyBorder="1" applyProtection="1">
      <protection hidden="1"/>
    </xf>
    <xf numFmtId="8" fontId="4" fillId="8" borderId="1" xfId="0" applyNumberFormat="1" applyFont="1" applyFill="1" applyBorder="1" applyProtection="1">
      <protection hidden="1"/>
    </xf>
    <xf numFmtId="8" fontId="3" fillId="7" borderId="1" xfId="0" applyNumberFormat="1" applyFont="1" applyFill="1" applyBorder="1" applyProtection="1">
      <protection hidden="1"/>
    </xf>
    <xf numFmtId="8" fontId="1" fillId="0" borderId="0" xfId="0" applyNumberFormat="1" applyFont="1" applyProtection="1">
      <protection hidden="1"/>
    </xf>
    <xf numFmtId="9" fontId="1" fillId="0" borderId="0" xfId="0" applyNumberFormat="1" applyFont="1" applyProtection="1">
      <protection hidden="1"/>
    </xf>
    <xf numFmtId="0" fontId="1" fillId="3" borderId="1" xfId="0" applyFont="1" applyFill="1" applyBorder="1" applyProtection="1">
      <protection locked="0"/>
    </xf>
    <xf numFmtId="9" fontId="1" fillId="3" borderId="2" xfId="0" applyNumberFormat="1" applyFont="1" applyFill="1" applyBorder="1" applyAlignment="1" applyProtection="1">
      <alignment horizontal="center"/>
      <protection locked="0"/>
    </xf>
    <xf numFmtId="8" fontId="3" fillId="4" borderId="1" xfId="0" applyNumberFormat="1" applyFon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  <color rgb="FFFF7D00"/>
      <color rgb="FFF9E5B7"/>
      <color rgb="FF754D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A891-604F-1B40-AF3B-EFB24772AA72}">
  <dimension ref="D3:X39"/>
  <sheetViews>
    <sheetView showGridLines="0" tabSelected="1" zoomScale="50" workbookViewId="0">
      <selection activeCell="E29" sqref="E29"/>
    </sheetView>
  </sheetViews>
  <sheetFormatPr baseColWidth="10" defaultRowHeight="47" x14ac:dyDescent="0.55000000000000004"/>
  <cols>
    <col min="1" max="3" width="10.83203125" style="1"/>
    <col min="4" max="4" width="58" style="1" bestFit="1" customWidth="1"/>
    <col min="5" max="5" width="50" style="1" customWidth="1"/>
    <col min="6" max="7" width="10.83203125" style="1"/>
    <col min="8" max="8" width="82.33203125" style="1" bestFit="1" customWidth="1"/>
    <col min="9" max="9" width="56.5" style="1" customWidth="1"/>
    <col min="10" max="10" width="10.83203125" style="1"/>
    <col min="11" max="11" width="54" style="1" bestFit="1" customWidth="1"/>
    <col min="12" max="12" width="53.83203125" style="1" customWidth="1"/>
    <col min="13" max="13" width="10.83203125" style="1"/>
    <col min="14" max="14" width="76.1640625" style="1" bestFit="1" customWidth="1"/>
    <col min="15" max="15" width="56.83203125" style="1" customWidth="1"/>
    <col min="16" max="16" width="10.83203125" style="1"/>
    <col min="17" max="17" width="12.83203125" style="1" bestFit="1" customWidth="1"/>
    <col min="18" max="18" width="10.83203125" style="1" bestFit="1" customWidth="1"/>
    <col min="19" max="19" width="63.1640625" style="1" customWidth="1"/>
    <col min="20" max="20" width="58" style="1" customWidth="1"/>
    <col min="21" max="21" width="53.5" style="1" customWidth="1"/>
    <col min="22" max="22" width="55.83203125" style="1" customWidth="1"/>
    <col min="23" max="23" width="59.33203125" style="1" customWidth="1"/>
    <col min="24" max="24" width="55.83203125" style="1" customWidth="1"/>
    <col min="25" max="16384" width="10.83203125" style="1"/>
  </cols>
  <sheetData>
    <row r="3" spans="4:23" ht="48" thickBot="1" x14ac:dyDescent="0.6"/>
    <row r="4" spans="4:23" ht="49" thickTop="1" thickBot="1" x14ac:dyDescent="0.6">
      <c r="D4" s="2" t="s">
        <v>60</v>
      </c>
      <c r="E4" s="2"/>
      <c r="H4" s="2" t="s">
        <v>13</v>
      </c>
      <c r="I4" s="2"/>
      <c r="K4" s="2" t="s">
        <v>22</v>
      </c>
      <c r="L4" s="2"/>
      <c r="N4" s="2" t="s">
        <v>64</v>
      </c>
      <c r="O4" s="2"/>
      <c r="Q4" s="2" t="s">
        <v>61</v>
      </c>
      <c r="R4" s="2"/>
      <c r="S4" s="2"/>
      <c r="T4" s="2"/>
      <c r="U4" s="2"/>
      <c r="V4" s="2"/>
      <c r="W4" s="2"/>
    </row>
    <row r="5" spans="4:23" ht="49" thickTop="1" thickBot="1" x14ac:dyDescent="0.6">
      <c r="D5" s="3" t="s">
        <v>25</v>
      </c>
      <c r="E5" s="3">
        <v>31</v>
      </c>
      <c r="H5" s="3" t="s">
        <v>14</v>
      </c>
      <c r="I5" s="3">
        <v>1500000</v>
      </c>
      <c r="K5" s="3" t="s">
        <v>23</v>
      </c>
      <c r="L5" s="4">
        <f>E6</f>
        <v>17000</v>
      </c>
      <c r="N5" s="3" t="s">
        <v>28</v>
      </c>
      <c r="O5" s="4">
        <f>E13+E14</f>
        <v>55000</v>
      </c>
      <c r="S5" s="5" t="s">
        <v>57</v>
      </c>
      <c r="T5" s="6">
        <f>O8</f>
        <v>14</v>
      </c>
    </row>
    <row r="6" spans="4:23" ht="49" thickTop="1" thickBot="1" x14ac:dyDescent="0.6">
      <c r="D6" s="3" t="s">
        <v>0</v>
      </c>
      <c r="E6" s="4">
        <v>17000</v>
      </c>
      <c r="H6" s="3" t="s">
        <v>15</v>
      </c>
      <c r="I6" s="3">
        <v>4</v>
      </c>
      <c r="K6" s="3" t="s">
        <v>24</v>
      </c>
      <c r="L6" s="7">
        <v>7.0000000000000007E-2</v>
      </c>
      <c r="N6" s="3" t="s">
        <v>25</v>
      </c>
      <c r="O6" s="3">
        <f>E5</f>
        <v>31</v>
      </c>
      <c r="S6" s="8" t="s">
        <v>55</v>
      </c>
      <c r="T6" s="21">
        <v>0.05</v>
      </c>
      <c r="U6" s="8" t="s">
        <v>56</v>
      </c>
      <c r="V6" s="9">
        <v>0.12</v>
      </c>
    </row>
    <row r="7" spans="4:23" ht="49" thickTop="1" thickBot="1" x14ac:dyDescent="0.6">
      <c r="D7" s="3" t="s">
        <v>1</v>
      </c>
      <c r="E7" s="4">
        <v>147000</v>
      </c>
      <c r="H7" s="3" t="s">
        <v>11</v>
      </c>
      <c r="I7" s="7">
        <v>0.06</v>
      </c>
      <c r="K7" s="3" t="s">
        <v>25</v>
      </c>
      <c r="L7" s="3">
        <f>E5</f>
        <v>31</v>
      </c>
      <c r="N7" s="3" t="s">
        <v>29</v>
      </c>
      <c r="O7" s="3">
        <f>L8</f>
        <v>45</v>
      </c>
      <c r="Q7" s="10" t="s">
        <v>36</v>
      </c>
      <c r="R7" s="10" t="s">
        <v>54</v>
      </c>
      <c r="S7" s="10" t="s">
        <v>37</v>
      </c>
      <c r="T7" s="10" t="s">
        <v>39</v>
      </c>
      <c r="U7" s="10" t="s">
        <v>38</v>
      </c>
      <c r="V7" s="10" t="s">
        <v>40</v>
      </c>
      <c r="W7" s="10" t="s">
        <v>53</v>
      </c>
    </row>
    <row r="8" spans="4:23" ht="49" thickTop="1" thickBot="1" x14ac:dyDescent="0.6">
      <c r="D8" s="3" t="s">
        <v>2</v>
      </c>
      <c r="E8" s="4">
        <v>300000</v>
      </c>
      <c r="H8" s="3" t="s">
        <v>16</v>
      </c>
      <c r="I8" s="11">
        <f>FV(I7,I6,0,-I5)</f>
        <v>1893715.4400000004</v>
      </c>
      <c r="K8" s="3" t="s">
        <v>26</v>
      </c>
      <c r="L8" s="3">
        <f>E22</f>
        <v>45</v>
      </c>
      <c r="N8" s="3" t="s">
        <v>30</v>
      </c>
      <c r="O8" s="3">
        <f>O7-O6</f>
        <v>14</v>
      </c>
      <c r="Q8" s="3">
        <v>0</v>
      </c>
      <c r="R8" s="3">
        <v>31</v>
      </c>
      <c r="S8" s="4">
        <f>E10+E9</f>
        <v>1750000</v>
      </c>
      <c r="T8" s="4">
        <v>0</v>
      </c>
      <c r="U8" s="4">
        <v>80000</v>
      </c>
      <c r="V8" s="4">
        <v>0</v>
      </c>
      <c r="W8" s="11">
        <f t="shared" ref="W8:W29" si="0">FV(NOMINAL($V$6,12)/12,12,-(U8-V8),-(S8-T8))</f>
        <v>2971719.8326682616</v>
      </c>
    </row>
    <row r="9" spans="4:23" ht="49" thickTop="1" thickBot="1" x14ac:dyDescent="0.6">
      <c r="D9" s="3" t="s">
        <v>3</v>
      </c>
      <c r="E9" s="4">
        <v>750000</v>
      </c>
      <c r="H9" s="3" t="s">
        <v>17</v>
      </c>
      <c r="I9" s="7">
        <v>0.2</v>
      </c>
      <c r="K9" s="3" t="s">
        <v>27</v>
      </c>
      <c r="L9" s="11">
        <f>FV(NOMINAL(L6,12)/12,(L8-L7)*12,-L5,0)</f>
        <v>4746089.5882155495</v>
      </c>
      <c r="N9" s="3" t="s">
        <v>31</v>
      </c>
      <c r="O9" s="7">
        <v>0.06</v>
      </c>
      <c r="Q9" s="3">
        <v>1</v>
      </c>
      <c r="R9" s="3">
        <v>32</v>
      </c>
      <c r="S9" s="11">
        <f>W8</f>
        <v>2971719.8326682616</v>
      </c>
      <c r="T9" s="4">
        <v>0</v>
      </c>
      <c r="U9" s="4">
        <f t="shared" ref="U9:U29" si="1">IF(Q9&lt;=$T$5,U8*(1+$T$6),0)</f>
        <v>84000</v>
      </c>
      <c r="V9" s="4">
        <v>0</v>
      </c>
      <c r="W9" s="11">
        <f t="shared" si="0"/>
        <v>4390632.0368901286</v>
      </c>
    </row>
    <row r="10" spans="4:23" ht="49" thickTop="1" thickBot="1" x14ac:dyDescent="0.6">
      <c r="D10" s="3" t="s">
        <v>4</v>
      </c>
      <c r="E10" s="4">
        <v>1000000</v>
      </c>
      <c r="H10" s="3" t="s">
        <v>18</v>
      </c>
      <c r="I10" s="11">
        <f>I8*(1-I9)</f>
        <v>1514972.3520000004</v>
      </c>
      <c r="N10" s="3" t="s">
        <v>32</v>
      </c>
      <c r="O10" s="11">
        <f>FV(O9,O8,0,-O5)</f>
        <v>124349.71756649343</v>
      </c>
      <c r="Q10" s="3">
        <v>2</v>
      </c>
      <c r="R10" s="3">
        <v>33</v>
      </c>
      <c r="S10" s="11">
        <f t="shared" ref="S10:S29" si="2">W9</f>
        <v>4390632.0368901286</v>
      </c>
      <c r="T10" s="12">
        <f>E20</f>
        <v>423500.00000000006</v>
      </c>
      <c r="U10" s="4">
        <f t="shared" si="1"/>
        <v>88200</v>
      </c>
      <c r="V10" s="4">
        <v>0</v>
      </c>
      <c r="W10" s="11">
        <f t="shared" si="0"/>
        <v>5558608.9968337044</v>
      </c>
    </row>
    <row r="11" spans="4:23" ht="49" thickTop="1" thickBot="1" x14ac:dyDescent="0.6">
      <c r="D11" s="3" t="s">
        <v>5</v>
      </c>
      <c r="E11" s="4">
        <v>80000</v>
      </c>
      <c r="H11" s="3" t="s">
        <v>19</v>
      </c>
      <c r="I11" s="7">
        <v>0.08</v>
      </c>
      <c r="N11" s="3" t="s">
        <v>33</v>
      </c>
      <c r="O11" s="3">
        <v>85</v>
      </c>
      <c r="Q11" s="3">
        <v>3</v>
      </c>
      <c r="R11" s="3">
        <v>34</v>
      </c>
      <c r="S11" s="11">
        <f t="shared" si="2"/>
        <v>5558608.9968337044</v>
      </c>
      <c r="T11" s="11">
        <v>0</v>
      </c>
      <c r="U11" s="4">
        <f t="shared" si="1"/>
        <v>92610</v>
      </c>
      <c r="V11" s="4">
        <v>0</v>
      </c>
      <c r="W11" s="11">
        <f t="shared" si="0"/>
        <v>7396834.2477463493</v>
      </c>
    </row>
    <row r="12" spans="4:23" ht="49" thickTop="1" thickBot="1" x14ac:dyDescent="0.6">
      <c r="H12" s="3" t="s">
        <v>20</v>
      </c>
      <c r="I12" s="3">
        <v>5</v>
      </c>
      <c r="N12" s="3" t="s">
        <v>34</v>
      </c>
      <c r="O12" s="7">
        <v>0.08</v>
      </c>
      <c r="Q12" s="3">
        <v>4</v>
      </c>
      <c r="R12" s="3">
        <v>35</v>
      </c>
      <c r="S12" s="11">
        <f t="shared" si="2"/>
        <v>7396834.2477463493</v>
      </c>
      <c r="T12" s="13">
        <f>I14</f>
        <v>378743.08800000011</v>
      </c>
      <c r="U12" s="4">
        <f t="shared" si="1"/>
        <v>97240.5</v>
      </c>
      <c r="V12" s="14">
        <f>$I$13</f>
        <v>30718.176745197445</v>
      </c>
      <c r="W12" s="11">
        <f t="shared" si="0"/>
        <v>8701536.5208165795</v>
      </c>
    </row>
    <row r="13" spans="4:23" ht="49" thickTop="1" thickBot="1" x14ac:dyDescent="0.6">
      <c r="D13" s="3" t="s">
        <v>6</v>
      </c>
      <c r="E13" s="4">
        <v>45000</v>
      </c>
      <c r="H13" s="3" t="s">
        <v>21</v>
      </c>
      <c r="I13" s="14">
        <f>PMT(I11/12,I12*12,-I10,0)</f>
        <v>30718.176745197445</v>
      </c>
      <c r="N13" s="3" t="s">
        <v>35</v>
      </c>
      <c r="O13" s="11">
        <f>PV(NOMINAL((1+O12)/(1+O9)-1,12)/12,(O11-O7)*12,-O10,0)</f>
        <v>42000966.044083022</v>
      </c>
      <c r="Q13" s="3">
        <v>5</v>
      </c>
      <c r="R13" s="3">
        <v>36</v>
      </c>
      <c r="S13" s="11">
        <f t="shared" si="2"/>
        <v>8701536.5208165795</v>
      </c>
      <c r="T13" s="4">
        <v>0</v>
      </c>
      <c r="U13" s="4">
        <f t="shared" si="1"/>
        <v>102102.52500000001</v>
      </c>
      <c r="V13" s="14">
        <f t="shared" ref="V13:V16" si="3">$I$13</f>
        <v>30718.176745197445</v>
      </c>
      <c r="W13" s="11">
        <f t="shared" si="0"/>
        <v>10648482.914208101</v>
      </c>
    </row>
    <row r="14" spans="4:23" ht="49" thickTop="1" thickBot="1" x14ac:dyDescent="0.6">
      <c r="D14" s="3" t="s">
        <v>10</v>
      </c>
      <c r="E14" s="4">
        <v>10000</v>
      </c>
      <c r="H14" s="3" t="s">
        <v>65</v>
      </c>
      <c r="I14" s="13">
        <f>I8*I9</f>
        <v>378743.08800000011</v>
      </c>
      <c r="N14" s="3" t="s">
        <v>41</v>
      </c>
      <c r="O14" s="11">
        <f>L9</f>
        <v>4746089.5882155495</v>
      </c>
      <c r="Q14" s="3">
        <v>6</v>
      </c>
      <c r="R14" s="3">
        <v>37</v>
      </c>
      <c r="S14" s="11">
        <f t="shared" si="2"/>
        <v>10648482.914208101</v>
      </c>
      <c r="T14" s="4">
        <v>0</v>
      </c>
      <c r="U14" s="4">
        <f t="shared" si="1"/>
        <v>107207.65125000001</v>
      </c>
      <c r="V14" s="14">
        <f t="shared" si="3"/>
        <v>30718.176745197445</v>
      </c>
      <c r="W14" s="11">
        <f t="shared" si="0"/>
        <v>12893624.843249112</v>
      </c>
    </row>
    <row r="15" spans="4:23" ht="49" thickTop="1" thickBot="1" x14ac:dyDescent="0.6">
      <c r="N15" s="3" t="s">
        <v>42</v>
      </c>
      <c r="O15" s="15">
        <f>O13-O14</f>
        <v>37254876.455867469</v>
      </c>
      <c r="Q15" s="3">
        <v>7</v>
      </c>
      <c r="R15" s="3">
        <v>38</v>
      </c>
      <c r="S15" s="11">
        <f t="shared" si="2"/>
        <v>12893624.843249112</v>
      </c>
      <c r="T15" s="4">
        <v>0</v>
      </c>
      <c r="U15" s="4">
        <f t="shared" si="1"/>
        <v>112568.03381250001</v>
      </c>
      <c r="V15" s="14">
        <f t="shared" si="3"/>
        <v>30718.176745197445</v>
      </c>
      <c r="W15" s="11">
        <f t="shared" si="0"/>
        <v>15475973.870639678</v>
      </c>
    </row>
    <row r="16" spans="4:23" ht="49" thickTop="1" thickBot="1" x14ac:dyDescent="0.6">
      <c r="D16" s="2" t="s">
        <v>9</v>
      </c>
      <c r="E16" s="2"/>
      <c r="H16" s="2" t="s">
        <v>62</v>
      </c>
      <c r="I16" s="2"/>
      <c r="K16" s="2" t="s">
        <v>63</v>
      </c>
      <c r="L16" s="2"/>
      <c r="Q16" s="3">
        <v>8</v>
      </c>
      <c r="R16" s="3">
        <v>39</v>
      </c>
      <c r="S16" s="11">
        <f t="shared" si="2"/>
        <v>15475973.870639678</v>
      </c>
      <c r="T16" s="4">
        <v>0</v>
      </c>
      <c r="U16" s="4">
        <f t="shared" si="1"/>
        <v>118196.43550312502</v>
      </c>
      <c r="V16" s="14">
        <f t="shared" si="3"/>
        <v>30718.176745197445</v>
      </c>
      <c r="W16" s="11">
        <f t="shared" si="0"/>
        <v>18439384.351524979</v>
      </c>
    </row>
    <row r="17" spans="4:24" ht="49" thickTop="1" thickBot="1" x14ac:dyDescent="0.6">
      <c r="D17" s="3" t="s">
        <v>7</v>
      </c>
      <c r="E17" s="4">
        <v>350000</v>
      </c>
      <c r="H17" s="3" t="s">
        <v>46</v>
      </c>
      <c r="I17" s="3">
        <v>2</v>
      </c>
      <c r="K17" s="3" t="s">
        <v>25</v>
      </c>
      <c r="L17" s="3">
        <f>I17</f>
        <v>2</v>
      </c>
      <c r="Q17" s="3">
        <v>9</v>
      </c>
      <c r="R17" s="3">
        <v>40</v>
      </c>
      <c r="S17" s="11">
        <f t="shared" si="2"/>
        <v>18439384.351524979</v>
      </c>
      <c r="T17" s="4">
        <v>0</v>
      </c>
      <c r="U17" s="4">
        <f t="shared" si="1"/>
        <v>124106.25727828128</v>
      </c>
      <c r="V17" s="4">
        <v>0</v>
      </c>
      <c r="W17" s="11">
        <f t="shared" si="0"/>
        <v>22221619.996791337</v>
      </c>
    </row>
    <row r="18" spans="4:24" ht="49" thickTop="1" thickBot="1" x14ac:dyDescent="0.6">
      <c r="D18" s="3" t="s">
        <v>8</v>
      </c>
      <c r="E18" s="3">
        <v>2</v>
      </c>
      <c r="H18" s="3" t="s">
        <v>43</v>
      </c>
      <c r="I18" s="4">
        <v>500000</v>
      </c>
      <c r="K18" s="3" t="s">
        <v>50</v>
      </c>
      <c r="L18" s="3">
        <v>23</v>
      </c>
      <c r="Q18" s="3">
        <v>10</v>
      </c>
      <c r="R18" s="3">
        <v>41</v>
      </c>
      <c r="S18" s="11">
        <f t="shared" si="2"/>
        <v>22221619.996791337</v>
      </c>
      <c r="T18" s="4">
        <v>0</v>
      </c>
      <c r="U18" s="4">
        <f t="shared" si="1"/>
        <v>130311.57014219534</v>
      </c>
      <c r="V18" s="4">
        <v>0</v>
      </c>
      <c r="W18" s="11">
        <f t="shared" si="0"/>
        <v>26536199.39564383</v>
      </c>
    </row>
    <row r="19" spans="4:24" ht="49" thickTop="1" thickBot="1" x14ac:dyDescent="0.6">
      <c r="D19" s="3" t="s">
        <v>11</v>
      </c>
      <c r="E19" s="7">
        <v>0.1</v>
      </c>
      <c r="H19" s="3" t="s">
        <v>44</v>
      </c>
      <c r="I19" s="3">
        <v>4</v>
      </c>
      <c r="K19" s="3" t="s">
        <v>51</v>
      </c>
      <c r="L19" s="3">
        <f>L18-L17</f>
        <v>21</v>
      </c>
      <c r="Q19" s="3">
        <v>11</v>
      </c>
      <c r="R19" s="3">
        <v>42</v>
      </c>
      <c r="S19" s="11">
        <f t="shared" si="2"/>
        <v>26536199.39564383</v>
      </c>
      <c r="T19" s="4">
        <v>0</v>
      </c>
      <c r="U19" s="4">
        <f t="shared" si="1"/>
        <v>136827.14864930511</v>
      </c>
      <c r="V19" s="4">
        <v>0</v>
      </c>
      <c r="W19" s="11">
        <f t="shared" si="0"/>
        <v>31450927.572320502</v>
      </c>
    </row>
    <row r="20" spans="4:24" ht="49" thickTop="1" thickBot="1" x14ac:dyDescent="0.6">
      <c r="D20" s="3" t="s">
        <v>12</v>
      </c>
      <c r="E20" s="22">
        <f>FV(E19,E18,0,-E17)</f>
        <v>423500.00000000006</v>
      </c>
      <c r="H20" s="3" t="s">
        <v>45</v>
      </c>
      <c r="I20" s="7">
        <v>0.1</v>
      </c>
      <c r="K20" s="3" t="s">
        <v>14</v>
      </c>
      <c r="L20" s="4">
        <v>2000000</v>
      </c>
      <c r="Q20" s="3">
        <v>12</v>
      </c>
      <c r="R20" s="3">
        <v>43</v>
      </c>
      <c r="S20" s="11">
        <f t="shared" si="2"/>
        <v>31450927.572320502</v>
      </c>
      <c r="T20" s="4">
        <v>0</v>
      </c>
      <c r="U20" s="4">
        <f t="shared" si="1"/>
        <v>143668.50608177038</v>
      </c>
      <c r="V20" s="4">
        <v>0</v>
      </c>
      <c r="W20" s="11">
        <f t="shared" si="0"/>
        <v>37041942.342658348</v>
      </c>
    </row>
    <row r="21" spans="4:24" ht="49" thickTop="1" thickBot="1" x14ac:dyDescent="0.6">
      <c r="H21" s="3" t="s">
        <v>47</v>
      </c>
      <c r="I21" s="3">
        <v>18</v>
      </c>
      <c r="K21" s="3" t="s">
        <v>45</v>
      </c>
      <c r="L21" s="7">
        <v>0.08</v>
      </c>
      <c r="Q21" s="3">
        <v>13</v>
      </c>
      <c r="R21" s="3">
        <v>44</v>
      </c>
      <c r="S21" s="11">
        <f t="shared" si="2"/>
        <v>37041942.342658348</v>
      </c>
      <c r="T21" s="4">
        <v>0</v>
      </c>
      <c r="U21" s="4">
        <f t="shared" si="1"/>
        <v>150851.93138585892</v>
      </c>
      <c r="V21" s="4">
        <v>0</v>
      </c>
      <c r="W21" s="11">
        <f t="shared" si="0"/>
        <v>43394724.058519714</v>
      </c>
    </row>
    <row r="22" spans="4:24" ht="49" thickTop="1" thickBot="1" x14ac:dyDescent="0.6">
      <c r="D22" s="3" t="s">
        <v>58</v>
      </c>
      <c r="E22" s="20">
        <v>45</v>
      </c>
      <c r="H22" s="3" t="s">
        <v>48</v>
      </c>
      <c r="I22" s="3">
        <f>I21-I17</f>
        <v>16</v>
      </c>
      <c r="K22" s="3" t="s">
        <v>52</v>
      </c>
      <c r="L22" s="16">
        <f>FV(L21,L19,0,-L20)</f>
        <v>10067667.430714503</v>
      </c>
      <c r="Q22" s="3">
        <v>14</v>
      </c>
      <c r="R22" s="3">
        <v>45</v>
      </c>
      <c r="S22" s="11">
        <f t="shared" si="2"/>
        <v>43394724.058519714</v>
      </c>
      <c r="T22" s="4">
        <v>0</v>
      </c>
      <c r="U22" s="4">
        <f t="shared" si="1"/>
        <v>158394.52795515186</v>
      </c>
      <c r="V22" s="4">
        <v>0</v>
      </c>
      <c r="W22" s="11">
        <f t="shared" si="0"/>
        <v>50605227.012021571</v>
      </c>
      <c r="X22" s="15">
        <f>W22-T39</f>
        <v>37684944.690639399</v>
      </c>
    </row>
    <row r="23" spans="4:24" ht="49" thickTop="1" thickBot="1" x14ac:dyDescent="0.6">
      <c r="H23" s="3" t="s">
        <v>49</v>
      </c>
      <c r="I23" s="17">
        <f>FV(I20,I22,0,-I18)</f>
        <v>2297486.4931786107</v>
      </c>
      <c r="Q23" s="3">
        <v>15</v>
      </c>
      <c r="R23" s="3">
        <v>46</v>
      </c>
      <c r="S23" s="11">
        <f t="shared" si="2"/>
        <v>50605227.012021571</v>
      </c>
      <c r="T23" s="4">
        <v>0</v>
      </c>
      <c r="U23" s="4">
        <f t="shared" si="1"/>
        <v>0</v>
      </c>
      <c r="V23" s="4">
        <v>0</v>
      </c>
      <c r="W23" s="11">
        <f t="shared" si="0"/>
        <v>56677854.253464229</v>
      </c>
      <c r="X23" s="18">
        <f>W23-U39</f>
        <v>42723949.346371479</v>
      </c>
    </row>
    <row r="24" spans="4:24" ht="49" thickTop="1" thickBot="1" x14ac:dyDescent="0.6">
      <c r="Q24" s="3">
        <v>16</v>
      </c>
      <c r="R24" s="3">
        <v>47</v>
      </c>
      <c r="S24" s="11">
        <f t="shared" si="2"/>
        <v>56677854.253464229</v>
      </c>
      <c r="T24" s="17">
        <f>$I$23</f>
        <v>2297486.4931786107</v>
      </c>
      <c r="U24" s="4">
        <f t="shared" si="1"/>
        <v>0</v>
      </c>
      <c r="V24" s="4">
        <v>0</v>
      </c>
      <c r="W24" s="11">
        <f t="shared" si="0"/>
        <v>60906011.891519971</v>
      </c>
      <c r="X24" s="18">
        <f>W24-V39</f>
        <v>48133281.085038409</v>
      </c>
    </row>
    <row r="25" spans="4:24" ht="49" thickTop="1" thickBot="1" x14ac:dyDescent="0.6">
      <c r="Q25" s="3">
        <v>17</v>
      </c>
      <c r="R25" s="3">
        <v>48</v>
      </c>
      <c r="S25" s="11">
        <f t="shared" si="2"/>
        <v>60906011.891519971</v>
      </c>
      <c r="T25" s="17">
        <f>$I$23</f>
        <v>2297486.4931786107</v>
      </c>
      <c r="U25" s="4">
        <f t="shared" si="1"/>
        <v>0</v>
      </c>
      <c r="V25" s="4">
        <v>0</v>
      </c>
      <c r="W25" s="11">
        <f t="shared" si="0"/>
        <v>65641548.446142405</v>
      </c>
      <c r="X25" s="18">
        <f>W25-W39</f>
        <v>54144485.668320931</v>
      </c>
    </row>
    <row r="26" spans="4:24" ht="49" thickTop="1" thickBot="1" x14ac:dyDescent="0.6">
      <c r="Q26" s="3">
        <v>18</v>
      </c>
      <c r="R26" s="3">
        <v>49</v>
      </c>
      <c r="S26" s="11">
        <f t="shared" si="2"/>
        <v>65641548.446142405</v>
      </c>
      <c r="T26" s="17">
        <f>$I$23</f>
        <v>2297486.4931786107</v>
      </c>
      <c r="U26" s="4">
        <f t="shared" si="1"/>
        <v>0</v>
      </c>
      <c r="V26" s="4">
        <v>0</v>
      </c>
      <c r="W26" s="11">
        <f t="shared" si="0"/>
        <v>70945349.387319535</v>
      </c>
    </row>
    <row r="27" spans="4:24" ht="49" thickTop="1" thickBot="1" x14ac:dyDescent="0.6">
      <c r="Q27" s="3">
        <v>19</v>
      </c>
      <c r="R27" s="3">
        <v>50</v>
      </c>
      <c r="S27" s="11">
        <f t="shared" si="2"/>
        <v>70945349.387319535</v>
      </c>
      <c r="T27" s="17">
        <f>$I$23</f>
        <v>2297486.4931786107</v>
      </c>
      <c r="U27" s="4">
        <f t="shared" si="1"/>
        <v>0</v>
      </c>
      <c r="V27" s="4">
        <v>0</v>
      </c>
      <c r="W27" s="11">
        <f t="shared" si="0"/>
        <v>76885606.441437945</v>
      </c>
    </row>
    <row r="28" spans="4:24" ht="49" thickTop="1" thickBot="1" x14ac:dyDescent="0.6">
      <c r="Q28" s="3">
        <v>20</v>
      </c>
      <c r="R28" s="3">
        <v>51</v>
      </c>
      <c r="S28" s="11">
        <f t="shared" si="2"/>
        <v>76885606.441437945</v>
      </c>
      <c r="T28" s="11">
        <v>0</v>
      </c>
      <c r="U28" s="4">
        <f t="shared" si="1"/>
        <v>0</v>
      </c>
      <c r="V28" s="4">
        <v>0</v>
      </c>
      <c r="W28" s="11">
        <f t="shared" si="0"/>
        <v>86111879.214410603</v>
      </c>
    </row>
    <row r="29" spans="4:24" ht="49" thickTop="1" thickBot="1" x14ac:dyDescent="0.6">
      <c r="Q29" s="3">
        <v>21</v>
      </c>
      <c r="R29" s="3">
        <v>52</v>
      </c>
      <c r="S29" s="11">
        <f t="shared" si="2"/>
        <v>86111879.214410603</v>
      </c>
      <c r="T29" s="16">
        <f>L22</f>
        <v>10067667.430714503</v>
      </c>
      <c r="U29" s="4">
        <f t="shared" si="1"/>
        <v>0</v>
      </c>
      <c r="V29" s="4">
        <v>0</v>
      </c>
      <c r="W29" s="11">
        <f t="shared" si="0"/>
        <v>85169517.197739735</v>
      </c>
    </row>
    <row r="30" spans="4:24" ht="48" thickTop="1" x14ac:dyDescent="0.55000000000000004"/>
    <row r="32" spans="4:24" x14ac:dyDescent="0.55000000000000004">
      <c r="T32" s="19">
        <v>0.08</v>
      </c>
    </row>
    <row r="33" spans="17:23" x14ac:dyDescent="0.55000000000000004">
      <c r="Q33" s="1">
        <v>0</v>
      </c>
      <c r="R33" s="1">
        <v>1</v>
      </c>
      <c r="S33" s="1">
        <v>2</v>
      </c>
      <c r="T33" s="18">
        <f t="shared" ref="T33:T38" si="4">PV($T$32,S33,0,-T24)</f>
        <v>1969724.359721031</v>
      </c>
      <c r="U33" s="18">
        <f t="shared" ref="U33:U38" si="5">PV($T$32,R33,0,-T24)</f>
        <v>2127302.3084987137</v>
      </c>
    </row>
    <row r="34" spans="17:23" x14ac:dyDescent="0.55000000000000004">
      <c r="Q34" s="1">
        <v>1</v>
      </c>
      <c r="R34" s="1">
        <v>2</v>
      </c>
      <c r="S34" s="1">
        <v>3</v>
      </c>
      <c r="T34" s="18">
        <f t="shared" si="4"/>
        <v>1823818.851593547</v>
      </c>
      <c r="U34" s="18">
        <f t="shared" si="5"/>
        <v>1969724.359721031</v>
      </c>
      <c r="V34" s="18">
        <f>PV($T$32,Q34,0,-T25)</f>
        <v>2127302.3084987137</v>
      </c>
    </row>
    <row r="35" spans="17:23" x14ac:dyDescent="0.55000000000000004">
      <c r="Q35" s="1">
        <v>2</v>
      </c>
      <c r="R35" s="1">
        <v>3</v>
      </c>
      <c r="S35" s="1">
        <v>4</v>
      </c>
      <c r="T35" s="18">
        <f t="shared" si="4"/>
        <v>1688721.1588829139</v>
      </c>
      <c r="U35" s="18">
        <f t="shared" si="5"/>
        <v>1823818.851593547</v>
      </c>
      <c r="V35" s="18">
        <f>PV($T$32,Q35,0,-T26)</f>
        <v>1969724.359721031</v>
      </c>
      <c r="W35" s="18">
        <f>PV($T$32,R33,0,-T26)</f>
        <v>2127302.3084987137</v>
      </c>
    </row>
    <row r="36" spans="17:23" x14ac:dyDescent="0.55000000000000004">
      <c r="Q36" s="1">
        <v>3</v>
      </c>
      <c r="R36" s="1">
        <v>4</v>
      </c>
      <c r="S36" s="1">
        <v>5</v>
      </c>
      <c r="T36" s="18">
        <f t="shared" si="4"/>
        <v>1563630.7026693646</v>
      </c>
      <c r="U36" s="18">
        <f t="shared" si="5"/>
        <v>1688721.1588829139</v>
      </c>
      <c r="V36" s="18">
        <f>PV($T$32,Q36,0,-T27)</f>
        <v>1823818.851593547</v>
      </c>
      <c r="W36" s="18">
        <f>PV($T$32,R34,0,-T27)</f>
        <v>1969724.359721031</v>
      </c>
    </row>
    <row r="37" spans="17:23" x14ac:dyDescent="0.55000000000000004">
      <c r="Q37" s="1">
        <v>4</v>
      </c>
      <c r="R37" s="1">
        <v>5</v>
      </c>
      <c r="S37" s="1">
        <v>6</v>
      </c>
      <c r="T37" s="18">
        <f t="shared" si="4"/>
        <v>0</v>
      </c>
      <c r="U37" s="18">
        <f t="shared" si="5"/>
        <v>0</v>
      </c>
      <c r="V37" s="18">
        <f>PV($T$32,Q37,0,-T28)</f>
        <v>0</v>
      </c>
      <c r="W37" s="18">
        <f>PV($T$32,R35,0,-T28)</f>
        <v>0</v>
      </c>
    </row>
    <row r="38" spans="17:23" x14ac:dyDescent="0.55000000000000004">
      <c r="Q38" s="1">
        <v>5</v>
      </c>
      <c r="R38" s="1">
        <v>6</v>
      </c>
      <c r="S38" s="1">
        <v>7</v>
      </c>
      <c r="T38" s="18">
        <f t="shared" si="4"/>
        <v>5874387.2485153163</v>
      </c>
      <c r="U38" s="18">
        <f t="shared" si="5"/>
        <v>6344338.2283965424</v>
      </c>
      <c r="V38" s="18">
        <f>PV($T$32,Q38,0,-T29)</f>
        <v>6851885.2866682662</v>
      </c>
      <c r="W38" s="18">
        <f>PV($T$32,R36,0,-T29)</f>
        <v>7400036.1096017277</v>
      </c>
    </row>
    <row r="39" spans="17:23" x14ac:dyDescent="0.55000000000000004">
      <c r="S39" s="1" t="s">
        <v>59</v>
      </c>
      <c r="T39" s="18">
        <f>SUM(T33:T38)</f>
        <v>12920282.321382172</v>
      </c>
      <c r="U39" s="18">
        <f>SUM(U33:U38)</f>
        <v>13953904.907092748</v>
      </c>
      <c r="V39" s="18">
        <f>SUM(V33:V38)</f>
        <v>12772730.806481559</v>
      </c>
      <c r="W39" s="18">
        <f>SUM(W33:W38)</f>
        <v>11497062.777821472</v>
      </c>
    </row>
  </sheetData>
  <sheetProtection algorithmName="SHA-512" hashValue="zaJsHNw7O3LStGnE8LrcnQNGVzgTz0AbctCU7AEdTZnKqVuYQj3JxNN0XO15j5VnRRSbqBRnQfRJjmf1RlWUFg==" saltValue="uX7CeBUDc2LJl4kB2Qev4A==" spinCount="100000" sheet="1" objects="1" scenarios="1"/>
  <mergeCells count="8">
    <mergeCell ref="D4:E4"/>
    <mergeCell ref="D16:E16"/>
    <mergeCell ref="Q4:W4"/>
    <mergeCell ref="H4:I4"/>
    <mergeCell ref="K4:L4"/>
    <mergeCell ref="N4:O4"/>
    <mergeCell ref="H16:I16"/>
    <mergeCell ref="K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2026-04-14T09:30:45Z</dcterms:created>
  <dcterms:modified xsi:type="dcterms:W3CDTF">2026-04-18T13:34:49Z</dcterms:modified>
</cp:coreProperties>
</file>