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NPS Vatsalya/"/>
    </mc:Choice>
  </mc:AlternateContent>
  <xr:revisionPtr revIDLastSave="0" documentId="13_ncr:1_{5F3E2492-5588-C742-8FE9-397503D9AB3E}" xr6:coauthVersionLast="47" xr6:coauthVersionMax="47" xr10:uidLastSave="{00000000-0000-0000-0000-000000000000}"/>
  <bookViews>
    <workbookView xWindow="0" yWindow="760" windowWidth="34560" windowHeight="19860" xr2:uid="{51F2BDBC-7DED-1849-AD52-66BF08CEB8BD}"/>
  </bookViews>
  <sheets>
    <sheet name="Minor + Major Investment" sheetId="1" r:id="rId1"/>
    <sheet name="One time gift" sheetId="2" r:id="rId2"/>
    <sheet name="Wealth Cre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W6" i="3" s="1"/>
  <c r="J8" i="3"/>
  <c r="W8" i="3" s="1"/>
  <c r="J7" i="3"/>
  <c r="L8" i="2"/>
  <c r="W7" i="3"/>
  <c r="T14" i="3" s="1"/>
  <c r="T15" i="3" s="1"/>
  <c r="O5" i="1"/>
  <c r="M8" i="2"/>
  <c r="H9" i="1"/>
  <c r="H12" i="1" s="1"/>
  <c r="G14" i="3"/>
  <c r="U13" i="3"/>
  <c r="I13" i="3"/>
  <c r="H13" i="3"/>
  <c r="J13" i="3" l="1"/>
  <c r="V13" i="3"/>
  <c r="W13" i="3" s="1"/>
  <c r="U14" i="3" s="1"/>
  <c r="H11" i="1"/>
  <c r="O9" i="1" s="1"/>
  <c r="O12" i="1"/>
  <c r="H14" i="3"/>
  <c r="I14" i="3"/>
  <c r="G15" i="3"/>
  <c r="G16" i="3" s="1"/>
  <c r="G17" i="3" s="1"/>
  <c r="G18" i="3" s="1"/>
  <c r="T16" i="3"/>
  <c r="V14" i="3"/>
  <c r="W14" i="3" l="1"/>
  <c r="J14" i="3"/>
  <c r="H15" i="3" s="1"/>
  <c r="U15" i="3"/>
  <c r="H13" i="1"/>
  <c r="V15" i="3"/>
  <c r="I15" i="3"/>
  <c r="I16" i="3" s="1"/>
  <c r="I17" i="3" s="1"/>
  <c r="V16" i="3"/>
  <c r="T17" i="3"/>
  <c r="G19" i="3"/>
  <c r="W15" i="3" l="1"/>
  <c r="U16" i="3" s="1"/>
  <c r="J15" i="3"/>
  <c r="H16" i="3" s="1"/>
  <c r="V17" i="3"/>
  <c r="T18" i="3"/>
  <c r="I18" i="3"/>
  <c r="I19" i="3" s="1"/>
  <c r="G20" i="3"/>
  <c r="W16" i="3" l="1"/>
  <c r="U17" i="3" s="1"/>
  <c r="W17" i="3" s="1"/>
  <c r="U18" i="3" s="1"/>
  <c r="J16" i="3"/>
  <c r="H17" i="3" s="1"/>
  <c r="I20" i="3"/>
  <c r="G21" i="3"/>
  <c r="T19" i="3"/>
  <c r="V18" i="3"/>
  <c r="W18" i="3" l="1"/>
  <c r="J17" i="3"/>
  <c r="H18" i="3" s="1"/>
  <c r="J18" i="3" s="1"/>
  <c r="H19" i="3" s="1"/>
  <c r="V19" i="3"/>
  <c r="U19" i="3"/>
  <c r="W19" i="3" s="1"/>
  <c r="T20" i="3"/>
  <c r="I21" i="3"/>
  <c r="G22" i="3"/>
  <c r="J19" i="3" l="1"/>
  <c r="H20" i="3" s="1"/>
  <c r="J20" i="3" s="1"/>
  <c r="H21" i="3" s="1"/>
  <c r="J21" i="3" s="1"/>
  <c r="H22" i="3" s="1"/>
  <c r="U20" i="3"/>
  <c r="G23" i="3"/>
  <c r="I22" i="3"/>
  <c r="T21" i="3"/>
  <c r="V20" i="3"/>
  <c r="W20" i="3" l="1"/>
  <c r="J22" i="3"/>
  <c r="H23" i="3" s="1"/>
  <c r="U21" i="3"/>
  <c r="T22" i="3"/>
  <c r="V21" i="3"/>
  <c r="G24" i="3"/>
  <c r="I23" i="3"/>
  <c r="J23" i="3" l="1"/>
  <c r="W21" i="3"/>
  <c r="H24" i="3"/>
  <c r="I24" i="3"/>
  <c r="G25" i="3"/>
  <c r="V22" i="3"/>
  <c r="U22" i="3"/>
  <c r="W22" i="3" s="1"/>
  <c r="T23" i="3"/>
  <c r="J24" i="3" l="1"/>
  <c r="T24" i="3"/>
  <c r="U23" i="3"/>
  <c r="V23" i="3"/>
  <c r="I25" i="3"/>
  <c r="G26" i="3"/>
  <c r="H25" i="3"/>
  <c r="J25" i="3" s="1"/>
  <c r="W23" i="3" l="1"/>
  <c r="U24" i="3" s="1"/>
  <c r="H26" i="3"/>
  <c r="G27" i="3"/>
  <c r="I26" i="3"/>
  <c r="T25" i="3"/>
  <c r="V24" i="3"/>
  <c r="J26" i="3" l="1"/>
  <c r="W24" i="3"/>
  <c r="U25" i="3" s="1"/>
  <c r="T26" i="3"/>
  <c r="V25" i="3"/>
  <c r="I27" i="3"/>
  <c r="H27" i="3"/>
  <c r="G28" i="3"/>
  <c r="J27" i="3" l="1"/>
  <c r="W25" i="3"/>
  <c r="U26" i="3" s="1"/>
  <c r="H28" i="3"/>
  <c r="G29" i="3"/>
  <c r="I28" i="3"/>
  <c r="T27" i="3"/>
  <c r="V26" i="3"/>
  <c r="W26" i="3" l="1"/>
  <c r="J28" i="3"/>
  <c r="V27" i="3"/>
  <c r="T28" i="3"/>
  <c r="U27" i="3"/>
  <c r="W27" i="3" s="1"/>
  <c r="H29" i="3"/>
  <c r="I29" i="3"/>
  <c r="G30" i="3"/>
  <c r="J29" i="3" l="1"/>
  <c r="H30" i="3" s="1"/>
  <c r="U28" i="3"/>
  <c r="V28" i="3"/>
  <c r="T29" i="3"/>
  <c r="I30" i="3"/>
  <c r="G31" i="3"/>
  <c r="J30" i="3" l="1"/>
  <c r="H31" i="3" s="1"/>
  <c r="W28" i="3"/>
  <c r="U29" i="3" s="1"/>
  <c r="G32" i="3"/>
  <c r="I31" i="3"/>
  <c r="T30" i="3"/>
  <c r="V29" i="3"/>
  <c r="J31" i="3" l="1"/>
  <c r="W29" i="3"/>
  <c r="U30" i="3" s="1"/>
  <c r="H32" i="3"/>
  <c r="T31" i="3"/>
  <c r="V30" i="3"/>
  <c r="I32" i="3"/>
  <c r="G33" i="3"/>
  <c r="J32" i="3" l="1"/>
  <c r="H33" i="3" s="1"/>
  <c r="W30" i="3"/>
  <c r="U31" i="3" s="1"/>
  <c r="G34" i="3"/>
  <c r="I33" i="3"/>
  <c r="V31" i="3"/>
  <c r="T32" i="3"/>
  <c r="J33" i="3" l="1"/>
  <c r="W31" i="3"/>
  <c r="U32" i="3" s="1"/>
  <c r="H34" i="3"/>
  <c r="V32" i="3"/>
  <c r="T33" i="3"/>
  <c r="G35" i="3"/>
  <c r="I34" i="3"/>
  <c r="J34" i="3" l="1"/>
  <c r="W32" i="3"/>
  <c r="U33" i="3"/>
  <c r="I35" i="3"/>
  <c r="H35" i="3"/>
  <c r="J35" i="3" s="1"/>
  <c r="G36" i="3"/>
  <c r="V33" i="3"/>
  <c r="T34" i="3"/>
  <c r="W33" i="3" l="1"/>
  <c r="U34" i="3" s="1"/>
  <c r="H36" i="3"/>
  <c r="T35" i="3"/>
  <c r="V34" i="3"/>
  <c r="G37" i="3"/>
  <c r="I36" i="3"/>
  <c r="W34" i="3" l="1"/>
  <c r="J36" i="3"/>
  <c r="U35" i="3"/>
  <c r="H37" i="3"/>
  <c r="G38" i="3"/>
  <c r="I37" i="3"/>
  <c r="T36" i="3"/>
  <c r="V35" i="3"/>
  <c r="W35" i="3" l="1"/>
  <c r="U36" i="3" s="1"/>
  <c r="J37" i="3"/>
  <c r="H38" i="3" s="1"/>
  <c r="V36" i="3"/>
  <c r="T37" i="3"/>
  <c r="G39" i="3"/>
  <c r="I38" i="3"/>
  <c r="W36" i="3" l="1"/>
  <c r="U37" i="3" s="1"/>
  <c r="J38" i="3"/>
  <c r="H39" i="3" s="1"/>
  <c r="G40" i="3"/>
  <c r="I39" i="3"/>
  <c r="V37" i="3"/>
  <c r="T38" i="3"/>
  <c r="J39" i="3" l="1"/>
  <c r="H40" i="3" s="1"/>
  <c r="W37" i="3"/>
  <c r="U38" i="3" s="1"/>
  <c r="T39" i="3"/>
  <c r="V38" i="3"/>
  <c r="I40" i="3"/>
  <c r="G41" i="3"/>
  <c r="J40" i="3" l="1"/>
  <c r="H41" i="3" s="1"/>
  <c r="W38" i="3"/>
  <c r="U39" i="3" s="1"/>
  <c r="I41" i="3"/>
  <c r="G42" i="3"/>
  <c r="V39" i="3"/>
  <c r="T40" i="3"/>
  <c r="J41" i="3" l="1"/>
  <c r="H42" i="3" s="1"/>
  <c r="W39" i="3"/>
  <c r="U40" i="3" s="1"/>
  <c r="T41" i="3"/>
  <c r="V40" i="3"/>
  <c r="I42" i="3"/>
  <c r="G43" i="3"/>
  <c r="J42" i="3" l="1"/>
  <c r="W40" i="3"/>
  <c r="U41" i="3" s="1"/>
  <c r="G44" i="3"/>
  <c r="I43" i="3"/>
  <c r="H43" i="3"/>
  <c r="J43" i="3" s="1"/>
  <c r="V41" i="3"/>
  <c r="T42" i="3"/>
  <c r="W41" i="3" l="1"/>
  <c r="U42" i="3" s="1"/>
  <c r="V42" i="3"/>
  <c r="T43" i="3"/>
  <c r="H44" i="3"/>
  <c r="I44" i="3"/>
  <c r="G45" i="3"/>
  <c r="J44" i="3" l="1"/>
  <c r="W42" i="3"/>
  <c r="U43" i="3" s="1"/>
  <c r="I45" i="3"/>
  <c r="G46" i="3"/>
  <c r="H45" i="3"/>
  <c r="J45" i="3" s="1"/>
  <c r="T44" i="3"/>
  <c r="V43" i="3"/>
  <c r="W43" i="3" l="1"/>
  <c r="U44" i="3" s="1"/>
  <c r="H46" i="3"/>
  <c r="I46" i="3"/>
  <c r="G47" i="3"/>
  <c r="V44" i="3"/>
  <c r="T45" i="3"/>
  <c r="J46" i="3" l="1"/>
  <c r="H47" i="3" s="1"/>
  <c r="W44" i="3"/>
  <c r="U45" i="3" s="1"/>
  <c r="T46" i="3"/>
  <c r="V45" i="3"/>
  <c r="G48" i="3"/>
  <c r="I47" i="3"/>
  <c r="W45" i="3" l="1"/>
  <c r="J47" i="3"/>
  <c r="G49" i="3"/>
  <c r="I48" i="3"/>
  <c r="H48" i="3"/>
  <c r="J48" i="3" s="1"/>
  <c r="U46" i="3"/>
  <c r="T47" i="3"/>
  <c r="V46" i="3"/>
  <c r="W46" i="3" l="1"/>
  <c r="U47" i="3" s="1"/>
  <c r="V47" i="3"/>
  <c r="T48" i="3"/>
  <c r="H49" i="3"/>
  <c r="I49" i="3"/>
  <c r="G50" i="3"/>
  <c r="W47" i="3" l="1"/>
  <c r="U48" i="3" s="1"/>
  <c r="J49" i="3"/>
  <c r="H50" i="3" s="1"/>
  <c r="I50" i="3"/>
  <c r="G51" i="3"/>
  <c r="T49" i="3"/>
  <c r="V48" i="3"/>
  <c r="J50" i="3" l="1"/>
  <c r="H51" i="3" s="1"/>
  <c r="W48" i="3"/>
  <c r="U49" i="3"/>
  <c r="T50" i="3"/>
  <c r="V49" i="3"/>
  <c r="G52" i="3"/>
  <c r="I51" i="3"/>
  <c r="J51" i="3" l="1"/>
  <c r="H52" i="3" s="1"/>
  <c r="W49" i="3"/>
  <c r="U50" i="3" s="1"/>
  <c r="I52" i="3"/>
  <c r="G53" i="3"/>
  <c r="T51" i="3"/>
  <c r="V50" i="3"/>
  <c r="J52" i="3" l="1"/>
  <c r="W50" i="3"/>
  <c r="H53" i="3"/>
  <c r="U51" i="3"/>
  <c r="T52" i="3"/>
  <c r="V51" i="3"/>
  <c r="G54" i="3"/>
  <c r="I53" i="3"/>
  <c r="W51" i="3" l="1"/>
  <c r="U52" i="3" s="1"/>
  <c r="J53" i="3"/>
  <c r="H54" i="3" s="1"/>
  <c r="I54" i="3"/>
  <c r="G55" i="3"/>
  <c r="V52" i="3"/>
  <c r="T53" i="3"/>
  <c r="J54" i="3" l="1"/>
  <c r="H55" i="3" s="1"/>
  <c r="W52" i="3"/>
  <c r="U53" i="3" s="1"/>
  <c r="V53" i="3"/>
  <c r="T54" i="3"/>
  <c r="I55" i="3"/>
  <c r="G56" i="3"/>
  <c r="W53" i="3" l="1"/>
  <c r="J55" i="3"/>
  <c r="H56" i="3" s="1"/>
  <c r="U54" i="3"/>
  <c r="G57" i="3"/>
  <c r="I56" i="3"/>
  <c r="T55" i="3"/>
  <c r="V54" i="3"/>
  <c r="J56" i="3" l="1"/>
  <c r="H57" i="3" s="1"/>
  <c r="W54" i="3"/>
  <c r="U55" i="3" s="1"/>
  <c r="T56" i="3"/>
  <c r="V55" i="3"/>
  <c r="I57" i="3"/>
  <c r="G58" i="3"/>
  <c r="W55" i="3" l="1"/>
  <c r="J57" i="3"/>
  <c r="H58" i="3" s="1"/>
  <c r="U56" i="3"/>
  <c r="G59" i="3"/>
  <c r="I58" i="3"/>
  <c r="V56" i="3"/>
  <c r="T57" i="3"/>
  <c r="J58" i="3" l="1"/>
  <c r="W56" i="3"/>
  <c r="U57" i="3"/>
  <c r="H59" i="3"/>
  <c r="V57" i="3"/>
  <c r="T58" i="3"/>
  <c r="G60" i="3"/>
  <c r="I59" i="3"/>
  <c r="J59" i="3" l="1"/>
  <c r="W57" i="3"/>
  <c r="U58" i="3"/>
  <c r="I60" i="3"/>
  <c r="H60" i="3"/>
  <c r="J60" i="3" s="1"/>
  <c r="G61" i="3"/>
  <c r="V58" i="3"/>
  <c r="T59" i="3"/>
  <c r="W58" i="3" l="1"/>
  <c r="U59" i="3" s="1"/>
  <c r="H61" i="3"/>
  <c r="T60" i="3"/>
  <c r="V59" i="3"/>
  <c r="G62" i="3"/>
  <c r="I61" i="3"/>
  <c r="W59" i="3" l="1"/>
  <c r="J61" i="3"/>
  <c r="H62" i="3" s="1"/>
  <c r="G63" i="3"/>
  <c r="I62" i="3"/>
  <c r="T61" i="3"/>
  <c r="V60" i="3"/>
  <c r="U60" i="3"/>
  <c r="W60" i="3" s="1"/>
  <c r="J62" i="3" l="1"/>
  <c r="U61" i="3"/>
  <c r="V61" i="3"/>
  <c r="T62" i="3"/>
  <c r="G64" i="3"/>
  <c r="I63" i="3"/>
  <c r="H63" i="3"/>
  <c r="J63" i="3" s="1"/>
  <c r="W61" i="3" l="1"/>
  <c r="U62" i="3" s="1"/>
  <c r="H64" i="3"/>
  <c r="G65" i="3"/>
  <c r="I64" i="3"/>
  <c r="V62" i="3"/>
  <c r="T63" i="3"/>
  <c r="J64" i="3" l="1"/>
  <c r="W62" i="3"/>
  <c r="U63" i="3" s="1"/>
  <c r="T64" i="3"/>
  <c r="V63" i="3"/>
  <c r="I65" i="3"/>
  <c r="G66" i="3"/>
  <c r="H65" i="3"/>
  <c r="J65" i="3" s="1"/>
  <c r="W63" i="3" l="1"/>
  <c r="U64" i="3"/>
  <c r="V64" i="3"/>
  <c r="T65" i="3"/>
  <c r="I66" i="3"/>
  <c r="H66" i="3"/>
  <c r="J66" i="3" s="1"/>
  <c r="G67" i="3"/>
  <c r="W64" i="3" l="1"/>
  <c r="U65" i="3" s="1"/>
  <c r="H67" i="3"/>
  <c r="G68" i="3"/>
  <c r="I67" i="3"/>
  <c r="T66" i="3"/>
  <c r="V65" i="3"/>
  <c r="J67" i="3" l="1"/>
  <c r="W65" i="3"/>
  <c r="U66" i="3" s="1"/>
  <c r="H68" i="3"/>
  <c r="V66" i="3"/>
  <c r="T67" i="3"/>
  <c r="G69" i="3"/>
  <c r="I68" i="3"/>
  <c r="W66" i="3" l="1"/>
  <c r="J68" i="3"/>
  <c r="U67" i="3"/>
  <c r="H69" i="3"/>
  <c r="I69" i="3"/>
  <c r="G70" i="3"/>
  <c r="V67" i="3"/>
  <c r="T68" i="3"/>
  <c r="J69" i="3" l="1"/>
  <c r="H70" i="3" s="1"/>
  <c r="W67" i="3"/>
  <c r="U68" i="3" s="1"/>
  <c r="T69" i="3"/>
  <c r="V68" i="3"/>
  <c r="I70" i="3"/>
  <c r="G71" i="3"/>
  <c r="J70" i="3" l="1"/>
  <c r="W68" i="3"/>
  <c r="U69" i="3" s="1"/>
  <c r="W69" i="3" s="1"/>
  <c r="H71" i="3"/>
  <c r="I71" i="3"/>
  <c r="G72" i="3"/>
  <c r="V69" i="3"/>
  <c r="T70" i="3"/>
  <c r="J71" i="3" l="1"/>
  <c r="H72" i="3" s="1"/>
  <c r="T71" i="3"/>
  <c r="V70" i="3"/>
  <c r="U70" i="3"/>
  <c r="W70" i="3" s="1"/>
  <c r="I72" i="3"/>
  <c r="J72" i="3" l="1"/>
  <c r="U71" i="3"/>
  <c r="T72" i="3"/>
  <c r="V71" i="3"/>
  <c r="W71" i="3" l="1"/>
  <c r="U72" i="3" s="1"/>
  <c r="V72" i="3"/>
  <c r="W72" i="3" l="1"/>
  <c r="M9" i="2" l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M407" i="2" s="1"/>
  <c r="M408" i="2" s="1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M425" i="2" s="1"/>
  <c r="M426" i="2" s="1"/>
  <c r="M427" i="2" s="1"/>
  <c r="M428" i="2" s="1"/>
  <c r="M429" i="2" s="1"/>
  <c r="M430" i="2" s="1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M443" i="2" s="1"/>
  <c r="M444" i="2" s="1"/>
  <c r="M445" i="2" s="1"/>
  <c r="M446" i="2" s="1"/>
  <c r="M447" i="2" s="1"/>
  <c r="M448" i="2" s="1"/>
  <c r="M449" i="2" s="1"/>
  <c r="M450" i="2" s="1"/>
  <c r="M451" i="2" s="1"/>
  <c r="M452" i="2" s="1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M477" i="2" s="1"/>
  <c r="M478" i="2" s="1"/>
  <c r="M479" i="2" s="1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M495" i="2" s="1"/>
  <c r="M496" i="2" s="1"/>
  <c r="M497" i="2" s="1"/>
  <c r="M498" i="2" s="1"/>
  <c r="M499" i="2" s="1"/>
  <c r="M500" i="2" s="1"/>
  <c r="M501" i="2" s="1"/>
  <c r="M502" i="2" s="1"/>
  <c r="M503" i="2" s="1"/>
  <c r="M504" i="2" s="1"/>
  <c r="M505" i="2" s="1"/>
  <c r="M506" i="2" s="1"/>
  <c r="M507" i="2" s="1"/>
  <c r="M508" i="2" s="1"/>
  <c r="M509" i="2" s="1"/>
  <c r="M510" i="2" s="1"/>
  <c r="M511" i="2" s="1"/>
  <c r="M512" i="2" s="1"/>
  <c r="M513" i="2" s="1"/>
  <c r="M514" i="2" s="1"/>
  <c r="M515" i="2" s="1"/>
  <c r="M516" i="2" s="1"/>
  <c r="M517" i="2" s="1"/>
  <c r="M518" i="2" s="1"/>
  <c r="M519" i="2" s="1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M530" i="2" s="1"/>
  <c r="M531" i="2" s="1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M543" i="2" s="1"/>
  <c r="M544" i="2" s="1"/>
  <c r="M545" i="2" s="1"/>
  <c r="M546" i="2" s="1"/>
  <c r="M547" i="2" s="1"/>
  <c r="M548" i="2" s="1"/>
  <c r="M549" i="2" s="1"/>
  <c r="M550" i="2" s="1"/>
  <c r="M551" i="2" s="1"/>
  <c r="M552" i="2" s="1"/>
  <c r="M553" i="2" s="1"/>
  <c r="M554" i="2" s="1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M568" i="2" s="1"/>
  <c r="M569" i="2" s="1"/>
  <c r="M570" i="2" s="1"/>
  <c r="M571" i="2" s="1"/>
  <c r="M572" i="2" s="1"/>
  <c r="M573" i="2" s="1"/>
  <c r="M574" i="2" s="1"/>
  <c r="M575" i="2" s="1"/>
  <c r="M576" i="2" s="1"/>
  <c r="M577" i="2" s="1"/>
  <c r="M578" i="2" s="1"/>
  <c r="M579" i="2" s="1"/>
  <c r="M580" i="2" s="1"/>
  <c r="M581" i="2" s="1"/>
  <c r="M582" i="2" s="1"/>
  <c r="M583" i="2" s="1"/>
  <c r="M584" i="2" s="1"/>
  <c r="M585" i="2" s="1"/>
  <c r="M586" i="2" s="1"/>
  <c r="M587" i="2" s="1"/>
  <c r="M588" i="2" s="1"/>
  <c r="M589" i="2" s="1"/>
  <c r="M590" i="2" s="1"/>
  <c r="M591" i="2" s="1"/>
  <c r="M592" i="2" s="1"/>
  <c r="M593" i="2" s="1"/>
  <c r="M594" i="2" s="1"/>
  <c r="M595" i="2" s="1"/>
  <c r="M596" i="2" s="1"/>
  <c r="M597" i="2" s="1"/>
  <c r="M598" i="2" s="1"/>
  <c r="M599" i="2" s="1"/>
  <c r="M600" i="2" s="1"/>
  <c r="M601" i="2" s="1"/>
  <c r="M602" i="2" s="1"/>
  <c r="M603" i="2" s="1"/>
  <c r="M604" i="2" s="1"/>
  <c r="M605" i="2" s="1"/>
  <c r="M606" i="2" s="1"/>
  <c r="M607" i="2" s="1"/>
  <c r="M608" i="2" s="1"/>
  <c r="M609" i="2" s="1"/>
  <c r="M610" i="2" s="1"/>
  <c r="M611" i="2" s="1"/>
  <c r="M612" i="2" s="1"/>
  <c r="M613" i="2" s="1"/>
  <c r="M614" i="2" s="1"/>
  <c r="M615" i="2" s="1"/>
  <c r="M616" i="2" s="1"/>
  <c r="M617" i="2" s="1"/>
  <c r="M618" i="2" s="1"/>
  <c r="M619" i="2" s="1"/>
  <c r="M620" i="2" s="1"/>
  <c r="M621" i="2" s="1"/>
  <c r="M622" i="2" s="1"/>
  <c r="M623" i="2" s="1"/>
  <c r="M624" i="2" s="1"/>
  <c r="M625" i="2" s="1"/>
  <c r="M626" i="2" s="1"/>
  <c r="M627" i="2" s="1"/>
  <c r="M628" i="2" s="1"/>
  <c r="M629" i="2" s="1"/>
  <c r="M630" i="2" s="1"/>
  <c r="M631" i="2" s="1"/>
  <c r="M632" i="2" s="1"/>
  <c r="M633" i="2" s="1"/>
  <c r="M634" i="2" s="1"/>
  <c r="M635" i="2" s="1"/>
  <c r="M636" i="2" s="1"/>
  <c r="M637" i="2" s="1"/>
  <c r="M638" i="2" s="1"/>
  <c r="M639" i="2" s="1"/>
  <c r="M640" i="2" s="1"/>
  <c r="M641" i="2" s="1"/>
  <c r="M642" i="2" s="1"/>
  <c r="M643" i="2" s="1"/>
  <c r="M644" i="2" s="1"/>
  <c r="M645" i="2" s="1"/>
  <c r="M646" i="2" s="1"/>
  <c r="M647" i="2" s="1"/>
  <c r="M648" i="2" s="1"/>
  <c r="M649" i="2" s="1"/>
  <c r="M650" i="2" s="1"/>
  <c r="M651" i="2" s="1"/>
  <c r="M652" i="2" s="1"/>
  <c r="M653" i="2" s="1"/>
  <c r="M654" i="2" s="1"/>
  <c r="M655" i="2" s="1"/>
  <c r="M656" i="2" s="1"/>
  <c r="M657" i="2" s="1"/>
  <c r="M658" i="2" s="1"/>
  <c r="M659" i="2" s="1"/>
  <c r="M660" i="2" s="1"/>
  <c r="M661" i="2" s="1"/>
  <c r="M662" i="2" s="1"/>
  <c r="M663" i="2" s="1"/>
  <c r="M664" i="2" s="1"/>
  <c r="M665" i="2" s="1"/>
  <c r="M666" i="2" s="1"/>
  <c r="M667" i="2" s="1"/>
  <c r="M668" i="2" s="1"/>
  <c r="M669" i="2" s="1"/>
  <c r="M670" i="2" s="1"/>
  <c r="M671" i="2" s="1"/>
  <c r="M672" i="2" s="1"/>
  <c r="M673" i="2" s="1"/>
  <c r="M674" i="2" s="1"/>
  <c r="M675" i="2" s="1"/>
  <c r="M676" i="2" s="1"/>
  <c r="M677" i="2" s="1"/>
  <c r="M678" i="2" s="1"/>
  <c r="M679" i="2" s="1"/>
  <c r="M680" i="2" s="1"/>
  <c r="M681" i="2" s="1"/>
  <c r="M682" i="2" s="1"/>
  <c r="M683" i="2" s="1"/>
  <c r="M684" i="2" s="1"/>
  <c r="M685" i="2" s="1"/>
  <c r="M686" i="2" s="1"/>
  <c r="M687" i="2" s="1"/>
  <c r="M688" i="2" s="1"/>
  <c r="M689" i="2" s="1"/>
  <c r="M690" i="2" s="1"/>
  <c r="M691" i="2" s="1"/>
  <c r="M692" i="2" s="1"/>
  <c r="M693" i="2" s="1"/>
  <c r="M694" i="2" s="1"/>
  <c r="M695" i="2" s="1"/>
  <c r="M696" i="2" s="1"/>
  <c r="M697" i="2" s="1"/>
  <c r="M698" i="2" s="1"/>
  <c r="M699" i="2" s="1"/>
  <c r="M700" i="2" s="1"/>
  <c r="M701" i="2" s="1"/>
  <c r="M702" i="2" s="1"/>
  <c r="M703" i="2" s="1"/>
  <c r="M704" i="2" s="1"/>
  <c r="M705" i="2" s="1"/>
  <c r="M706" i="2" s="1"/>
  <c r="M707" i="2" s="1"/>
  <c r="M708" i="2" s="1"/>
  <c r="M709" i="2" s="1"/>
  <c r="M710" i="2" s="1"/>
  <c r="M711" i="2" s="1"/>
  <c r="M712" i="2" s="1"/>
  <c r="M713" i="2" s="1"/>
  <c r="M714" i="2" s="1"/>
  <c r="M715" i="2" s="1"/>
  <c r="M716" i="2" s="1"/>
  <c r="M717" i="2" s="1"/>
  <c r="M718" i="2" s="1"/>
  <c r="M719" i="2" s="1"/>
  <c r="M720" i="2" s="1"/>
  <c r="M721" i="2" s="1"/>
  <c r="M722" i="2" s="1"/>
  <c r="M723" i="2" s="1"/>
  <c r="M724" i="2" s="1"/>
  <c r="M725" i="2" s="1"/>
  <c r="M726" i="2" s="1"/>
  <c r="M727" i="2" s="1"/>
  <c r="N8" i="2"/>
  <c r="O8" i="1"/>
  <c r="O11" i="1" s="1"/>
  <c r="O13" i="1" s="1"/>
  <c r="O8" i="2" l="1"/>
  <c r="P8" i="2" s="1"/>
  <c r="L9" i="2" s="1"/>
  <c r="N9" i="2" s="1"/>
  <c r="O9" i="2" l="1"/>
  <c r="P9" i="2" s="1"/>
  <c r="L10" i="2" s="1"/>
  <c r="N10" i="2" s="1"/>
  <c r="O10" i="2" l="1"/>
  <c r="P10" i="2" s="1"/>
  <c r="L11" i="2" s="1"/>
  <c r="N11" i="2" s="1"/>
  <c r="O11" i="2" l="1"/>
  <c r="P11" i="2" s="1"/>
  <c r="L12" i="2" s="1"/>
  <c r="N12" i="2" s="1"/>
  <c r="O12" i="2" l="1"/>
  <c r="P12" i="2" s="1"/>
  <c r="L13" i="2" s="1"/>
  <c r="N13" i="2" s="1"/>
  <c r="O13" i="2" l="1"/>
  <c r="P13" i="2" s="1"/>
  <c r="L14" i="2" s="1"/>
  <c r="N14" i="2" s="1"/>
  <c r="O14" i="2" l="1"/>
  <c r="P14" i="2" s="1"/>
  <c r="L15" i="2" s="1"/>
  <c r="N15" i="2" s="1"/>
  <c r="O15" i="2" l="1"/>
  <c r="P15" i="2" s="1"/>
  <c r="L16" i="2" s="1"/>
  <c r="N16" i="2" s="1"/>
  <c r="O16" i="2" l="1"/>
  <c r="P16" i="2" s="1"/>
  <c r="L17" i="2" s="1"/>
  <c r="N17" i="2" s="1"/>
  <c r="O17" i="2" l="1"/>
  <c r="P17" i="2" s="1"/>
  <c r="L18" i="2" s="1"/>
  <c r="N18" i="2" s="1"/>
  <c r="O18" i="2" l="1"/>
  <c r="P18" i="2" s="1"/>
  <c r="L19" i="2" s="1"/>
  <c r="N19" i="2" s="1"/>
  <c r="O19" i="2" l="1"/>
  <c r="P19" i="2" s="1"/>
  <c r="L20" i="2" s="1"/>
  <c r="N20" i="2" s="1"/>
  <c r="O20" i="2" l="1"/>
  <c r="P20" i="2" s="1"/>
  <c r="L21" i="2" s="1"/>
  <c r="N21" i="2" s="1"/>
  <c r="O21" i="2" l="1"/>
  <c r="P21" i="2" s="1"/>
  <c r="L22" i="2" s="1"/>
  <c r="N22" i="2" s="1"/>
  <c r="O22" i="2" l="1"/>
  <c r="P22" i="2" s="1"/>
  <c r="L23" i="2" s="1"/>
  <c r="N23" i="2" s="1"/>
  <c r="O23" i="2" l="1"/>
  <c r="P23" i="2" s="1"/>
  <c r="L24" i="2" s="1"/>
  <c r="N24" i="2" s="1"/>
  <c r="O24" i="2" l="1"/>
  <c r="P24" i="2" s="1"/>
  <c r="L25" i="2" s="1"/>
  <c r="N25" i="2" s="1"/>
  <c r="O25" i="2" l="1"/>
  <c r="P25" i="2" s="1"/>
  <c r="L26" i="2" s="1"/>
  <c r="N26" i="2" s="1"/>
  <c r="O26" i="2" l="1"/>
  <c r="P26" i="2" s="1"/>
  <c r="L27" i="2" s="1"/>
  <c r="N27" i="2" s="1"/>
  <c r="O27" i="2" l="1"/>
  <c r="P27" i="2" s="1"/>
  <c r="L28" i="2" s="1"/>
  <c r="N28" i="2" s="1"/>
  <c r="O28" i="2" l="1"/>
  <c r="P28" i="2" s="1"/>
  <c r="L29" i="2" s="1"/>
  <c r="N29" i="2" s="1"/>
  <c r="O29" i="2" l="1"/>
  <c r="P29" i="2" s="1"/>
  <c r="L30" i="2" s="1"/>
  <c r="N30" i="2" s="1"/>
  <c r="O30" i="2" l="1"/>
  <c r="P30" i="2" s="1"/>
  <c r="L31" i="2" s="1"/>
  <c r="N31" i="2" s="1"/>
  <c r="O31" i="2" l="1"/>
  <c r="P31" i="2" s="1"/>
  <c r="L32" i="2" s="1"/>
  <c r="N32" i="2" s="1"/>
  <c r="O32" i="2" l="1"/>
  <c r="P32" i="2" s="1"/>
  <c r="L33" i="2" s="1"/>
  <c r="N33" i="2" s="1"/>
  <c r="O33" i="2" l="1"/>
  <c r="P33" i="2" s="1"/>
  <c r="L34" i="2" s="1"/>
  <c r="N34" i="2" s="1"/>
  <c r="O34" i="2" l="1"/>
  <c r="P34" i="2" s="1"/>
  <c r="L35" i="2" s="1"/>
  <c r="N35" i="2" s="1"/>
  <c r="O35" i="2" l="1"/>
  <c r="P35" i="2" s="1"/>
  <c r="L36" i="2" s="1"/>
  <c r="N36" i="2" s="1"/>
  <c r="O36" i="2" l="1"/>
  <c r="P36" i="2" s="1"/>
  <c r="L37" i="2" s="1"/>
  <c r="N37" i="2" s="1"/>
  <c r="O37" i="2" l="1"/>
  <c r="P37" i="2" s="1"/>
  <c r="L38" i="2" s="1"/>
  <c r="N38" i="2" s="1"/>
  <c r="O38" i="2" l="1"/>
  <c r="P38" i="2" s="1"/>
  <c r="L39" i="2" s="1"/>
  <c r="N39" i="2" s="1"/>
  <c r="O39" i="2" l="1"/>
  <c r="P39" i="2" s="1"/>
  <c r="L40" i="2" s="1"/>
  <c r="N40" i="2" s="1"/>
  <c r="O40" i="2" l="1"/>
  <c r="P40" i="2" s="1"/>
  <c r="L41" i="2" s="1"/>
  <c r="N41" i="2" s="1"/>
  <c r="O41" i="2" l="1"/>
  <c r="P41" i="2" s="1"/>
  <c r="L42" i="2" s="1"/>
  <c r="N42" i="2" s="1"/>
  <c r="O42" i="2" l="1"/>
  <c r="P42" i="2" s="1"/>
  <c r="L43" i="2" s="1"/>
  <c r="N43" i="2" s="1"/>
  <c r="O43" i="2" l="1"/>
  <c r="P43" i="2" s="1"/>
  <c r="L44" i="2" s="1"/>
  <c r="N44" i="2" s="1"/>
  <c r="O44" i="2" l="1"/>
  <c r="P44" i="2" s="1"/>
  <c r="L45" i="2" s="1"/>
  <c r="N45" i="2" s="1"/>
  <c r="O45" i="2" l="1"/>
  <c r="P45" i="2" s="1"/>
  <c r="L46" i="2" s="1"/>
  <c r="N46" i="2" s="1"/>
  <c r="O46" i="2" l="1"/>
  <c r="P46" i="2" s="1"/>
  <c r="L47" i="2" s="1"/>
  <c r="N47" i="2" s="1"/>
  <c r="O47" i="2" l="1"/>
  <c r="P47" i="2" s="1"/>
  <c r="L48" i="2" s="1"/>
  <c r="N48" i="2" s="1"/>
  <c r="O48" i="2" l="1"/>
  <c r="P48" i="2" s="1"/>
  <c r="L49" i="2" s="1"/>
  <c r="N49" i="2" s="1"/>
  <c r="O49" i="2" l="1"/>
  <c r="P49" i="2" s="1"/>
  <c r="L50" i="2" s="1"/>
  <c r="N50" i="2" s="1"/>
  <c r="O50" i="2" l="1"/>
  <c r="P50" i="2" s="1"/>
  <c r="L51" i="2" s="1"/>
  <c r="N51" i="2" s="1"/>
  <c r="O51" i="2" l="1"/>
  <c r="P51" i="2" s="1"/>
  <c r="L52" i="2" s="1"/>
  <c r="N52" i="2" s="1"/>
  <c r="O52" i="2" l="1"/>
  <c r="P52" i="2" s="1"/>
  <c r="L53" i="2" s="1"/>
  <c r="N53" i="2" s="1"/>
  <c r="O53" i="2" l="1"/>
  <c r="P53" i="2" s="1"/>
  <c r="L54" i="2" s="1"/>
  <c r="N54" i="2" s="1"/>
  <c r="O54" i="2" l="1"/>
  <c r="P54" i="2" s="1"/>
  <c r="L55" i="2" s="1"/>
  <c r="N55" i="2" s="1"/>
  <c r="O55" i="2" l="1"/>
  <c r="P55" i="2" s="1"/>
  <c r="L56" i="2" s="1"/>
  <c r="N56" i="2" s="1"/>
  <c r="O56" i="2" l="1"/>
  <c r="P56" i="2" s="1"/>
  <c r="L57" i="2" s="1"/>
  <c r="N57" i="2" s="1"/>
  <c r="O57" i="2" l="1"/>
  <c r="P57" i="2" s="1"/>
  <c r="L58" i="2" s="1"/>
  <c r="N58" i="2" s="1"/>
  <c r="O58" i="2" l="1"/>
  <c r="P58" i="2" s="1"/>
  <c r="L59" i="2" s="1"/>
  <c r="N59" i="2" s="1"/>
  <c r="O59" i="2" l="1"/>
  <c r="P59" i="2" s="1"/>
  <c r="L60" i="2" s="1"/>
  <c r="N60" i="2" s="1"/>
  <c r="O60" i="2" l="1"/>
  <c r="P60" i="2" s="1"/>
  <c r="L61" i="2" s="1"/>
  <c r="N61" i="2" s="1"/>
  <c r="O61" i="2" l="1"/>
  <c r="P61" i="2" s="1"/>
  <c r="L62" i="2" s="1"/>
  <c r="N62" i="2" s="1"/>
  <c r="O62" i="2" l="1"/>
  <c r="P62" i="2" s="1"/>
  <c r="L63" i="2" s="1"/>
  <c r="N63" i="2" s="1"/>
  <c r="O63" i="2" l="1"/>
  <c r="P63" i="2" s="1"/>
  <c r="L64" i="2" s="1"/>
  <c r="N64" i="2" s="1"/>
  <c r="O64" i="2" l="1"/>
  <c r="P64" i="2" s="1"/>
  <c r="L65" i="2" s="1"/>
  <c r="N65" i="2" s="1"/>
  <c r="O65" i="2" l="1"/>
  <c r="P65" i="2" s="1"/>
  <c r="L66" i="2" s="1"/>
  <c r="N66" i="2" s="1"/>
  <c r="O66" i="2" l="1"/>
  <c r="P66" i="2" s="1"/>
  <c r="L67" i="2" s="1"/>
  <c r="N67" i="2" s="1"/>
  <c r="O67" i="2" l="1"/>
  <c r="P67" i="2" s="1"/>
  <c r="L68" i="2" s="1"/>
  <c r="N68" i="2" s="1"/>
  <c r="O68" i="2" l="1"/>
  <c r="P68" i="2" s="1"/>
  <c r="L69" i="2" s="1"/>
  <c r="N69" i="2" s="1"/>
  <c r="O69" i="2" l="1"/>
  <c r="P69" i="2" s="1"/>
  <c r="L70" i="2" s="1"/>
  <c r="N70" i="2" s="1"/>
  <c r="O70" i="2" l="1"/>
  <c r="P70" i="2" s="1"/>
  <c r="L71" i="2" s="1"/>
  <c r="N71" i="2" s="1"/>
  <c r="O71" i="2" l="1"/>
  <c r="P71" i="2" s="1"/>
  <c r="L72" i="2" s="1"/>
  <c r="N72" i="2" s="1"/>
  <c r="O72" i="2" l="1"/>
  <c r="P72" i="2" s="1"/>
  <c r="L73" i="2" s="1"/>
  <c r="N73" i="2" s="1"/>
  <c r="O73" i="2" l="1"/>
  <c r="P73" i="2" s="1"/>
  <c r="L74" i="2" s="1"/>
  <c r="N74" i="2" s="1"/>
  <c r="O74" i="2" l="1"/>
  <c r="P74" i="2" s="1"/>
  <c r="L75" i="2" s="1"/>
  <c r="N75" i="2" s="1"/>
  <c r="O75" i="2" l="1"/>
  <c r="P75" i="2" s="1"/>
  <c r="L76" i="2" s="1"/>
  <c r="N76" i="2" s="1"/>
  <c r="O76" i="2" l="1"/>
  <c r="P76" i="2" s="1"/>
  <c r="L77" i="2" s="1"/>
  <c r="N77" i="2" s="1"/>
  <c r="O77" i="2" l="1"/>
  <c r="P77" i="2" s="1"/>
  <c r="L78" i="2" s="1"/>
  <c r="N78" i="2" s="1"/>
  <c r="O78" i="2" l="1"/>
  <c r="P78" i="2" s="1"/>
  <c r="L79" i="2" s="1"/>
  <c r="N79" i="2" s="1"/>
  <c r="O79" i="2" l="1"/>
  <c r="P79" i="2" s="1"/>
  <c r="L80" i="2" s="1"/>
  <c r="N80" i="2" s="1"/>
  <c r="O80" i="2" l="1"/>
  <c r="P80" i="2" s="1"/>
  <c r="L81" i="2" s="1"/>
  <c r="N81" i="2" s="1"/>
  <c r="O81" i="2" l="1"/>
  <c r="P81" i="2" s="1"/>
  <c r="L82" i="2" s="1"/>
  <c r="N82" i="2" s="1"/>
  <c r="O82" i="2" l="1"/>
  <c r="P82" i="2" s="1"/>
  <c r="L83" i="2" s="1"/>
  <c r="N83" i="2" s="1"/>
  <c r="O83" i="2" l="1"/>
  <c r="P83" i="2" s="1"/>
  <c r="L84" i="2" s="1"/>
  <c r="N84" i="2" s="1"/>
  <c r="O84" i="2" l="1"/>
  <c r="P84" i="2" s="1"/>
  <c r="L85" i="2" s="1"/>
  <c r="N85" i="2" s="1"/>
  <c r="O85" i="2" l="1"/>
  <c r="P85" i="2" s="1"/>
  <c r="L86" i="2" s="1"/>
  <c r="N86" i="2" s="1"/>
  <c r="O86" i="2" l="1"/>
  <c r="P86" i="2" s="1"/>
  <c r="L87" i="2" s="1"/>
  <c r="N87" i="2" s="1"/>
  <c r="O87" i="2" l="1"/>
  <c r="P87" i="2" s="1"/>
  <c r="L88" i="2" s="1"/>
  <c r="N88" i="2" s="1"/>
  <c r="O88" i="2" l="1"/>
  <c r="P88" i="2" s="1"/>
  <c r="L89" i="2" s="1"/>
  <c r="N89" i="2" s="1"/>
  <c r="O89" i="2" l="1"/>
  <c r="P89" i="2" s="1"/>
  <c r="L90" i="2" s="1"/>
  <c r="N90" i="2" s="1"/>
  <c r="O90" i="2" l="1"/>
  <c r="P90" i="2" s="1"/>
  <c r="L91" i="2" s="1"/>
  <c r="N91" i="2" s="1"/>
  <c r="O91" i="2" l="1"/>
  <c r="P91" i="2" s="1"/>
  <c r="L92" i="2" s="1"/>
  <c r="N92" i="2" s="1"/>
  <c r="O92" i="2" l="1"/>
  <c r="P92" i="2" s="1"/>
  <c r="L93" i="2" s="1"/>
  <c r="N93" i="2" s="1"/>
  <c r="O93" i="2" l="1"/>
  <c r="P93" i="2" s="1"/>
  <c r="L94" i="2" s="1"/>
  <c r="N94" i="2" s="1"/>
  <c r="O94" i="2" l="1"/>
  <c r="P94" i="2" s="1"/>
  <c r="L95" i="2" s="1"/>
  <c r="N95" i="2" s="1"/>
  <c r="O95" i="2" l="1"/>
  <c r="P95" i="2" s="1"/>
  <c r="L96" i="2" s="1"/>
  <c r="N96" i="2" s="1"/>
  <c r="O96" i="2" l="1"/>
  <c r="P96" i="2" s="1"/>
  <c r="L97" i="2" s="1"/>
  <c r="N97" i="2" s="1"/>
  <c r="O97" i="2" l="1"/>
  <c r="P97" i="2" s="1"/>
  <c r="L98" i="2" s="1"/>
  <c r="N98" i="2" s="1"/>
  <c r="O98" i="2" l="1"/>
  <c r="P98" i="2" s="1"/>
  <c r="L99" i="2" s="1"/>
  <c r="N99" i="2" s="1"/>
  <c r="O99" i="2" l="1"/>
  <c r="P99" i="2" s="1"/>
  <c r="L100" i="2" s="1"/>
  <c r="N100" i="2" s="1"/>
  <c r="O100" i="2" l="1"/>
  <c r="P100" i="2" s="1"/>
  <c r="L101" i="2" s="1"/>
  <c r="N101" i="2" s="1"/>
  <c r="O101" i="2" l="1"/>
  <c r="P101" i="2" s="1"/>
  <c r="L102" i="2" s="1"/>
  <c r="N102" i="2" s="1"/>
  <c r="O102" i="2" l="1"/>
  <c r="P102" i="2" s="1"/>
  <c r="L103" i="2" s="1"/>
  <c r="N103" i="2" s="1"/>
  <c r="O103" i="2" l="1"/>
  <c r="P103" i="2" s="1"/>
  <c r="L104" i="2" s="1"/>
  <c r="N104" i="2" s="1"/>
  <c r="O104" i="2" l="1"/>
  <c r="P104" i="2" s="1"/>
  <c r="L105" i="2" s="1"/>
  <c r="N105" i="2" s="1"/>
  <c r="O105" i="2" l="1"/>
  <c r="P105" i="2" s="1"/>
  <c r="L106" i="2" s="1"/>
  <c r="N106" i="2" s="1"/>
  <c r="O106" i="2" l="1"/>
  <c r="P106" i="2" s="1"/>
  <c r="L107" i="2" s="1"/>
  <c r="N107" i="2" s="1"/>
  <c r="O107" i="2" l="1"/>
  <c r="P107" i="2" s="1"/>
  <c r="L108" i="2" s="1"/>
  <c r="N108" i="2" s="1"/>
  <c r="O108" i="2" l="1"/>
  <c r="P108" i="2" s="1"/>
  <c r="L109" i="2" s="1"/>
  <c r="N109" i="2" s="1"/>
  <c r="O109" i="2" l="1"/>
  <c r="P109" i="2" s="1"/>
  <c r="L110" i="2" s="1"/>
  <c r="N110" i="2" s="1"/>
  <c r="O110" i="2" l="1"/>
  <c r="P110" i="2" s="1"/>
  <c r="L111" i="2" s="1"/>
  <c r="N111" i="2" s="1"/>
  <c r="O111" i="2" l="1"/>
  <c r="P111" i="2" s="1"/>
  <c r="L112" i="2" s="1"/>
  <c r="N112" i="2" s="1"/>
  <c r="O112" i="2" l="1"/>
  <c r="P112" i="2" s="1"/>
  <c r="L113" i="2" s="1"/>
  <c r="N113" i="2" s="1"/>
  <c r="O113" i="2" l="1"/>
  <c r="P113" i="2" s="1"/>
  <c r="L114" i="2" s="1"/>
  <c r="N114" i="2" s="1"/>
  <c r="O114" i="2" l="1"/>
  <c r="P114" i="2" s="1"/>
  <c r="L115" i="2" s="1"/>
  <c r="N115" i="2" s="1"/>
  <c r="O115" i="2" l="1"/>
  <c r="P115" i="2" s="1"/>
  <c r="L116" i="2" s="1"/>
  <c r="N116" i="2" s="1"/>
  <c r="O116" i="2" l="1"/>
  <c r="P116" i="2" s="1"/>
  <c r="L117" i="2" s="1"/>
  <c r="N117" i="2" s="1"/>
  <c r="O117" i="2" l="1"/>
  <c r="P117" i="2" s="1"/>
  <c r="L118" i="2" s="1"/>
  <c r="N118" i="2" s="1"/>
  <c r="O118" i="2" l="1"/>
  <c r="P118" i="2" s="1"/>
  <c r="L119" i="2" s="1"/>
  <c r="N119" i="2" s="1"/>
  <c r="O119" i="2" l="1"/>
  <c r="P119" i="2" s="1"/>
  <c r="L120" i="2" s="1"/>
  <c r="N120" i="2" s="1"/>
  <c r="O120" i="2" l="1"/>
  <c r="P120" i="2" s="1"/>
  <c r="L121" i="2" s="1"/>
  <c r="N121" i="2" s="1"/>
  <c r="O121" i="2" l="1"/>
  <c r="P121" i="2" s="1"/>
  <c r="L122" i="2" s="1"/>
  <c r="N122" i="2" s="1"/>
  <c r="O122" i="2" l="1"/>
  <c r="P122" i="2" s="1"/>
  <c r="L123" i="2" s="1"/>
  <c r="N123" i="2" s="1"/>
  <c r="O123" i="2" l="1"/>
  <c r="P123" i="2" s="1"/>
  <c r="L124" i="2" s="1"/>
  <c r="N124" i="2" s="1"/>
  <c r="O124" i="2" l="1"/>
  <c r="P124" i="2" s="1"/>
  <c r="L125" i="2" s="1"/>
  <c r="N125" i="2" s="1"/>
  <c r="O125" i="2" l="1"/>
  <c r="P125" i="2" s="1"/>
  <c r="L126" i="2" s="1"/>
  <c r="N126" i="2" s="1"/>
  <c r="O126" i="2" l="1"/>
  <c r="P126" i="2" s="1"/>
  <c r="L127" i="2" s="1"/>
  <c r="N127" i="2" s="1"/>
  <c r="O127" i="2" l="1"/>
  <c r="P127" i="2" s="1"/>
  <c r="L128" i="2" s="1"/>
  <c r="N128" i="2" s="1"/>
  <c r="O128" i="2" l="1"/>
  <c r="P128" i="2" s="1"/>
  <c r="L129" i="2" s="1"/>
  <c r="N129" i="2" s="1"/>
  <c r="O129" i="2" l="1"/>
  <c r="P129" i="2" s="1"/>
  <c r="L130" i="2" s="1"/>
  <c r="N130" i="2" s="1"/>
  <c r="O130" i="2" l="1"/>
  <c r="P130" i="2" s="1"/>
  <c r="L131" i="2" s="1"/>
  <c r="N131" i="2" s="1"/>
  <c r="O131" i="2" l="1"/>
  <c r="P131" i="2" s="1"/>
  <c r="L132" i="2" s="1"/>
  <c r="N132" i="2" s="1"/>
  <c r="O132" i="2" l="1"/>
  <c r="P132" i="2" s="1"/>
  <c r="L133" i="2" s="1"/>
  <c r="N133" i="2" s="1"/>
  <c r="O133" i="2" l="1"/>
  <c r="P133" i="2" s="1"/>
  <c r="L134" i="2" s="1"/>
  <c r="N134" i="2" s="1"/>
  <c r="O134" i="2" l="1"/>
  <c r="P134" i="2" s="1"/>
  <c r="L135" i="2" s="1"/>
  <c r="N135" i="2" s="1"/>
  <c r="O135" i="2" l="1"/>
  <c r="P135" i="2" s="1"/>
  <c r="L136" i="2" s="1"/>
  <c r="N136" i="2" s="1"/>
  <c r="O136" i="2" l="1"/>
  <c r="P136" i="2" s="1"/>
  <c r="L137" i="2" s="1"/>
  <c r="N137" i="2" s="1"/>
  <c r="O137" i="2" l="1"/>
  <c r="P137" i="2" s="1"/>
  <c r="L138" i="2" s="1"/>
  <c r="N138" i="2" s="1"/>
  <c r="O138" i="2" l="1"/>
  <c r="P138" i="2" s="1"/>
  <c r="L139" i="2" s="1"/>
  <c r="N139" i="2" s="1"/>
  <c r="O139" i="2" l="1"/>
  <c r="P139" i="2" s="1"/>
  <c r="L140" i="2" s="1"/>
  <c r="N140" i="2" s="1"/>
  <c r="O140" i="2" l="1"/>
  <c r="P140" i="2" s="1"/>
  <c r="L141" i="2" s="1"/>
  <c r="N141" i="2" s="1"/>
  <c r="O141" i="2" l="1"/>
  <c r="P141" i="2" s="1"/>
  <c r="L142" i="2" s="1"/>
  <c r="N142" i="2" s="1"/>
  <c r="O142" i="2" l="1"/>
  <c r="P142" i="2" s="1"/>
  <c r="L143" i="2" s="1"/>
  <c r="N143" i="2" s="1"/>
  <c r="O143" i="2" l="1"/>
  <c r="P143" i="2" s="1"/>
  <c r="L144" i="2" s="1"/>
  <c r="N144" i="2" s="1"/>
  <c r="O144" i="2" l="1"/>
  <c r="P144" i="2" s="1"/>
  <c r="L145" i="2" s="1"/>
  <c r="N145" i="2" s="1"/>
  <c r="O145" i="2" l="1"/>
  <c r="P145" i="2" s="1"/>
  <c r="L146" i="2" s="1"/>
  <c r="N146" i="2" s="1"/>
  <c r="O146" i="2" l="1"/>
  <c r="P146" i="2" s="1"/>
  <c r="L147" i="2" s="1"/>
  <c r="N147" i="2" s="1"/>
  <c r="O147" i="2" l="1"/>
  <c r="P147" i="2" s="1"/>
  <c r="L148" i="2" s="1"/>
  <c r="N148" i="2" s="1"/>
  <c r="O148" i="2" l="1"/>
  <c r="P148" i="2" s="1"/>
  <c r="L149" i="2" s="1"/>
  <c r="N149" i="2" s="1"/>
  <c r="O149" i="2" l="1"/>
  <c r="P149" i="2" s="1"/>
  <c r="L150" i="2" s="1"/>
  <c r="N150" i="2" s="1"/>
  <c r="O150" i="2" l="1"/>
  <c r="P150" i="2" s="1"/>
  <c r="L151" i="2" s="1"/>
  <c r="N151" i="2" s="1"/>
  <c r="O151" i="2" l="1"/>
  <c r="P151" i="2" s="1"/>
  <c r="L152" i="2" s="1"/>
  <c r="N152" i="2" s="1"/>
  <c r="O152" i="2" l="1"/>
  <c r="P152" i="2" s="1"/>
  <c r="L153" i="2" s="1"/>
  <c r="N153" i="2" s="1"/>
  <c r="O153" i="2" l="1"/>
  <c r="P153" i="2" s="1"/>
  <c r="L154" i="2" s="1"/>
  <c r="N154" i="2" s="1"/>
  <c r="O154" i="2" l="1"/>
  <c r="P154" i="2" s="1"/>
  <c r="L155" i="2" s="1"/>
  <c r="N155" i="2" s="1"/>
  <c r="O155" i="2" l="1"/>
  <c r="P155" i="2" s="1"/>
  <c r="L156" i="2" s="1"/>
  <c r="N156" i="2" s="1"/>
  <c r="O156" i="2" l="1"/>
  <c r="P156" i="2" s="1"/>
  <c r="L157" i="2" s="1"/>
  <c r="N157" i="2" s="1"/>
  <c r="O157" i="2" l="1"/>
  <c r="P157" i="2" s="1"/>
  <c r="L158" i="2" s="1"/>
  <c r="N158" i="2" s="1"/>
  <c r="O158" i="2" l="1"/>
  <c r="P158" i="2" s="1"/>
  <c r="L159" i="2" s="1"/>
  <c r="N159" i="2" s="1"/>
  <c r="O159" i="2" l="1"/>
  <c r="P159" i="2" s="1"/>
  <c r="L160" i="2" s="1"/>
  <c r="N160" i="2" s="1"/>
  <c r="O160" i="2" l="1"/>
  <c r="P160" i="2" s="1"/>
  <c r="L161" i="2" s="1"/>
  <c r="N161" i="2" s="1"/>
  <c r="O161" i="2" l="1"/>
  <c r="P161" i="2" s="1"/>
  <c r="L162" i="2" s="1"/>
  <c r="N162" i="2" s="1"/>
  <c r="O162" i="2" l="1"/>
  <c r="P162" i="2" s="1"/>
  <c r="L163" i="2" s="1"/>
  <c r="N163" i="2" s="1"/>
  <c r="O163" i="2" l="1"/>
  <c r="P163" i="2" s="1"/>
  <c r="L164" i="2" s="1"/>
  <c r="N164" i="2" s="1"/>
  <c r="O164" i="2" l="1"/>
  <c r="P164" i="2" s="1"/>
  <c r="L165" i="2" s="1"/>
  <c r="N165" i="2" s="1"/>
  <c r="O165" i="2" l="1"/>
  <c r="P165" i="2" s="1"/>
  <c r="L166" i="2" s="1"/>
  <c r="N166" i="2" s="1"/>
  <c r="O166" i="2" l="1"/>
  <c r="P166" i="2" s="1"/>
  <c r="L167" i="2" s="1"/>
  <c r="N167" i="2" s="1"/>
  <c r="O167" i="2" l="1"/>
  <c r="P167" i="2" s="1"/>
  <c r="L168" i="2" s="1"/>
  <c r="N168" i="2" s="1"/>
  <c r="O168" i="2" l="1"/>
  <c r="P168" i="2" s="1"/>
  <c r="L169" i="2" s="1"/>
  <c r="N169" i="2" s="1"/>
  <c r="O169" i="2" l="1"/>
  <c r="P169" i="2" s="1"/>
  <c r="L170" i="2" s="1"/>
  <c r="N170" i="2" s="1"/>
  <c r="O170" i="2" l="1"/>
  <c r="P170" i="2" s="1"/>
  <c r="L171" i="2" s="1"/>
  <c r="N171" i="2" s="1"/>
  <c r="O171" i="2" l="1"/>
  <c r="P171" i="2" s="1"/>
  <c r="L172" i="2" s="1"/>
  <c r="N172" i="2" s="1"/>
  <c r="O172" i="2" l="1"/>
  <c r="P172" i="2" s="1"/>
  <c r="L173" i="2" s="1"/>
  <c r="N173" i="2" s="1"/>
  <c r="O173" i="2" l="1"/>
  <c r="P173" i="2" s="1"/>
  <c r="L174" i="2" s="1"/>
  <c r="N174" i="2" s="1"/>
  <c r="O174" i="2" l="1"/>
  <c r="P174" i="2" s="1"/>
  <c r="L175" i="2" s="1"/>
  <c r="N175" i="2" s="1"/>
  <c r="O175" i="2" l="1"/>
  <c r="P175" i="2" s="1"/>
  <c r="L176" i="2" s="1"/>
  <c r="N176" i="2" s="1"/>
  <c r="O176" i="2" l="1"/>
  <c r="P176" i="2" s="1"/>
  <c r="L177" i="2" s="1"/>
  <c r="N177" i="2" s="1"/>
  <c r="O177" i="2" l="1"/>
  <c r="P177" i="2" s="1"/>
  <c r="L178" i="2" s="1"/>
  <c r="N178" i="2" s="1"/>
  <c r="O178" i="2" l="1"/>
  <c r="P178" i="2" s="1"/>
  <c r="L179" i="2" s="1"/>
  <c r="N179" i="2" s="1"/>
  <c r="O179" i="2" l="1"/>
  <c r="P179" i="2" s="1"/>
  <c r="L180" i="2" s="1"/>
  <c r="N180" i="2" s="1"/>
  <c r="O180" i="2" l="1"/>
  <c r="P180" i="2" s="1"/>
  <c r="L181" i="2" s="1"/>
  <c r="N181" i="2" s="1"/>
  <c r="O181" i="2" l="1"/>
  <c r="P181" i="2" s="1"/>
  <c r="L182" i="2" s="1"/>
  <c r="N182" i="2" s="1"/>
  <c r="O182" i="2" l="1"/>
  <c r="P182" i="2" s="1"/>
  <c r="L183" i="2" s="1"/>
  <c r="N183" i="2" s="1"/>
  <c r="O183" i="2" l="1"/>
  <c r="P183" i="2" s="1"/>
  <c r="L184" i="2" s="1"/>
  <c r="N184" i="2" s="1"/>
  <c r="O184" i="2" l="1"/>
  <c r="P184" i="2" s="1"/>
  <c r="L185" i="2" s="1"/>
  <c r="N185" i="2" s="1"/>
  <c r="O185" i="2" l="1"/>
  <c r="P185" i="2" s="1"/>
  <c r="L186" i="2" s="1"/>
  <c r="N186" i="2" s="1"/>
  <c r="O186" i="2" l="1"/>
  <c r="P186" i="2" s="1"/>
  <c r="L187" i="2" s="1"/>
  <c r="N187" i="2" s="1"/>
  <c r="O187" i="2" l="1"/>
  <c r="P187" i="2" s="1"/>
  <c r="L188" i="2" s="1"/>
  <c r="N188" i="2" s="1"/>
  <c r="O188" i="2" l="1"/>
  <c r="P188" i="2" s="1"/>
  <c r="L189" i="2" s="1"/>
  <c r="N189" i="2" s="1"/>
  <c r="O189" i="2" l="1"/>
  <c r="P189" i="2" s="1"/>
  <c r="L190" i="2" s="1"/>
  <c r="N190" i="2" s="1"/>
  <c r="O190" i="2" l="1"/>
  <c r="P190" i="2" s="1"/>
  <c r="L191" i="2" s="1"/>
  <c r="N191" i="2" s="1"/>
  <c r="O191" i="2" l="1"/>
  <c r="P191" i="2" s="1"/>
  <c r="L192" i="2" s="1"/>
  <c r="N192" i="2" s="1"/>
  <c r="O192" i="2" l="1"/>
  <c r="P192" i="2" s="1"/>
  <c r="L193" i="2" s="1"/>
  <c r="N193" i="2" s="1"/>
  <c r="O193" i="2" l="1"/>
  <c r="P193" i="2" s="1"/>
  <c r="L194" i="2" s="1"/>
  <c r="N194" i="2" s="1"/>
  <c r="O194" i="2" l="1"/>
  <c r="P194" i="2" s="1"/>
  <c r="L195" i="2" s="1"/>
  <c r="N195" i="2" s="1"/>
  <c r="O195" i="2" l="1"/>
  <c r="P195" i="2" s="1"/>
  <c r="L196" i="2" s="1"/>
  <c r="N196" i="2" s="1"/>
  <c r="O196" i="2" l="1"/>
  <c r="P196" i="2" s="1"/>
  <c r="L197" i="2" s="1"/>
  <c r="N197" i="2" s="1"/>
  <c r="O197" i="2" l="1"/>
  <c r="P197" i="2" s="1"/>
  <c r="L198" i="2" s="1"/>
  <c r="N198" i="2" s="1"/>
  <c r="O198" i="2" l="1"/>
  <c r="P198" i="2" s="1"/>
  <c r="L199" i="2" s="1"/>
  <c r="N199" i="2" s="1"/>
  <c r="O199" i="2" l="1"/>
  <c r="P199" i="2" s="1"/>
  <c r="L200" i="2" s="1"/>
  <c r="N200" i="2" s="1"/>
  <c r="O200" i="2" l="1"/>
  <c r="P200" i="2" s="1"/>
  <c r="L201" i="2" s="1"/>
  <c r="N201" i="2" s="1"/>
  <c r="O201" i="2" l="1"/>
  <c r="P201" i="2" s="1"/>
  <c r="L202" i="2" s="1"/>
  <c r="N202" i="2" s="1"/>
  <c r="O202" i="2" l="1"/>
  <c r="P202" i="2" s="1"/>
  <c r="L203" i="2" s="1"/>
  <c r="N203" i="2" s="1"/>
  <c r="O203" i="2" l="1"/>
  <c r="P203" i="2" s="1"/>
  <c r="L204" i="2" s="1"/>
  <c r="N204" i="2" s="1"/>
  <c r="O204" i="2" l="1"/>
  <c r="P204" i="2" s="1"/>
  <c r="L205" i="2" s="1"/>
  <c r="N205" i="2" s="1"/>
  <c r="O205" i="2" l="1"/>
  <c r="P205" i="2" s="1"/>
  <c r="L206" i="2" s="1"/>
  <c r="N206" i="2" s="1"/>
  <c r="O206" i="2" l="1"/>
  <c r="P206" i="2" s="1"/>
  <c r="L207" i="2" s="1"/>
  <c r="N207" i="2" s="1"/>
  <c r="O207" i="2" l="1"/>
  <c r="P207" i="2" s="1"/>
  <c r="L208" i="2" s="1"/>
  <c r="N208" i="2" s="1"/>
  <c r="O208" i="2" l="1"/>
  <c r="P208" i="2" s="1"/>
  <c r="L209" i="2" s="1"/>
  <c r="N209" i="2" s="1"/>
  <c r="O209" i="2" l="1"/>
  <c r="P209" i="2" s="1"/>
  <c r="L210" i="2" s="1"/>
  <c r="N210" i="2" s="1"/>
  <c r="O210" i="2" l="1"/>
  <c r="P210" i="2" s="1"/>
  <c r="L211" i="2" s="1"/>
  <c r="N211" i="2" s="1"/>
  <c r="O211" i="2" l="1"/>
  <c r="P211" i="2" s="1"/>
  <c r="L212" i="2" s="1"/>
  <c r="N212" i="2" s="1"/>
  <c r="O212" i="2" l="1"/>
  <c r="P212" i="2" s="1"/>
  <c r="L213" i="2" s="1"/>
  <c r="N213" i="2" s="1"/>
  <c r="O213" i="2" l="1"/>
  <c r="P213" i="2" s="1"/>
  <c r="L214" i="2" s="1"/>
  <c r="N214" i="2" s="1"/>
  <c r="O214" i="2" l="1"/>
  <c r="P214" i="2" s="1"/>
  <c r="L215" i="2" s="1"/>
  <c r="N215" i="2" s="1"/>
  <c r="O215" i="2" l="1"/>
  <c r="P215" i="2" s="1"/>
  <c r="L216" i="2" s="1"/>
  <c r="N216" i="2" s="1"/>
  <c r="O216" i="2" l="1"/>
  <c r="P216" i="2" s="1"/>
  <c r="L217" i="2" s="1"/>
  <c r="N217" i="2" s="1"/>
  <c r="O217" i="2" l="1"/>
  <c r="P217" i="2" s="1"/>
  <c r="L218" i="2" s="1"/>
  <c r="N218" i="2" s="1"/>
  <c r="O218" i="2" l="1"/>
  <c r="P218" i="2" s="1"/>
  <c r="L219" i="2" s="1"/>
  <c r="N219" i="2" s="1"/>
  <c r="O219" i="2" l="1"/>
  <c r="P219" i="2" s="1"/>
  <c r="L220" i="2" s="1"/>
  <c r="N220" i="2" s="1"/>
  <c r="O220" i="2" l="1"/>
  <c r="P220" i="2" s="1"/>
  <c r="L221" i="2" s="1"/>
  <c r="N221" i="2" s="1"/>
  <c r="O221" i="2" l="1"/>
  <c r="P221" i="2" s="1"/>
  <c r="L222" i="2" s="1"/>
  <c r="N222" i="2" s="1"/>
  <c r="O222" i="2" l="1"/>
  <c r="P222" i="2" s="1"/>
  <c r="L223" i="2" s="1"/>
  <c r="N223" i="2" s="1"/>
  <c r="O223" i="2" l="1"/>
  <c r="P223" i="2" s="1"/>
  <c r="L224" i="2" s="1"/>
  <c r="N224" i="2" s="1"/>
  <c r="O224" i="2" l="1"/>
  <c r="P224" i="2" s="1"/>
  <c r="L225" i="2" s="1"/>
  <c r="N225" i="2" s="1"/>
  <c r="O225" i="2" l="1"/>
  <c r="P225" i="2" s="1"/>
  <c r="L226" i="2" s="1"/>
  <c r="N226" i="2" s="1"/>
  <c r="O226" i="2" l="1"/>
  <c r="P226" i="2" s="1"/>
  <c r="L227" i="2" s="1"/>
  <c r="N227" i="2" s="1"/>
  <c r="O227" i="2" l="1"/>
  <c r="P227" i="2" s="1"/>
  <c r="L228" i="2" s="1"/>
  <c r="N228" i="2" s="1"/>
  <c r="O228" i="2" l="1"/>
  <c r="P228" i="2" s="1"/>
  <c r="L229" i="2" s="1"/>
  <c r="N229" i="2" s="1"/>
  <c r="O229" i="2" l="1"/>
  <c r="P229" i="2" s="1"/>
  <c r="L230" i="2" s="1"/>
  <c r="N230" i="2" s="1"/>
  <c r="O230" i="2" l="1"/>
  <c r="P230" i="2" s="1"/>
  <c r="L231" i="2" s="1"/>
  <c r="N231" i="2" s="1"/>
  <c r="O231" i="2" l="1"/>
  <c r="P231" i="2" s="1"/>
  <c r="L232" i="2" s="1"/>
  <c r="N232" i="2" s="1"/>
  <c r="O232" i="2" l="1"/>
  <c r="P232" i="2" s="1"/>
  <c r="L233" i="2" s="1"/>
  <c r="N233" i="2" s="1"/>
  <c r="O233" i="2" l="1"/>
  <c r="P233" i="2" s="1"/>
  <c r="L234" i="2" s="1"/>
  <c r="N234" i="2" s="1"/>
  <c r="O234" i="2" l="1"/>
  <c r="P234" i="2" s="1"/>
  <c r="L235" i="2" s="1"/>
  <c r="N235" i="2" s="1"/>
  <c r="O235" i="2" l="1"/>
  <c r="P235" i="2" s="1"/>
  <c r="L236" i="2" s="1"/>
  <c r="N236" i="2" s="1"/>
  <c r="O236" i="2" l="1"/>
  <c r="P236" i="2" s="1"/>
  <c r="L237" i="2" s="1"/>
  <c r="N237" i="2" s="1"/>
  <c r="O237" i="2" l="1"/>
  <c r="P237" i="2" s="1"/>
  <c r="L238" i="2" s="1"/>
  <c r="N238" i="2" s="1"/>
  <c r="O238" i="2" l="1"/>
  <c r="P238" i="2" s="1"/>
  <c r="L239" i="2" s="1"/>
  <c r="N239" i="2" s="1"/>
  <c r="O239" i="2" l="1"/>
  <c r="P239" i="2" s="1"/>
  <c r="L240" i="2" s="1"/>
  <c r="N240" i="2" s="1"/>
  <c r="O240" i="2" l="1"/>
  <c r="P240" i="2" s="1"/>
  <c r="L241" i="2" s="1"/>
  <c r="N241" i="2" s="1"/>
  <c r="O241" i="2" l="1"/>
  <c r="P241" i="2" s="1"/>
  <c r="L242" i="2" s="1"/>
  <c r="N242" i="2" s="1"/>
  <c r="O242" i="2" l="1"/>
  <c r="P242" i="2" s="1"/>
  <c r="L243" i="2" s="1"/>
  <c r="N243" i="2" s="1"/>
  <c r="O243" i="2" l="1"/>
  <c r="P243" i="2" s="1"/>
  <c r="L244" i="2" s="1"/>
  <c r="N244" i="2" s="1"/>
  <c r="O244" i="2" l="1"/>
  <c r="P244" i="2" s="1"/>
  <c r="L245" i="2" s="1"/>
  <c r="N245" i="2" s="1"/>
  <c r="O245" i="2" l="1"/>
  <c r="P245" i="2" s="1"/>
  <c r="L246" i="2" s="1"/>
  <c r="N246" i="2" s="1"/>
  <c r="O246" i="2" l="1"/>
  <c r="P246" i="2" s="1"/>
  <c r="L247" i="2" s="1"/>
  <c r="N247" i="2" s="1"/>
  <c r="O247" i="2" l="1"/>
  <c r="P247" i="2" s="1"/>
  <c r="L248" i="2" s="1"/>
  <c r="N248" i="2" s="1"/>
  <c r="O248" i="2" l="1"/>
  <c r="P248" i="2" s="1"/>
  <c r="L249" i="2" s="1"/>
  <c r="N249" i="2" s="1"/>
  <c r="O249" i="2" l="1"/>
  <c r="P249" i="2" s="1"/>
  <c r="L250" i="2" s="1"/>
  <c r="N250" i="2" s="1"/>
  <c r="O250" i="2" l="1"/>
  <c r="P250" i="2" s="1"/>
  <c r="L251" i="2" s="1"/>
  <c r="N251" i="2" s="1"/>
  <c r="O251" i="2" l="1"/>
  <c r="P251" i="2" s="1"/>
  <c r="L252" i="2" s="1"/>
  <c r="N252" i="2" s="1"/>
  <c r="O252" i="2" l="1"/>
  <c r="P252" i="2" s="1"/>
  <c r="L253" i="2" s="1"/>
  <c r="N253" i="2" s="1"/>
  <c r="O253" i="2" l="1"/>
  <c r="P253" i="2" s="1"/>
  <c r="L254" i="2" s="1"/>
  <c r="N254" i="2" s="1"/>
  <c r="O254" i="2" l="1"/>
  <c r="P254" i="2" s="1"/>
  <c r="L255" i="2" s="1"/>
  <c r="N255" i="2" s="1"/>
  <c r="O255" i="2" l="1"/>
  <c r="P255" i="2" s="1"/>
  <c r="L256" i="2" s="1"/>
  <c r="N256" i="2" s="1"/>
  <c r="O256" i="2" l="1"/>
  <c r="P256" i="2" s="1"/>
  <c r="L257" i="2" s="1"/>
  <c r="N257" i="2" s="1"/>
  <c r="O257" i="2" l="1"/>
  <c r="P257" i="2" s="1"/>
  <c r="L258" i="2" s="1"/>
  <c r="N258" i="2" s="1"/>
  <c r="O258" i="2" l="1"/>
  <c r="P258" i="2" s="1"/>
  <c r="L259" i="2" s="1"/>
  <c r="N259" i="2" s="1"/>
  <c r="O259" i="2" l="1"/>
  <c r="P259" i="2" s="1"/>
  <c r="L260" i="2" s="1"/>
  <c r="N260" i="2" s="1"/>
  <c r="O260" i="2" l="1"/>
  <c r="P260" i="2" s="1"/>
  <c r="L261" i="2" s="1"/>
  <c r="N261" i="2" s="1"/>
  <c r="O261" i="2" l="1"/>
  <c r="P261" i="2" s="1"/>
  <c r="L262" i="2" s="1"/>
  <c r="N262" i="2" s="1"/>
  <c r="O262" i="2" l="1"/>
  <c r="P262" i="2" s="1"/>
  <c r="L263" i="2" s="1"/>
  <c r="N263" i="2" s="1"/>
  <c r="O263" i="2" l="1"/>
  <c r="P263" i="2" s="1"/>
  <c r="L264" i="2" s="1"/>
  <c r="N264" i="2" s="1"/>
  <c r="O264" i="2" l="1"/>
  <c r="P264" i="2" s="1"/>
  <c r="L265" i="2" s="1"/>
  <c r="N265" i="2" s="1"/>
  <c r="O265" i="2" l="1"/>
  <c r="P265" i="2" s="1"/>
  <c r="L266" i="2" s="1"/>
  <c r="N266" i="2" s="1"/>
  <c r="O266" i="2" l="1"/>
  <c r="P266" i="2" s="1"/>
  <c r="L267" i="2" s="1"/>
  <c r="N267" i="2" s="1"/>
  <c r="O267" i="2" l="1"/>
  <c r="P267" i="2" s="1"/>
  <c r="L268" i="2" s="1"/>
  <c r="N268" i="2" s="1"/>
  <c r="O268" i="2" l="1"/>
  <c r="P268" i="2" s="1"/>
  <c r="L269" i="2" s="1"/>
  <c r="N269" i="2" s="1"/>
  <c r="O269" i="2" l="1"/>
  <c r="P269" i="2" s="1"/>
  <c r="L270" i="2" s="1"/>
  <c r="N270" i="2" s="1"/>
  <c r="O270" i="2" l="1"/>
  <c r="P270" i="2" s="1"/>
  <c r="L271" i="2" s="1"/>
  <c r="N271" i="2" s="1"/>
  <c r="O271" i="2" l="1"/>
  <c r="P271" i="2" s="1"/>
  <c r="L272" i="2" s="1"/>
  <c r="N272" i="2" s="1"/>
  <c r="O272" i="2" l="1"/>
  <c r="P272" i="2" s="1"/>
  <c r="L273" i="2" s="1"/>
  <c r="N273" i="2" s="1"/>
  <c r="O273" i="2" l="1"/>
  <c r="P273" i="2" s="1"/>
  <c r="L274" i="2" s="1"/>
  <c r="N274" i="2" s="1"/>
  <c r="O274" i="2" l="1"/>
  <c r="P274" i="2" s="1"/>
  <c r="L275" i="2" s="1"/>
  <c r="N275" i="2" s="1"/>
  <c r="O275" i="2" l="1"/>
  <c r="P275" i="2" s="1"/>
  <c r="L276" i="2" s="1"/>
  <c r="N276" i="2" s="1"/>
  <c r="O276" i="2" l="1"/>
  <c r="P276" i="2" s="1"/>
  <c r="L277" i="2" s="1"/>
  <c r="N277" i="2" s="1"/>
  <c r="O277" i="2" l="1"/>
  <c r="P277" i="2" s="1"/>
  <c r="L278" i="2" s="1"/>
  <c r="N278" i="2" s="1"/>
  <c r="O278" i="2" l="1"/>
  <c r="P278" i="2" s="1"/>
  <c r="L279" i="2" s="1"/>
  <c r="N279" i="2" s="1"/>
  <c r="O279" i="2" l="1"/>
  <c r="P279" i="2" s="1"/>
  <c r="L280" i="2" s="1"/>
  <c r="N280" i="2" s="1"/>
  <c r="O280" i="2" l="1"/>
  <c r="P280" i="2" s="1"/>
  <c r="L281" i="2" s="1"/>
  <c r="N281" i="2" s="1"/>
  <c r="O281" i="2" l="1"/>
  <c r="P281" i="2" s="1"/>
  <c r="L282" i="2" s="1"/>
  <c r="N282" i="2" s="1"/>
  <c r="O282" i="2" l="1"/>
  <c r="P282" i="2" s="1"/>
  <c r="L283" i="2" s="1"/>
  <c r="N283" i="2" s="1"/>
  <c r="O283" i="2" l="1"/>
  <c r="P283" i="2" s="1"/>
  <c r="L284" i="2" s="1"/>
  <c r="N284" i="2" s="1"/>
  <c r="O284" i="2" l="1"/>
  <c r="P284" i="2" s="1"/>
  <c r="L285" i="2" s="1"/>
  <c r="N285" i="2" s="1"/>
  <c r="O285" i="2" l="1"/>
  <c r="P285" i="2" s="1"/>
  <c r="L286" i="2" s="1"/>
  <c r="N286" i="2" s="1"/>
  <c r="O286" i="2" l="1"/>
  <c r="P286" i="2" s="1"/>
  <c r="L287" i="2" s="1"/>
  <c r="N287" i="2" s="1"/>
  <c r="O287" i="2" l="1"/>
  <c r="P287" i="2" s="1"/>
  <c r="L288" i="2" s="1"/>
  <c r="N288" i="2" s="1"/>
  <c r="O288" i="2" l="1"/>
  <c r="P288" i="2" s="1"/>
  <c r="L289" i="2" s="1"/>
  <c r="N289" i="2" s="1"/>
  <c r="O289" i="2" l="1"/>
  <c r="P289" i="2" s="1"/>
  <c r="L290" i="2" s="1"/>
  <c r="N290" i="2" s="1"/>
  <c r="O290" i="2" l="1"/>
  <c r="P290" i="2" s="1"/>
  <c r="L291" i="2" s="1"/>
  <c r="N291" i="2" s="1"/>
  <c r="O291" i="2" l="1"/>
  <c r="P291" i="2" s="1"/>
  <c r="L292" i="2" s="1"/>
  <c r="N292" i="2" s="1"/>
  <c r="O292" i="2" l="1"/>
  <c r="P292" i="2" s="1"/>
  <c r="L293" i="2" s="1"/>
  <c r="N293" i="2" s="1"/>
  <c r="O293" i="2" l="1"/>
  <c r="P293" i="2" s="1"/>
  <c r="L294" i="2" s="1"/>
  <c r="N294" i="2" s="1"/>
  <c r="O294" i="2" l="1"/>
  <c r="P294" i="2" s="1"/>
  <c r="L295" i="2" s="1"/>
  <c r="N295" i="2" s="1"/>
  <c r="O295" i="2" l="1"/>
  <c r="P295" i="2" s="1"/>
  <c r="L296" i="2" s="1"/>
  <c r="N296" i="2" s="1"/>
  <c r="O296" i="2" l="1"/>
  <c r="P296" i="2" s="1"/>
  <c r="L297" i="2" s="1"/>
  <c r="N297" i="2" s="1"/>
  <c r="O297" i="2" l="1"/>
  <c r="P297" i="2" s="1"/>
  <c r="L298" i="2" s="1"/>
  <c r="N298" i="2" s="1"/>
  <c r="O298" i="2" l="1"/>
  <c r="P298" i="2" s="1"/>
  <c r="L299" i="2" s="1"/>
  <c r="N299" i="2" s="1"/>
  <c r="O299" i="2" l="1"/>
  <c r="P299" i="2" s="1"/>
  <c r="L300" i="2" s="1"/>
  <c r="N300" i="2" s="1"/>
  <c r="O300" i="2" l="1"/>
  <c r="P300" i="2" s="1"/>
  <c r="L301" i="2" s="1"/>
  <c r="N301" i="2" s="1"/>
  <c r="O301" i="2" l="1"/>
  <c r="P301" i="2" s="1"/>
  <c r="L302" i="2" s="1"/>
  <c r="N302" i="2" s="1"/>
  <c r="O302" i="2" l="1"/>
  <c r="P302" i="2" s="1"/>
  <c r="L303" i="2" s="1"/>
  <c r="N303" i="2" s="1"/>
  <c r="O303" i="2" l="1"/>
  <c r="P303" i="2" s="1"/>
  <c r="L304" i="2" s="1"/>
  <c r="N304" i="2" s="1"/>
  <c r="O304" i="2" l="1"/>
  <c r="P304" i="2" s="1"/>
  <c r="L305" i="2" s="1"/>
  <c r="N305" i="2" s="1"/>
  <c r="O305" i="2" l="1"/>
  <c r="P305" i="2" s="1"/>
  <c r="L306" i="2" s="1"/>
  <c r="N306" i="2" s="1"/>
  <c r="O306" i="2" l="1"/>
  <c r="P306" i="2" s="1"/>
  <c r="L307" i="2" s="1"/>
  <c r="N307" i="2" s="1"/>
  <c r="O307" i="2" l="1"/>
  <c r="P307" i="2" s="1"/>
  <c r="L308" i="2" s="1"/>
  <c r="N308" i="2" s="1"/>
  <c r="O308" i="2" l="1"/>
  <c r="P308" i="2" s="1"/>
  <c r="L309" i="2" s="1"/>
  <c r="N309" i="2" s="1"/>
  <c r="O309" i="2" l="1"/>
  <c r="P309" i="2" s="1"/>
  <c r="L310" i="2" s="1"/>
  <c r="N310" i="2" s="1"/>
  <c r="O310" i="2" l="1"/>
  <c r="P310" i="2" s="1"/>
  <c r="L311" i="2" s="1"/>
  <c r="N311" i="2" s="1"/>
  <c r="O311" i="2" l="1"/>
  <c r="P311" i="2" s="1"/>
  <c r="L312" i="2" s="1"/>
  <c r="N312" i="2" s="1"/>
  <c r="O312" i="2" l="1"/>
  <c r="P312" i="2" s="1"/>
  <c r="L313" i="2" s="1"/>
  <c r="N313" i="2" s="1"/>
  <c r="O313" i="2" l="1"/>
  <c r="P313" i="2" s="1"/>
  <c r="L314" i="2" s="1"/>
  <c r="N314" i="2" s="1"/>
  <c r="O314" i="2" l="1"/>
  <c r="P314" i="2" s="1"/>
  <c r="L315" i="2" s="1"/>
  <c r="N315" i="2" s="1"/>
  <c r="O315" i="2" l="1"/>
  <c r="P315" i="2" s="1"/>
  <c r="L316" i="2" s="1"/>
  <c r="N316" i="2" s="1"/>
  <c r="O316" i="2" l="1"/>
  <c r="P316" i="2" s="1"/>
  <c r="L317" i="2" s="1"/>
  <c r="N317" i="2" s="1"/>
  <c r="O317" i="2" l="1"/>
  <c r="P317" i="2" s="1"/>
  <c r="L318" i="2" s="1"/>
  <c r="N318" i="2" s="1"/>
  <c r="O318" i="2" l="1"/>
  <c r="P318" i="2" s="1"/>
  <c r="L319" i="2" s="1"/>
  <c r="N319" i="2" s="1"/>
  <c r="O319" i="2" l="1"/>
  <c r="P319" i="2" s="1"/>
  <c r="L320" i="2" s="1"/>
  <c r="N320" i="2" s="1"/>
  <c r="O320" i="2" l="1"/>
  <c r="P320" i="2" s="1"/>
  <c r="L321" i="2" s="1"/>
  <c r="N321" i="2" s="1"/>
  <c r="O321" i="2" l="1"/>
  <c r="P321" i="2" s="1"/>
  <c r="L322" i="2" s="1"/>
  <c r="N322" i="2" s="1"/>
  <c r="O322" i="2" l="1"/>
  <c r="P322" i="2" s="1"/>
  <c r="L323" i="2" s="1"/>
  <c r="N323" i="2" s="1"/>
  <c r="O323" i="2" l="1"/>
  <c r="P323" i="2" s="1"/>
  <c r="L324" i="2" s="1"/>
  <c r="N324" i="2" s="1"/>
  <c r="O324" i="2" l="1"/>
  <c r="P324" i="2" s="1"/>
  <c r="L325" i="2" s="1"/>
  <c r="N325" i="2" s="1"/>
  <c r="O325" i="2" l="1"/>
  <c r="P325" i="2" s="1"/>
  <c r="L326" i="2" s="1"/>
  <c r="N326" i="2" s="1"/>
  <c r="O326" i="2" l="1"/>
  <c r="P326" i="2" s="1"/>
  <c r="L327" i="2" s="1"/>
  <c r="N327" i="2" s="1"/>
  <c r="O327" i="2" l="1"/>
  <c r="P327" i="2" s="1"/>
  <c r="L328" i="2" s="1"/>
  <c r="N328" i="2" s="1"/>
  <c r="O328" i="2" l="1"/>
  <c r="P328" i="2" s="1"/>
  <c r="L329" i="2" s="1"/>
  <c r="N329" i="2" s="1"/>
  <c r="O329" i="2" l="1"/>
  <c r="P329" i="2" s="1"/>
  <c r="L330" i="2" s="1"/>
  <c r="N330" i="2" s="1"/>
  <c r="O330" i="2" l="1"/>
  <c r="P330" i="2" s="1"/>
  <c r="L331" i="2" s="1"/>
  <c r="N331" i="2" s="1"/>
  <c r="O331" i="2" l="1"/>
  <c r="P331" i="2" s="1"/>
  <c r="L332" i="2" s="1"/>
  <c r="N332" i="2" s="1"/>
  <c r="O332" i="2" l="1"/>
  <c r="P332" i="2" s="1"/>
  <c r="L333" i="2" s="1"/>
  <c r="N333" i="2" s="1"/>
  <c r="O333" i="2" l="1"/>
  <c r="P333" i="2" s="1"/>
  <c r="L334" i="2" s="1"/>
  <c r="N334" i="2" s="1"/>
  <c r="O334" i="2" l="1"/>
  <c r="P334" i="2" s="1"/>
  <c r="L335" i="2" s="1"/>
  <c r="N335" i="2" s="1"/>
  <c r="O335" i="2" l="1"/>
  <c r="P335" i="2" s="1"/>
  <c r="L336" i="2" s="1"/>
  <c r="N336" i="2" s="1"/>
  <c r="O336" i="2" l="1"/>
  <c r="P336" i="2" s="1"/>
  <c r="L337" i="2" s="1"/>
  <c r="N337" i="2" s="1"/>
  <c r="O337" i="2" l="1"/>
  <c r="P337" i="2" s="1"/>
  <c r="L338" i="2" s="1"/>
  <c r="N338" i="2" s="1"/>
  <c r="O338" i="2" l="1"/>
  <c r="P338" i="2" s="1"/>
  <c r="L339" i="2" s="1"/>
  <c r="N339" i="2" s="1"/>
  <c r="O339" i="2" l="1"/>
  <c r="P339" i="2" s="1"/>
  <c r="L340" i="2" s="1"/>
  <c r="N340" i="2" s="1"/>
  <c r="O340" i="2" l="1"/>
  <c r="P340" i="2" s="1"/>
  <c r="L341" i="2" s="1"/>
  <c r="N341" i="2" s="1"/>
  <c r="O341" i="2" l="1"/>
  <c r="P341" i="2" s="1"/>
  <c r="L342" i="2" s="1"/>
  <c r="N342" i="2" s="1"/>
  <c r="O342" i="2" l="1"/>
  <c r="P342" i="2" s="1"/>
  <c r="L343" i="2" s="1"/>
  <c r="N343" i="2" s="1"/>
  <c r="O343" i="2" l="1"/>
  <c r="P343" i="2" s="1"/>
  <c r="L344" i="2" s="1"/>
  <c r="N344" i="2" s="1"/>
  <c r="O344" i="2" l="1"/>
  <c r="P344" i="2" s="1"/>
  <c r="L345" i="2" s="1"/>
  <c r="N345" i="2" s="1"/>
  <c r="O345" i="2" l="1"/>
  <c r="P345" i="2" s="1"/>
  <c r="L346" i="2" s="1"/>
  <c r="N346" i="2" s="1"/>
  <c r="O346" i="2" l="1"/>
  <c r="P346" i="2" s="1"/>
  <c r="L347" i="2" s="1"/>
  <c r="N347" i="2" s="1"/>
  <c r="O347" i="2" l="1"/>
  <c r="P347" i="2" s="1"/>
  <c r="L348" i="2" s="1"/>
  <c r="N348" i="2" s="1"/>
  <c r="O348" i="2" l="1"/>
  <c r="P348" i="2" s="1"/>
  <c r="L349" i="2" s="1"/>
  <c r="N349" i="2" s="1"/>
  <c r="O349" i="2" l="1"/>
  <c r="P349" i="2" s="1"/>
  <c r="L350" i="2" s="1"/>
  <c r="N350" i="2" s="1"/>
  <c r="O350" i="2" l="1"/>
  <c r="P350" i="2" s="1"/>
  <c r="L351" i="2" s="1"/>
  <c r="N351" i="2" s="1"/>
  <c r="O351" i="2" l="1"/>
  <c r="P351" i="2" s="1"/>
  <c r="L352" i="2" s="1"/>
  <c r="N352" i="2" s="1"/>
  <c r="O352" i="2" l="1"/>
  <c r="P352" i="2" s="1"/>
  <c r="L353" i="2" s="1"/>
  <c r="N353" i="2" s="1"/>
  <c r="O353" i="2" l="1"/>
  <c r="P353" i="2" s="1"/>
  <c r="L354" i="2" s="1"/>
  <c r="N354" i="2" s="1"/>
  <c r="O354" i="2" l="1"/>
  <c r="P354" i="2" s="1"/>
  <c r="L355" i="2" s="1"/>
  <c r="N355" i="2" s="1"/>
  <c r="O355" i="2" l="1"/>
  <c r="P355" i="2" s="1"/>
  <c r="L356" i="2" s="1"/>
  <c r="N356" i="2" s="1"/>
  <c r="O356" i="2" l="1"/>
  <c r="P356" i="2" s="1"/>
  <c r="L357" i="2" s="1"/>
  <c r="N357" i="2" s="1"/>
  <c r="O357" i="2" l="1"/>
  <c r="P357" i="2" s="1"/>
  <c r="L358" i="2" s="1"/>
  <c r="N358" i="2" s="1"/>
  <c r="O358" i="2" l="1"/>
  <c r="P358" i="2" s="1"/>
  <c r="L359" i="2" s="1"/>
  <c r="N359" i="2" s="1"/>
  <c r="O359" i="2" l="1"/>
  <c r="P359" i="2" s="1"/>
  <c r="L360" i="2" s="1"/>
  <c r="N360" i="2" s="1"/>
  <c r="O360" i="2" l="1"/>
  <c r="P360" i="2" s="1"/>
  <c r="L361" i="2" s="1"/>
  <c r="N361" i="2" s="1"/>
  <c r="O361" i="2" l="1"/>
  <c r="P361" i="2" s="1"/>
  <c r="L362" i="2" s="1"/>
  <c r="N362" i="2" s="1"/>
  <c r="O362" i="2" l="1"/>
  <c r="P362" i="2" s="1"/>
  <c r="L363" i="2" s="1"/>
  <c r="N363" i="2" s="1"/>
  <c r="O363" i="2" l="1"/>
  <c r="P363" i="2" s="1"/>
  <c r="L364" i="2" s="1"/>
  <c r="N364" i="2" s="1"/>
  <c r="O364" i="2" l="1"/>
  <c r="P364" i="2" s="1"/>
  <c r="L365" i="2" s="1"/>
  <c r="N365" i="2" s="1"/>
  <c r="O365" i="2" l="1"/>
  <c r="P365" i="2" s="1"/>
  <c r="L366" i="2" s="1"/>
  <c r="N366" i="2" s="1"/>
  <c r="O366" i="2" l="1"/>
  <c r="P366" i="2" s="1"/>
  <c r="L367" i="2" s="1"/>
  <c r="N367" i="2" s="1"/>
  <c r="O367" i="2" l="1"/>
  <c r="P367" i="2" s="1"/>
  <c r="L368" i="2" s="1"/>
  <c r="N368" i="2" s="1"/>
  <c r="O368" i="2" l="1"/>
  <c r="P368" i="2" s="1"/>
  <c r="L369" i="2" s="1"/>
  <c r="N369" i="2" s="1"/>
  <c r="O369" i="2" l="1"/>
  <c r="P369" i="2" s="1"/>
  <c r="L370" i="2" s="1"/>
  <c r="N370" i="2" s="1"/>
  <c r="O370" i="2" l="1"/>
  <c r="P370" i="2" s="1"/>
  <c r="L371" i="2" s="1"/>
  <c r="N371" i="2" s="1"/>
  <c r="O371" i="2" l="1"/>
  <c r="P371" i="2" s="1"/>
  <c r="L372" i="2" s="1"/>
  <c r="N372" i="2" s="1"/>
  <c r="O372" i="2" l="1"/>
  <c r="P372" i="2" s="1"/>
  <c r="L373" i="2" s="1"/>
  <c r="N373" i="2" s="1"/>
  <c r="O373" i="2" l="1"/>
  <c r="P373" i="2" s="1"/>
  <c r="L374" i="2" s="1"/>
  <c r="N374" i="2" s="1"/>
  <c r="O374" i="2" l="1"/>
  <c r="P374" i="2" s="1"/>
  <c r="L375" i="2" s="1"/>
  <c r="N375" i="2" s="1"/>
  <c r="O375" i="2" l="1"/>
  <c r="P375" i="2" s="1"/>
  <c r="L376" i="2" s="1"/>
  <c r="N376" i="2" s="1"/>
  <c r="O376" i="2" l="1"/>
  <c r="P376" i="2" s="1"/>
  <c r="L377" i="2" s="1"/>
  <c r="N377" i="2" s="1"/>
  <c r="O377" i="2" l="1"/>
  <c r="P377" i="2" s="1"/>
  <c r="L378" i="2" s="1"/>
  <c r="N378" i="2" s="1"/>
  <c r="O378" i="2" l="1"/>
  <c r="P378" i="2" s="1"/>
  <c r="L379" i="2" s="1"/>
  <c r="N379" i="2" s="1"/>
  <c r="O379" i="2" l="1"/>
  <c r="P379" i="2" s="1"/>
  <c r="L380" i="2" s="1"/>
  <c r="N380" i="2" s="1"/>
  <c r="O380" i="2" l="1"/>
  <c r="P380" i="2" s="1"/>
  <c r="L381" i="2" s="1"/>
  <c r="N381" i="2" s="1"/>
  <c r="O381" i="2" l="1"/>
  <c r="P381" i="2" s="1"/>
  <c r="L382" i="2" s="1"/>
  <c r="N382" i="2" s="1"/>
  <c r="O382" i="2" l="1"/>
  <c r="P382" i="2" s="1"/>
  <c r="L383" i="2" s="1"/>
  <c r="N383" i="2" s="1"/>
  <c r="O383" i="2" l="1"/>
  <c r="P383" i="2" s="1"/>
  <c r="L384" i="2" s="1"/>
  <c r="N384" i="2" s="1"/>
  <c r="O384" i="2" l="1"/>
  <c r="P384" i="2" s="1"/>
  <c r="L385" i="2" s="1"/>
  <c r="N385" i="2" s="1"/>
  <c r="O385" i="2" l="1"/>
  <c r="P385" i="2" s="1"/>
  <c r="L386" i="2" s="1"/>
  <c r="N386" i="2" s="1"/>
  <c r="O386" i="2" l="1"/>
  <c r="P386" i="2" s="1"/>
  <c r="L387" i="2" s="1"/>
  <c r="N387" i="2" s="1"/>
  <c r="O387" i="2" l="1"/>
  <c r="P387" i="2" s="1"/>
  <c r="L388" i="2" s="1"/>
  <c r="N388" i="2" s="1"/>
  <c r="O388" i="2" l="1"/>
  <c r="P388" i="2" s="1"/>
  <c r="L389" i="2" s="1"/>
  <c r="N389" i="2" s="1"/>
  <c r="O389" i="2" l="1"/>
  <c r="P389" i="2" s="1"/>
  <c r="L390" i="2" s="1"/>
  <c r="N390" i="2" s="1"/>
  <c r="O390" i="2" l="1"/>
  <c r="P390" i="2" s="1"/>
  <c r="L391" i="2" s="1"/>
  <c r="N391" i="2" s="1"/>
  <c r="O391" i="2" l="1"/>
  <c r="P391" i="2" s="1"/>
  <c r="L392" i="2" s="1"/>
  <c r="N392" i="2" s="1"/>
  <c r="O392" i="2" l="1"/>
  <c r="P392" i="2" s="1"/>
  <c r="L393" i="2" s="1"/>
  <c r="N393" i="2" s="1"/>
  <c r="O393" i="2" l="1"/>
  <c r="P393" i="2" s="1"/>
  <c r="L394" i="2" s="1"/>
  <c r="N394" i="2" s="1"/>
  <c r="O394" i="2" l="1"/>
  <c r="P394" i="2" s="1"/>
  <c r="L395" i="2" s="1"/>
  <c r="N395" i="2" s="1"/>
  <c r="O395" i="2" l="1"/>
  <c r="P395" i="2" s="1"/>
  <c r="L396" i="2" s="1"/>
  <c r="N396" i="2" s="1"/>
  <c r="O396" i="2" l="1"/>
  <c r="P396" i="2" s="1"/>
  <c r="L397" i="2" s="1"/>
  <c r="N397" i="2" s="1"/>
  <c r="O397" i="2" l="1"/>
  <c r="P397" i="2" s="1"/>
  <c r="L398" i="2" s="1"/>
  <c r="N398" i="2" s="1"/>
  <c r="O398" i="2" l="1"/>
  <c r="P398" i="2" s="1"/>
  <c r="L399" i="2" s="1"/>
  <c r="N399" i="2" s="1"/>
  <c r="O399" i="2" l="1"/>
  <c r="P399" i="2" s="1"/>
  <c r="L400" i="2" s="1"/>
  <c r="N400" i="2" s="1"/>
  <c r="O400" i="2" l="1"/>
  <c r="P400" i="2" s="1"/>
  <c r="L401" i="2" s="1"/>
  <c r="N401" i="2" s="1"/>
  <c r="O401" i="2" l="1"/>
  <c r="P401" i="2" s="1"/>
  <c r="L402" i="2" s="1"/>
  <c r="N402" i="2" s="1"/>
  <c r="O402" i="2" l="1"/>
  <c r="P402" i="2" s="1"/>
  <c r="L403" i="2" s="1"/>
  <c r="N403" i="2" s="1"/>
  <c r="O403" i="2" l="1"/>
  <c r="P403" i="2" s="1"/>
  <c r="L404" i="2" s="1"/>
  <c r="N404" i="2" s="1"/>
  <c r="O404" i="2" l="1"/>
  <c r="P404" i="2" s="1"/>
  <c r="L405" i="2" s="1"/>
  <c r="N405" i="2" s="1"/>
  <c r="O405" i="2" l="1"/>
  <c r="P405" i="2" s="1"/>
  <c r="L406" i="2" s="1"/>
  <c r="N406" i="2" s="1"/>
  <c r="O406" i="2" l="1"/>
  <c r="P406" i="2" s="1"/>
  <c r="L407" i="2" s="1"/>
  <c r="N407" i="2" s="1"/>
  <c r="O407" i="2" l="1"/>
  <c r="P407" i="2" s="1"/>
  <c r="L408" i="2" s="1"/>
  <c r="N408" i="2" s="1"/>
  <c r="O408" i="2" l="1"/>
  <c r="P408" i="2" s="1"/>
  <c r="L409" i="2" s="1"/>
  <c r="N409" i="2" s="1"/>
  <c r="O409" i="2" l="1"/>
  <c r="P409" i="2" s="1"/>
  <c r="L410" i="2" s="1"/>
  <c r="N410" i="2" s="1"/>
  <c r="O410" i="2" l="1"/>
  <c r="P410" i="2" s="1"/>
  <c r="L411" i="2" s="1"/>
  <c r="N411" i="2" s="1"/>
  <c r="O411" i="2" l="1"/>
  <c r="P411" i="2" s="1"/>
  <c r="L412" i="2" s="1"/>
  <c r="N412" i="2" s="1"/>
  <c r="O412" i="2" l="1"/>
  <c r="P412" i="2" s="1"/>
  <c r="L413" i="2" s="1"/>
  <c r="N413" i="2" s="1"/>
  <c r="O413" i="2" l="1"/>
  <c r="P413" i="2" s="1"/>
  <c r="L414" i="2" s="1"/>
  <c r="N414" i="2" s="1"/>
  <c r="O414" i="2" l="1"/>
  <c r="P414" i="2" s="1"/>
  <c r="L415" i="2" s="1"/>
  <c r="N415" i="2" s="1"/>
  <c r="O415" i="2" l="1"/>
  <c r="P415" i="2" s="1"/>
  <c r="L416" i="2" s="1"/>
  <c r="N416" i="2" s="1"/>
  <c r="O416" i="2" l="1"/>
  <c r="P416" i="2" s="1"/>
  <c r="L417" i="2" s="1"/>
  <c r="N417" i="2" s="1"/>
  <c r="O417" i="2" l="1"/>
  <c r="P417" i="2" s="1"/>
  <c r="L418" i="2" s="1"/>
  <c r="N418" i="2" s="1"/>
  <c r="O418" i="2" l="1"/>
  <c r="P418" i="2" s="1"/>
  <c r="L419" i="2" s="1"/>
  <c r="N419" i="2" s="1"/>
  <c r="O419" i="2" l="1"/>
  <c r="P419" i="2" s="1"/>
  <c r="L420" i="2" s="1"/>
  <c r="N420" i="2" s="1"/>
  <c r="O420" i="2" l="1"/>
  <c r="P420" i="2" s="1"/>
  <c r="L421" i="2" s="1"/>
  <c r="N421" i="2" s="1"/>
  <c r="O421" i="2" l="1"/>
  <c r="P421" i="2" s="1"/>
  <c r="L422" i="2" s="1"/>
  <c r="N422" i="2" s="1"/>
  <c r="O422" i="2" l="1"/>
  <c r="P422" i="2" s="1"/>
  <c r="L423" i="2" s="1"/>
  <c r="N423" i="2" s="1"/>
  <c r="O423" i="2" l="1"/>
  <c r="P423" i="2" s="1"/>
  <c r="L424" i="2" s="1"/>
  <c r="N424" i="2" s="1"/>
  <c r="O424" i="2" l="1"/>
  <c r="P424" i="2" s="1"/>
  <c r="L425" i="2" s="1"/>
  <c r="N425" i="2" s="1"/>
  <c r="O425" i="2" l="1"/>
  <c r="P425" i="2" s="1"/>
  <c r="L426" i="2" s="1"/>
  <c r="N426" i="2" s="1"/>
  <c r="O426" i="2" l="1"/>
  <c r="P426" i="2" s="1"/>
  <c r="L427" i="2" s="1"/>
  <c r="N427" i="2" s="1"/>
  <c r="O427" i="2" l="1"/>
  <c r="P427" i="2" s="1"/>
  <c r="L428" i="2" s="1"/>
  <c r="N428" i="2" s="1"/>
  <c r="O428" i="2" l="1"/>
  <c r="P428" i="2" s="1"/>
  <c r="L429" i="2" s="1"/>
  <c r="N429" i="2" s="1"/>
  <c r="O429" i="2" l="1"/>
  <c r="P429" i="2" s="1"/>
  <c r="L430" i="2" s="1"/>
  <c r="N430" i="2" s="1"/>
  <c r="O430" i="2" l="1"/>
  <c r="P430" i="2" s="1"/>
  <c r="L431" i="2" s="1"/>
  <c r="N431" i="2" s="1"/>
  <c r="O431" i="2" l="1"/>
  <c r="P431" i="2" s="1"/>
  <c r="L432" i="2" s="1"/>
  <c r="N432" i="2" s="1"/>
  <c r="O432" i="2" l="1"/>
  <c r="P432" i="2" s="1"/>
  <c r="L433" i="2" s="1"/>
  <c r="N433" i="2" s="1"/>
  <c r="O433" i="2" l="1"/>
  <c r="P433" i="2" s="1"/>
  <c r="L434" i="2" s="1"/>
  <c r="N434" i="2" s="1"/>
  <c r="O434" i="2" l="1"/>
  <c r="P434" i="2" s="1"/>
  <c r="L435" i="2" s="1"/>
  <c r="N435" i="2" s="1"/>
  <c r="O435" i="2" l="1"/>
  <c r="P435" i="2" s="1"/>
  <c r="L436" i="2" s="1"/>
  <c r="N436" i="2" s="1"/>
  <c r="O436" i="2" l="1"/>
  <c r="P436" i="2" s="1"/>
  <c r="L437" i="2" s="1"/>
  <c r="N437" i="2" s="1"/>
  <c r="O437" i="2" l="1"/>
  <c r="P437" i="2" s="1"/>
  <c r="L438" i="2" s="1"/>
  <c r="N438" i="2" s="1"/>
  <c r="O438" i="2" l="1"/>
  <c r="P438" i="2" s="1"/>
  <c r="L439" i="2" s="1"/>
  <c r="N439" i="2" s="1"/>
  <c r="O439" i="2" l="1"/>
  <c r="P439" i="2" s="1"/>
  <c r="L440" i="2" s="1"/>
  <c r="N440" i="2" s="1"/>
  <c r="O440" i="2" l="1"/>
  <c r="P440" i="2" s="1"/>
  <c r="L441" i="2" s="1"/>
  <c r="N441" i="2" s="1"/>
  <c r="O441" i="2" l="1"/>
  <c r="P441" i="2" s="1"/>
  <c r="L442" i="2" s="1"/>
  <c r="N442" i="2" s="1"/>
  <c r="O442" i="2" l="1"/>
  <c r="P442" i="2" s="1"/>
  <c r="L443" i="2" s="1"/>
  <c r="N443" i="2" s="1"/>
  <c r="O443" i="2" l="1"/>
  <c r="P443" i="2" s="1"/>
  <c r="L444" i="2" s="1"/>
  <c r="N444" i="2" s="1"/>
  <c r="O444" i="2" l="1"/>
  <c r="P444" i="2" s="1"/>
  <c r="L445" i="2" s="1"/>
  <c r="N445" i="2" s="1"/>
  <c r="O445" i="2" l="1"/>
  <c r="P445" i="2" s="1"/>
  <c r="L446" i="2" s="1"/>
  <c r="N446" i="2" s="1"/>
  <c r="O446" i="2" l="1"/>
  <c r="P446" i="2" s="1"/>
  <c r="L447" i="2" s="1"/>
  <c r="N447" i="2" s="1"/>
  <c r="O447" i="2" l="1"/>
  <c r="P447" i="2" s="1"/>
  <c r="L448" i="2" s="1"/>
  <c r="N448" i="2" s="1"/>
  <c r="O448" i="2" l="1"/>
  <c r="P448" i="2" s="1"/>
  <c r="L449" i="2" s="1"/>
  <c r="N449" i="2" s="1"/>
  <c r="O449" i="2" l="1"/>
  <c r="P449" i="2" s="1"/>
  <c r="L450" i="2" s="1"/>
  <c r="N450" i="2" s="1"/>
  <c r="O450" i="2" l="1"/>
  <c r="P450" i="2" s="1"/>
  <c r="L451" i="2" s="1"/>
  <c r="N451" i="2" s="1"/>
  <c r="O451" i="2" l="1"/>
  <c r="P451" i="2" s="1"/>
  <c r="L452" i="2" s="1"/>
  <c r="N452" i="2" s="1"/>
  <c r="O452" i="2" l="1"/>
  <c r="P452" i="2" s="1"/>
  <c r="L453" i="2" s="1"/>
  <c r="N453" i="2" s="1"/>
  <c r="O453" i="2" l="1"/>
  <c r="P453" i="2" s="1"/>
  <c r="L454" i="2" s="1"/>
  <c r="N454" i="2" s="1"/>
  <c r="O454" i="2" l="1"/>
  <c r="P454" i="2" s="1"/>
  <c r="L455" i="2" s="1"/>
  <c r="N455" i="2" s="1"/>
  <c r="O455" i="2" l="1"/>
  <c r="P455" i="2" s="1"/>
  <c r="L456" i="2" s="1"/>
  <c r="N456" i="2" s="1"/>
  <c r="O456" i="2" l="1"/>
  <c r="P456" i="2" s="1"/>
  <c r="L457" i="2" s="1"/>
  <c r="N457" i="2" s="1"/>
  <c r="O457" i="2" l="1"/>
  <c r="P457" i="2" s="1"/>
  <c r="L458" i="2" s="1"/>
  <c r="N458" i="2" s="1"/>
  <c r="O458" i="2" l="1"/>
  <c r="P458" i="2" s="1"/>
  <c r="L459" i="2" s="1"/>
  <c r="N459" i="2" s="1"/>
  <c r="O459" i="2" l="1"/>
  <c r="P459" i="2" s="1"/>
  <c r="L460" i="2" s="1"/>
  <c r="N460" i="2" s="1"/>
  <c r="O460" i="2" l="1"/>
  <c r="P460" i="2" s="1"/>
  <c r="L461" i="2" s="1"/>
  <c r="N461" i="2" s="1"/>
  <c r="O461" i="2" l="1"/>
  <c r="P461" i="2" s="1"/>
  <c r="L462" i="2" s="1"/>
  <c r="N462" i="2" s="1"/>
  <c r="O462" i="2" l="1"/>
  <c r="P462" i="2" s="1"/>
  <c r="L463" i="2" s="1"/>
  <c r="N463" i="2" s="1"/>
  <c r="O463" i="2" l="1"/>
  <c r="P463" i="2" s="1"/>
  <c r="L464" i="2" s="1"/>
  <c r="N464" i="2" s="1"/>
  <c r="O464" i="2" l="1"/>
  <c r="P464" i="2" s="1"/>
  <c r="L465" i="2" s="1"/>
  <c r="N465" i="2" s="1"/>
  <c r="O465" i="2" l="1"/>
  <c r="P465" i="2" s="1"/>
  <c r="L466" i="2" s="1"/>
  <c r="N466" i="2" s="1"/>
  <c r="O466" i="2" l="1"/>
  <c r="P466" i="2" s="1"/>
  <c r="L467" i="2" s="1"/>
  <c r="N467" i="2" s="1"/>
  <c r="O467" i="2" l="1"/>
  <c r="P467" i="2" s="1"/>
  <c r="L468" i="2" s="1"/>
  <c r="N468" i="2" s="1"/>
  <c r="O468" i="2" l="1"/>
  <c r="P468" i="2" s="1"/>
  <c r="L469" i="2" s="1"/>
  <c r="N469" i="2" s="1"/>
  <c r="O469" i="2" l="1"/>
  <c r="P469" i="2" s="1"/>
  <c r="L470" i="2" s="1"/>
  <c r="N470" i="2" s="1"/>
  <c r="O470" i="2" l="1"/>
  <c r="P470" i="2" s="1"/>
  <c r="L471" i="2" s="1"/>
  <c r="N471" i="2" s="1"/>
  <c r="O471" i="2" l="1"/>
  <c r="P471" i="2" s="1"/>
  <c r="L472" i="2" s="1"/>
  <c r="N472" i="2" s="1"/>
  <c r="O472" i="2" l="1"/>
  <c r="P472" i="2" s="1"/>
  <c r="L473" i="2" s="1"/>
  <c r="N473" i="2" s="1"/>
  <c r="O473" i="2" l="1"/>
  <c r="P473" i="2" s="1"/>
  <c r="L474" i="2" s="1"/>
  <c r="N474" i="2" s="1"/>
  <c r="O474" i="2" l="1"/>
  <c r="P474" i="2" s="1"/>
  <c r="L475" i="2" s="1"/>
  <c r="N475" i="2" s="1"/>
  <c r="O475" i="2" l="1"/>
  <c r="P475" i="2" s="1"/>
  <c r="L476" i="2" s="1"/>
  <c r="N476" i="2" s="1"/>
  <c r="O476" i="2" l="1"/>
  <c r="P476" i="2" s="1"/>
  <c r="L477" i="2" s="1"/>
  <c r="N477" i="2" s="1"/>
  <c r="O477" i="2" l="1"/>
  <c r="P477" i="2" s="1"/>
  <c r="L478" i="2" s="1"/>
  <c r="N478" i="2" s="1"/>
  <c r="O478" i="2" l="1"/>
  <c r="P478" i="2" s="1"/>
  <c r="L479" i="2" s="1"/>
  <c r="N479" i="2" s="1"/>
  <c r="O479" i="2" l="1"/>
  <c r="P479" i="2" s="1"/>
  <c r="L480" i="2" s="1"/>
  <c r="N480" i="2" s="1"/>
  <c r="O480" i="2" l="1"/>
  <c r="P480" i="2" s="1"/>
  <c r="L481" i="2" s="1"/>
  <c r="N481" i="2" s="1"/>
  <c r="O481" i="2" l="1"/>
  <c r="P481" i="2" s="1"/>
  <c r="L482" i="2" s="1"/>
  <c r="N482" i="2" s="1"/>
  <c r="O482" i="2" l="1"/>
  <c r="P482" i="2" s="1"/>
  <c r="L483" i="2" s="1"/>
  <c r="N483" i="2" s="1"/>
  <c r="O483" i="2" l="1"/>
  <c r="P483" i="2" s="1"/>
  <c r="L484" i="2" s="1"/>
  <c r="N484" i="2" s="1"/>
  <c r="O484" i="2" l="1"/>
  <c r="P484" i="2" s="1"/>
  <c r="L485" i="2" s="1"/>
  <c r="N485" i="2" s="1"/>
  <c r="O485" i="2" l="1"/>
  <c r="P485" i="2" s="1"/>
  <c r="L486" i="2" s="1"/>
  <c r="N486" i="2" s="1"/>
  <c r="O486" i="2" l="1"/>
  <c r="P486" i="2" s="1"/>
  <c r="L487" i="2" s="1"/>
  <c r="N487" i="2" s="1"/>
  <c r="O487" i="2" l="1"/>
  <c r="P487" i="2" s="1"/>
  <c r="L488" i="2" s="1"/>
  <c r="N488" i="2" s="1"/>
  <c r="O488" i="2" l="1"/>
  <c r="P488" i="2" s="1"/>
  <c r="L489" i="2" s="1"/>
  <c r="N489" i="2" s="1"/>
  <c r="O489" i="2" l="1"/>
  <c r="P489" i="2" s="1"/>
  <c r="L490" i="2" s="1"/>
  <c r="N490" i="2" s="1"/>
  <c r="O490" i="2" l="1"/>
  <c r="P490" i="2" s="1"/>
  <c r="L491" i="2" s="1"/>
  <c r="N491" i="2" s="1"/>
  <c r="O491" i="2" l="1"/>
  <c r="P491" i="2" s="1"/>
  <c r="L492" i="2" s="1"/>
  <c r="N492" i="2" s="1"/>
  <c r="O492" i="2" l="1"/>
  <c r="P492" i="2" s="1"/>
  <c r="L493" i="2" s="1"/>
  <c r="N493" i="2" s="1"/>
  <c r="O493" i="2" l="1"/>
  <c r="P493" i="2" s="1"/>
  <c r="L494" i="2" s="1"/>
  <c r="N494" i="2" s="1"/>
  <c r="O494" i="2" l="1"/>
  <c r="P494" i="2" s="1"/>
  <c r="L495" i="2" s="1"/>
  <c r="N495" i="2" s="1"/>
  <c r="O495" i="2" l="1"/>
  <c r="P495" i="2" s="1"/>
  <c r="L496" i="2" s="1"/>
  <c r="N496" i="2" s="1"/>
  <c r="O496" i="2" l="1"/>
  <c r="P496" i="2" s="1"/>
  <c r="L497" i="2" s="1"/>
  <c r="N497" i="2" s="1"/>
  <c r="O497" i="2" l="1"/>
  <c r="P497" i="2" s="1"/>
  <c r="L498" i="2" s="1"/>
  <c r="N498" i="2" s="1"/>
  <c r="O498" i="2" l="1"/>
  <c r="P498" i="2" s="1"/>
  <c r="L499" i="2" s="1"/>
  <c r="N499" i="2" s="1"/>
  <c r="O499" i="2" l="1"/>
  <c r="P499" i="2" s="1"/>
  <c r="L500" i="2" s="1"/>
  <c r="N500" i="2" s="1"/>
  <c r="O500" i="2" l="1"/>
  <c r="P500" i="2" s="1"/>
  <c r="L501" i="2" s="1"/>
  <c r="N501" i="2" s="1"/>
  <c r="O501" i="2" l="1"/>
  <c r="P501" i="2" s="1"/>
  <c r="L502" i="2" s="1"/>
  <c r="N502" i="2" s="1"/>
  <c r="O502" i="2" l="1"/>
  <c r="P502" i="2" s="1"/>
  <c r="L503" i="2" s="1"/>
  <c r="N503" i="2" s="1"/>
  <c r="O503" i="2" l="1"/>
  <c r="P503" i="2" s="1"/>
  <c r="L504" i="2" s="1"/>
  <c r="N504" i="2" s="1"/>
  <c r="O504" i="2" l="1"/>
  <c r="P504" i="2" s="1"/>
  <c r="L505" i="2" s="1"/>
  <c r="N505" i="2" s="1"/>
  <c r="O505" i="2" l="1"/>
  <c r="P505" i="2" s="1"/>
  <c r="L506" i="2" s="1"/>
  <c r="N506" i="2" s="1"/>
  <c r="O506" i="2" l="1"/>
  <c r="P506" i="2" s="1"/>
  <c r="L507" i="2" s="1"/>
  <c r="N507" i="2" s="1"/>
  <c r="O507" i="2" l="1"/>
  <c r="P507" i="2" s="1"/>
  <c r="L508" i="2" s="1"/>
  <c r="N508" i="2" s="1"/>
  <c r="O508" i="2" l="1"/>
  <c r="P508" i="2" s="1"/>
  <c r="L509" i="2" s="1"/>
  <c r="N509" i="2" s="1"/>
  <c r="O509" i="2" l="1"/>
  <c r="P509" i="2" s="1"/>
  <c r="L510" i="2" s="1"/>
  <c r="N510" i="2" s="1"/>
  <c r="O510" i="2" l="1"/>
  <c r="P510" i="2" s="1"/>
  <c r="L511" i="2" s="1"/>
  <c r="N511" i="2" s="1"/>
  <c r="O511" i="2" l="1"/>
  <c r="P511" i="2" s="1"/>
  <c r="L512" i="2" s="1"/>
  <c r="N512" i="2" s="1"/>
  <c r="O512" i="2" l="1"/>
  <c r="P512" i="2" s="1"/>
  <c r="L513" i="2" s="1"/>
  <c r="N513" i="2" s="1"/>
  <c r="O513" i="2" l="1"/>
  <c r="P513" i="2" s="1"/>
  <c r="L514" i="2" s="1"/>
  <c r="N514" i="2" s="1"/>
  <c r="O514" i="2" l="1"/>
  <c r="P514" i="2" s="1"/>
  <c r="L515" i="2" s="1"/>
  <c r="N515" i="2" s="1"/>
  <c r="O515" i="2" l="1"/>
  <c r="P515" i="2" s="1"/>
  <c r="L516" i="2" s="1"/>
  <c r="N516" i="2" s="1"/>
  <c r="O516" i="2" l="1"/>
  <c r="P516" i="2" s="1"/>
  <c r="L517" i="2" s="1"/>
  <c r="N517" i="2" s="1"/>
  <c r="O517" i="2" l="1"/>
  <c r="P517" i="2" s="1"/>
  <c r="L518" i="2" s="1"/>
  <c r="N518" i="2" s="1"/>
  <c r="O518" i="2" l="1"/>
  <c r="P518" i="2" s="1"/>
  <c r="L519" i="2" s="1"/>
  <c r="N519" i="2" s="1"/>
  <c r="O519" i="2" l="1"/>
  <c r="P519" i="2" s="1"/>
  <c r="L520" i="2" s="1"/>
  <c r="N520" i="2" s="1"/>
  <c r="O520" i="2" l="1"/>
  <c r="P520" i="2" s="1"/>
  <c r="L521" i="2" s="1"/>
  <c r="N521" i="2" s="1"/>
  <c r="O521" i="2" l="1"/>
  <c r="P521" i="2" s="1"/>
  <c r="L522" i="2" s="1"/>
  <c r="N522" i="2" s="1"/>
  <c r="O522" i="2" l="1"/>
  <c r="P522" i="2" s="1"/>
  <c r="L523" i="2" s="1"/>
  <c r="N523" i="2" s="1"/>
  <c r="O523" i="2" l="1"/>
  <c r="P523" i="2" s="1"/>
  <c r="L524" i="2" s="1"/>
  <c r="N524" i="2" s="1"/>
  <c r="O524" i="2" l="1"/>
  <c r="P524" i="2" s="1"/>
  <c r="L525" i="2" s="1"/>
  <c r="N525" i="2" s="1"/>
  <c r="O525" i="2" l="1"/>
  <c r="P525" i="2" s="1"/>
  <c r="L526" i="2" s="1"/>
  <c r="N526" i="2" s="1"/>
  <c r="O526" i="2" l="1"/>
  <c r="P526" i="2" s="1"/>
  <c r="L527" i="2" s="1"/>
  <c r="N527" i="2" s="1"/>
  <c r="O527" i="2" l="1"/>
  <c r="P527" i="2" s="1"/>
  <c r="L528" i="2" s="1"/>
  <c r="N528" i="2" s="1"/>
  <c r="O528" i="2" l="1"/>
  <c r="P528" i="2" s="1"/>
  <c r="L529" i="2" s="1"/>
  <c r="N529" i="2" s="1"/>
  <c r="O529" i="2" l="1"/>
  <c r="P529" i="2" s="1"/>
  <c r="L530" i="2" s="1"/>
  <c r="N530" i="2" s="1"/>
  <c r="O530" i="2" l="1"/>
  <c r="P530" i="2" s="1"/>
  <c r="L531" i="2" s="1"/>
  <c r="N531" i="2" s="1"/>
  <c r="O531" i="2" l="1"/>
  <c r="P531" i="2" s="1"/>
  <c r="L532" i="2" s="1"/>
  <c r="N532" i="2" s="1"/>
  <c r="O532" i="2" l="1"/>
  <c r="P532" i="2" s="1"/>
  <c r="L533" i="2" s="1"/>
  <c r="N533" i="2" s="1"/>
  <c r="O533" i="2" l="1"/>
  <c r="P533" i="2" s="1"/>
  <c r="L534" i="2" s="1"/>
  <c r="N534" i="2" s="1"/>
  <c r="O534" i="2" l="1"/>
  <c r="P534" i="2" s="1"/>
  <c r="L535" i="2" s="1"/>
  <c r="N535" i="2" s="1"/>
  <c r="O535" i="2" l="1"/>
  <c r="P535" i="2" s="1"/>
  <c r="L536" i="2" s="1"/>
  <c r="N536" i="2" s="1"/>
  <c r="O536" i="2" l="1"/>
  <c r="P536" i="2" s="1"/>
  <c r="L537" i="2" s="1"/>
  <c r="N537" i="2" s="1"/>
  <c r="O537" i="2" l="1"/>
  <c r="P537" i="2" s="1"/>
  <c r="L538" i="2" s="1"/>
  <c r="N538" i="2" s="1"/>
  <c r="O538" i="2" l="1"/>
  <c r="P538" i="2" s="1"/>
  <c r="L539" i="2" s="1"/>
  <c r="N539" i="2" s="1"/>
  <c r="O539" i="2" l="1"/>
  <c r="P539" i="2" s="1"/>
  <c r="L540" i="2" s="1"/>
  <c r="N540" i="2" s="1"/>
  <c r="O540" i="2" l="1"/>
  <c r="P540" i="2" s="1"/>
  <c r="L541" i="2" s="1"/>
  <c r="N541" i="2" s="1"/>
  <c r="O541" i="2" l="1"/>
  <c r="P541" i="2" s="1"/>
  <c r="L542" i="2" s="1"/>
  <c r="N542" i="2" s="1"/>
  <c r="O542" i="2" l="1"/>
  <c r="P542" i="2" s="1"/>
  <c r="L543" i="2" s="1"/>
  <c r="N543" i="2" s="1"/>
  <c r="O543" i="2" l="1"/>
  <c r="P543" i="2" s="1"/>
  <c r="L544" i="2" s="1"/>
  <c r="N544" i="2" s="1"/>
  <c r="O544" i="2" l="1"/>
  <c r="P544" i="2" s="1"/>
  <c r="L545" i="2" s="1"/>
  <c r="N545" i="2" s="1"/>
  <c r="O545" i="2" l="1"/>
  <c r="P545" i="2" s="1"/>
  <c r="L546" i="2" s="1"/>
  <c r="N546" i="2" s="1"/>
  <c r="O546" i="2" l="1"/>
  <c r="P546" i="2" s="1"/>
  <c r="L547" i="2" s="1"/>
  <c r="N547" i="2" s="1"/>
  <c r="O547" i="2" l="1"/>
  <c r="P547" i="2" s="1"/>
  <c r="L548" i="2" s="1"/>
  <c r="N548" i="2" s="1"/>
  <c r="O548" i="2" l="1"/>
  <c r="P548" i="2" s="1"/>
  <c r="L549" i="2" s="1"/>
  <c r="N549" i="2" s="1"/>
  <c r="O549" i="2" l="1"/>
  <c r="P549" i="2" s="1"/>
  <c r="L550" i="2" s="1"/>
  <c r="N550" i="2" s="1"/>
  <c r="O550" i="2" l="1"/>
  <c r="P550" i="2" s="1"/>
  <c r="L551" i="2" s="1"/>
  <c r="N551" i="2" s="1"/>
  <c r="O551" i="2" l="1"/>
  <c r="P551" i="2" s="1"/>
  <c r="L552" i="2" s="1"/>
  <c r="N552" i="2" s="1"/>
  <c r="O552" i="2" l="1"/>
  <c r="P552" i="2" s="1"/>
  <c r="L553" i="2" s="1"/>
  <c r="N553" i="2" s="1"/>
  <c r="O553" i="2" l="1"/>
  <c r="P553" i="2" s="1"/>
  <c r="L554" i="2" s="1"/>
  <c r="N554" i="2" s="1"/>
  <c r="O554" i="2" l="1"/>
  <c r="P554" i="2" s="1"/>
  <c r="L555" i="2" s="1"/>
  <c r="N555" i="2" s="1"/>
  <c r="O555" i="2" l="1"/>
  <c r="P555" i="2" s="1"/>
  <c r="L556" i="2" s="1"/>
  <c r="N556" i="2" s="1"/>
  <c r="O556" i="2" l="1"/>
  <c r="P556" i="2" s="1"/>
  <c r="L557" i="2" s="1"/>
  <c r="N557" i="2" s="1"/>
  <c r="O557" i="2" l="1"/>
  <c r="P557" i="2" s="1"/>
  <c r="L558" i="2" s="1"/>
  <c r="N558" i="2" s="1"/>
  <c r="O558" i="2" l="1"/>
  <c r="P558" i="2" s="1"/>
  <c r="L559" i="2" s="1"/>
  <c r="N559" i="2" s="1"/>
  <c r="O559" i="2" l="1"/>
  <c r="P559" i="2" s="1"/>
  <c r="L560" i="2" s="1"/>
  <c r="N560" i="2" s="1"/>
  <c r="O560" i="2" l="1"/>
  <c r="P560" i="2" s="1"/>
  <c r="L561" i="2" s="1"/>
  <c r="N561" i="2" s="1"/>
  <c r="O561" i="2" l="1"/>
  <c r="P561" i="2" s="1"/>
  <c r="L562" i="2" s="1"/>
  <c r="N562" i="2" s="1"/>
  <c r="O562" i="2" l="1"/>
  <c r="P562" i="2" s="1"/>
  <c r="L563" i="2" s="1"/>
  <c r="N563" i="2" s="1"/>
  <c r="O563" i="2" l="1"/>
  <c r="P563" i="2" s="1"/>
  <c r="L564" i="2" s="1"/>
  <c r="N564" i="2" s="1"/>
  <c r="O564" i="2" l="1"/>
  <c r="P564" i="2" s="1"/>
  <c r="L565" i="2" s="1"/>
  <c r="N565" i="2" s="1"/>
  <c r="O565" i="2" l="1"/>
  <c r="P565" i="2" s="1"/>
  <c r="L566" i="2" s="1"/>
  <c r="N566" i="2" s="1"/>
  <c r="O566" i="2" l="1"/>
  <c r="P566" i="2" s="1"/>
  <c r="L567" i="2" s="1"/>
  <c r="N567" i="2" s="1"/>
  <c r="O567" i="2" l="1"/>
  <c r="P567" i="2" s="1"/>
  <c r="L568" i="2" s="1"/>
  <c r="N568" i="2" s="1"/>
  <c r="O568" i="2" l="1"/>
  <c r="P568" i="2" s="1"/>
  <c r="L569" i="2" s="1"/>
  <c r="N569" i="2" s="1"/>
  <c r="O569" i="2" l="1"/>
  <c r="P569" i="2" s="1"/>
  <c r="L570" i="2" s="1"/>
  <c r="N570" i="2" s="1"/>
  <c r="O570" i="2" l="1"/>
  <c r="P570" i="2" s="1"/>
  <c r="L571" i="2" s="1"/>
  <c r="N571" i="2" s="1"/>
  <c r="O571" i="2" l="1"/>
  <c r="P571" i="2" s="1"/>
  <c r="L572" i="2" s="1"/>
  <c r="N572" i="2" s="1"/>
  <c r="O572" i="2" l="1"/>
  <c r="P572" i="2" s="1"/>
  <c r="L573" i="2" s="1"/>
  <c r="N573" i="2" s="1"/>
  <c r="O573" i="2" l="1"/>
  <c r="P573" i="2" s="1"/>
  <c r="L574" i="2" s="1"/>
  <c r="N574" i="2" s="1"/>
  <c r="O574" i="2" l="1"/>
  <c r="P574" i="2" s="1"/>
  <c r="L575" i="2" s="1"/>
  <c r="N575" i="2" s="1"/>
  <c r="O575" i="2" l="1"/>
  <c r="P575" i="2" s="1"/>
  <c r="L576" i="2" s="1"/>
  <c r="N576" i="2" s="1"/>
  <c r="O576" i="2" l="1"/>
  <c r="P576" i="2" s="1"/>
  <c r="L577" i="2" s="1"/>
  <c r="N577" i="2" s="1"/>
  <c r="O577" i="2" l="1"/>
  <c r="P577" i="2" s="1"/>
  <c r="L578" i="2" s="1"/>
  <c r="N578" i="2" s="1"/>
  <c r="O578" i="2" l="1"/>
  <c r="P578" i="2" s="1"/>
  <c r="L579" i="2" s="1"/>
  <c r="N579" i="2" s="1"/>
  <c r="O579" i="2" l="1"/>
  <c r="P579" i="2" s="1"/>
  <c r="L580" i="2" s="1"/>
  <c r="N580" i="2" s="1"/>
  <c r="O580" i="2" l="1"/>
  <c r="P580" i="2" s="1"/>
  <c r="L581" i="2" s="1"/>
  <c r="N581" i="2" s="1"/>
  <c r="O581" i="2" l="1"/>
  <c r="P581" i="2" s="1"/>
  <c r="L582" i="2" s="1"/>
  <c r="N582" i="2" s="1"/>
  <c r="O582" i="2" l="1"/>
  <c r="P582" i="2" s="1"/>
  <c r="L583" i="2" s="1"/>
  <c r="N583" i="2" s="1"/>
  <c r="O583" i="2" l="1"/>
  <c r="P583" i="2" s="1"/>
  <c r="L584" i="2" s="1"/>
  <c r="N584" i="2" s="1"/>
  <c r="O584" i="2" l="1"/>
  <c r="P584" i="2" s="1"/>
  <c r="L585" i="2" s="1"/>
  <c r="N585" i="2" s="1"/>
  <c r="O585" i="2" l="1"/>
  <c r="P585" i="2" s="1"/>
  <c r="L586" i="2" s="1"/>
  <c r="N586" i="2" s="1"/>
  <c r="O586" i="2" l="1"/>
  <c r="P586" i="2" s="1"/>
  <c r="L587" i="2" s="1"/>
  <c r="N587" i="2" s="1"/>
  <c r="O587" i="2" l="1"/>
  <c r="P587" i="2" s="1"/>
  <c r="L588" i="2" s="1"/>
  <c r="N588" i="2" s="1"/>
  <c r="O588" i="2" l="1"/>
  <c r="P588" i="2" s="1"/>
  <c r="L589" i="2" s="1"/>
  <c r="N589" i="2" s="1"/>
  <c r="O589" i="2" l="1"/>
  <c r="P589" i="2" s="1"/>
  <c r="L590" i="2" s="1"/>
  <c r="N590" i="2" s="1"/>
  <c r="O590" i="2" l="1"/>
  <c r="P590" i="2" s="1"/>
  <c r="L591" i="2" s="1"/>
  <c r="N591" i="2" s="1"/>
  <c r="O591" i="2" l="1"/>
  <c r="P591" i="2" s="1"/>
  <c r="L592" i="2" s="1"/>
  <c r="N592" i="2" s="1"/>
  <c r="O592" i="2" l="1"/>
  <c r="P592" i="2" s="1"/>
  <c r="L593" i="2" s="1"/>
  <c r="N593" i="2" s="1"/>
  <c r="O593" i="2" l="1"/>
  <c r="P593" i="2" s="1"/>
  <c r="L594" i="2" s="1"/>
  <c r="N594" i="2" s="1"/>
  <c r="O594" i="2" l="1"/>
  <c r="P594" i="2" s="1"/>
  <c r="L595" i="2" s="1"/>
  <c r="N595" i="2" s="1"/>
  <c r="O595" i="2" l="1"/>
  <c r="P595" i="2" s="1"/>
  <c r="L596" i="2" s="1"/>
  <c r="N596" i="2" s="1"/>
  <c r="O596" i="2" l="1"/>
  <c r="P596" i="2" s="1"/>
  <c r="L597" i="2" s="1"/>
  <c r="N597" i="2" s="1"/>
  <c r="O597" i="2" l="1"/>
  <c r="P597" i="2" s="1"/>
  <c r="L598" i="2" s="1"/>
  <c r="N598" i="2" s="1"/>
  <c r="O598" i="2" l="1"/>
  <c r="P598" i="2" s="1"/>
  <c r="L599" i="2" s="1"/>
  <c r="N599" i="2" s="1"/>
  <c r="O599" i="2" l="1"/>
  <c r="P599" i="2" s="1"/>
  <c r="L600" i="2" s="1"/>
  <c r="N600" i="2" s="1"/>
  <c r="O600" i="2" l="1"/>
  <c r="P600" i="2" s="1"/>
  <c r="L601" i="2" s="1"/>
  <c r="N601" i="2" s="1"/>
  <c r="O601" i="2" l="1"/>
  <c r="P601" i="2" s="1"/>
  <c r="L602" i="2" s="1"/>
  <c r="N602" i="2" s="1"/>
  <c r="O602" i="2" l="1"/>
  <c r="P602" i="2" s="1"/>
  <c r="L603" i="2" s="1"/>
  <c r="N603" i="2" s="1"/>
  <c r="O603" i="2" l="1"/>
  <c r="P603" i="2" s="1"/>
  <c r="L604" i="2" s="1"/>
  <c r="N604" i="2" s="1"/>
  <c r="O604" i="2" l="1"/>
  <c r="P604" i="2" s="1"/>
  <c r="L605" i="2" s="1"/>
  <c r="N605" i="2" s="1"/>
  <c r="O605" i="2" l="1"/>
  <c r="P605" i="2" s="1"/>
  <c r="L606" i="2" s="1"/>
  <c r="N606" i="2" s="1"/>
  <c r="O606" i="2" l="1"/>
  <c r="P606" i="2" s="1"/>
  <c r="L607" i="2" s="1"/>
  <c r="N607" i="2" s="1"/>
  <c r="O607" i="2" l="1"/>
  <c r="P607" i="2" s="1"/>
  <c r="L608" i="2" s="1"/>
  <c r="N608" i="2" s="1"/>
  <c r="O608" i="2" l="1"/>
  <c r="P608" i="2" s="1"/>
  <c r="L609" i="2" s="1"/>
  <c r="N609" i="2" s="1"/>
  <c r="O609" i="2" l="1"/>
  <c r="P609" i="2" s="1"/>
  <c r="L610" i="2" s="1"/>
  <c r="N610" i="2" s="1"/>
  <c r="O610" i="2" l="1"/>
  <c r="P610" i="2" s="1"/>
  <c r="L611" i="2" s="1"/>
  <c r="N611" i="2" s="1"/>
  <c r="O611" i="2" l="1"/>
  <c r="P611" i="2" s="1"/>
  <c r="L612" i="2" s="1"/>
  <c r="N612" i="2" s="1"/>
  <c r="O612" i="2" l="1"/>
  <c r="P612" i="2" s="1"/>
  <c r="L613" i="2" s="1"/>
  <c r="N613" i="2" s="1"/>
  <c r="O613" i="2" l="1"/>
  <c r="P613" i="2" s="1"/>
  <c r="L614" i="2" s="1"/>
  <c r="N614" i="2" s="1"/>
  <c r="O614" i="2" l="1"/>
  <c r="P614" i="2" s="1"/>
  <c r="L615" i="2" s="1"/>
  <c r="N615" i="2" s="1"/>
  <c r="O615" i="2" l="1"/>
  <c r="P615" i="2" s="1"/>
  <c r="L616" i="2" s="1"/>
  <c r="N616" i="2" s="1"/>
  <c r="O616" i="2" l="1"/>
  <c r="P616" i="2" s="1"/>
  <c r="L617" i="2" s="1"/>
  <c r="N617" i="2" s="1"/>
  <c r="O617" i="2" l="1"/>
  <c r="P617" i="2" s="1"/>
  <c r="L618" i="2" s="1"/>
  <c r="N618" i="2" s="1"/>
  <c r="O618" i="2" l="1"/>
  <c r="P618" i="2" s="1"/>
  <c r="L619" i="2" s="1"/>
  <c r="N619" i="2" s="1"/>
  <c r="O619" i="2" l="1"/>
  <c r="P619" i="2" s="1"/>
  <c r="L620" i="2" s="1"/>
  <c r="N620" i="2" s="1"/>
  <c r="O620" i="2" l="1"/>
  <c r="P620" i="2" s="1"/>
  <c r="L621" i="2" s="1"/>
  <c r="N621" i="2" s="1"/>
  <c r="O621" i="2" l="1"/>
  <c r="P621" i="2" s="1"/>
  <c r="L622" i="2" s="1"/>
  <c r="N622" i="2" s="1"/>
  <c r="O622" i="2" l="1"/>
  <c r="P622" i="2" s="1"/>
  <c r="L623" i="2" s="1"/>
  <c r="N623" i="2" s="1"/>
  <c r="O623" i="2" l="1"/>
  <c r="P623" i="2" s="1"/>
  <c r="L624" i="2" s="1"/>
  <c r="N624" i="2" s="1"/>
  <c r="O624" i="2" l="1"/>
  <c r="P624" i="2" s="1"/>
  <c r="L625" i="2" s="1"/>
  <c r="N625" i="2" s="1"/>
  <c r="O625" i="2" l="1"/>
  <c r="P625" i="2" s="1"/>
  <c r="L626" i="2" s="1"/>
  <c r="N626" i="2" s="1"/>
  <c r="O626" i="2" l="1"/>
  <c r="P626" i="2" s="1"/>
  <c r="L627" i="2" s="1"/>
  <c r="N627" i="2" s="1"/>
  <c r="O627" i="2" l="1"/>
  <c r="P627" i="2" s="1"/>
  <c r="L628" i="2" s="1"/>
  <c r="N628" i="2" s="1"/>
  <c r="O628" i="2" l="1"/>
  <c r="P628" i="2" s="1"/>
  <c r="L629" i="2" s="1"/>
  <c r="N629" i="2" s="1"/>
  <c r="O629" i="2" l="1"/>
  <c r="P629" i="2" s="1"/>
  <c r="L630" i="2" s="1"/>
  <c r="N630" i="2" s="1"/>
  <c r="O630" i="2" l="1"/>
  <c r="P630" i="2" s="1"/>
  <c r="L631" i="2" s="1"/>
  <c r="N631" i="2" s="1"/>
  <c r="O631" i="2" l="1"/>
  <c r="P631" i="2" s="1"/>
  <c r="L632" i="2" s="1"/>
  <c r="N632" i="2" s="1"/>
  <c r="O632" i="2" l="1"/>
  <c r="P632" i="2" s="1"/>
  <c r="L633" i="2" s="1"/>
  <c r="N633" i="2" s="1"/>
  <c r="O633" i="2" l="1"/>
  <c r="P633" i="2" s="1"/>
  <c r="L634" i="2" s="1"/>
  <c r="N634" i="2" s="1"/>
  <c r="O634" i="2" l="1"/>
  <c r="P634" i="2" s="1"/>
  <c r="L635" i="2" s="1"/>
  <c r="N635" i="2" s="1"/>
  <c r="O635" i="2" l="1"/>
  <c r="P635" i="2" s="1"/>
  <c r="L636" i="2" s="1"/>
  <c r="N636" i="2" s="1"/>
  <c r="O636" i="2" l="1"/>
  <c r="P636" i="2" s="1"/>
  <c r="L637" i="2" s="1"/>
  <c r="N637" i="2" s="1"/>
  <c r="O637" i="2" l="1"/>
  <c r="P637" i="2" s="1"/>
  <c r="L638" i="2" s="1"/>
  <c r="N638" i="2" s="1"/>
  <c r="O638" i="2" l="1"/>
  <c r="P638" i="2" s="1"/>
  <c r="L639" i="2" s="1"/>
  <c r="N639" i="2" s="1"/>
  <c r="O639" i="2" l="1"/>
  <c r="P639" i="2" s="1"/>
  <c r="L640" i="2" s="1"/>
  <c r="N640" i="2" s="1"/>
  <c r="O640" i="2" l="1"/>
  <c r="P640" i="2" s="1"/>
  <c r="L641" i="2" s="1"/>
  <c r="N641" i="2" s="1"/>
  <c r="O641" i="2" l="1"/>
  <c r="P641" i="2" s="1"/>
  <c r="L642" i="2" s="1"/>
  <c r="N642" i="2" s="1"/>
  <c r="O642" i="2" l="1"/>
  <c r="P642" i="2" s="1"/>
  <c r="L643" i="2" s="1"/>
  <c r="N643" i="2" s="1"/>
  <c r="O643" i="2" l="1"/>
  <c r="P643" i="2" s="1"/>
  <c r="L644" i="2" s="1"/>
  <c r="N644" i="2" s="1"/>
  <c r="O644" i="2" l="1"/>
  <c r="P644" i="2" s="1"/>
  <c r="L645" i="2" s="1"/>
  <c r="N645" i="2" s="1"/>
  <c r="O645" i="2" l="1"/>
  <c r="P645" i="2" s="1"/>
  <c r="L646" i="2" s="1"/>
  <c r="N646" i="2" s="1"/>
  <c r="O646" i="2" l="1"/>
  <c r="P646" i="2" s="1"/>
  <c r="L647" i="2" s="1"/>
  <c r="N647" i="2" s="1"/>
  <c r="O647" i="2" l="1"/>
  <c r="P647" i="2" s="1"/>
  <c r="L648" i="2" s="1"/>
  <c r="N648" i="2" s="1"/>
  <c r="O648" i="2" l="1"/>
  <c r="P648" i="2" s="1"/>
  <c r="L649" i="2" s="1"/>
  <c r="N649" i="2" s="1"/>
  <c r="O649" i="2" l="1"/>
  <c r="P649" i="2" s="1"/>
  <c r="L650" i="2" s="1"/>
  <c r="N650" i="2" s="1"/>
  <c r="O650" i="2" l="1"/>
  <c r="P650" i="2" s="1"/>
  <c r="L651" i="2" s="1"/>
  <c r="N651" i="2" s="1"/>
  <c r="O651" i="2" l="1"/>
  <c r="P651" i="2" s="1"/>
  <c r="L652" i="2" s="1"/>
  <c r="N652" i="2" s="1"/>
  <c r="O652" i="2" l="1"/>
  <c r="P652" i="2" s="1"/>
  <c r="L653" i="2" s="1"/>
  <c r="N653" i="2" s="1"/>
  <c r="O653" i="2" l="1"/>
  <c r="P653" i="2" s="1"/>
  <c r="L654" i="2" s="1"/>
  <c r="N654" i="2" s="1"/>
  <c r="O654" i="2" l="1"/>
  <c r="P654" i="2" s="1"/>
  <c r="L655" i="2" s="1"/>
  <c r="N655" i="2" s="1"/>
  <c r="O655" i="2" l="1"/>
  <c r="P655" i="2" s="1"/>
  <c r="L656" i="2" s="1"/>
  <c r="N656" i="2" s="1"/>
  <c r="O656" i="2" l="1"/>
  <c r="P656" i="2" s="1"/>
  <c r="L657" i="2" s="1"/>
  <c r="N657" i="2" s="1"/>
  <c r="O657" i="2" l="1"/>
  <c r="P657" i="2" s="1"/>
  <c r="L658" i="2" s="1"/>
  <c r="N658" i="2" s="1"/>
  <c r="O658" i="2" l="1"/>
  <c r="P658" i="2" s="1"/>
  <c r="L659" i="2" s="1"/>
  <c r="N659" i="2" s="1"/>
  <c r="O659" i="2" l="1"/>
  <c r="P659" i="2" s="1"/>
  <c r="L660" i="2" s="1"/>
  <c r="N660" i="2" s="1"/>
  <c r="O660" i="2" l="1"/>
  <c r="P660" i="2" s="1"/>
  <c r="L661" i="2" s="1"/>
  <c r="N661" i="2" s="1"/>
  <c r="O661" i="2" l="1"/>
  <c r="P661" i="2" s="1"/>
  <c r="L662" i="2" s="1"/>
  <c r="N662" i="2" s="1"/>
  <c r="O662" i="2" l="1"/>
  <c r="P662" i="2" s="1"/>
  <c r="L663" i="2" s="1"/>
  <c r="N663" i="2" s="1"/>
  <c r="O663" i="2" l="1"/>
  <c r="P663" i="2" s="1"/>
  <c r="L664" i="2" s="1"/>
  <c r="N664" i="2" s="1"/>
  <c r="O664" i="2" l="1"/>
  <c r="P664" i="2" s="1"/>
  <c r="L665" i="2" s="1"/>
  <c r="N665" i="2" s="1"/>
  <c r="O665" i="2" l="1"/>
  <c r="P665" i="2" s="1"/>
  <c r="L666" i="2" s="1"/>
  <c r="N666" i="2" s="1"/>
  <c r="O666" i="2" l="1"/>
  <c r="P666" i="2" s="1"/>
  <c r="L667" i="2" s="1"/>
  <c r="N667" i="2" s="1"/>
  <c r="O667" i="2" l="1"/>
  <c r="P667" i="2" s="1"/>
  <c r="L668" i="2" s="1"/>
  <c r="N668" i="2" s="1"/>
  <c r="O668" i="2" l="1"/>
  <c r="P668" i="2" s="1"/>
  <c r="L669" i="2" s="1"/>
  <c r="N669" i="2" s="1"/>
  <c r="O669" i="2" l="1"/>
  <c r="P669" i="2" s="1"/>
  <c r="L670" i="2" s="1"/>
  <c r="N670" i="2" s="1"/>
  <c r="O670" i="2" l="1"/>
  <c r="P670" i="2" s="1"/>
  <c r="L671" i="2" s="1"/>
  <c r="N671" i="2" s="1"/>
  <c r="O671" i="2" l="1"/>
  <c r="P671" i="2" s="1"/>
  <c r="L672" i="2" s="1"/>
  <c r="N672" i="2" s="1"/>
  <c r="O672" i="2" l="1"/>
  <c r="P672" i="2" s="1"/>
  <c r="L673" i="2" s="1"/>
  <c r="N673" i="2" s="1"/>
  <c r="O673" i="2" l="1"/>
  <c r="P673" i="2" s="1"/>
  <c r="L674" i="2" s="1"/>
  <c r="N674" i="2" s="1"/>
  <c r="O674" i="2" l="1"/>
  <c r="P674" i="2" s="1"/>
  <c r="L675" i="2" s="1"/>
  <c r="N675" i="2" s="1"/>
  <c r="O675" i="2" l="1"/>
  <c r="P675" i="2" s="1"/>
  <c r="L676" i="2" s="1"/>
  <c r="N676" i="2" s="1"/>
  <c r="O676" i="2" l="1"/>
  <c r="P676" i="2" s="1"/>
  <c r="L677" i="2" s="1"/>
  <c r="N677" i="2" s="1"/>
  <c r="O677" i="2" l="1"/>
  <c r="P677" i="2" s="1"/>
  <c r="L678" i="2" s="1"/>
  <c r="N678" i="2" s="1"/>
  <c r="O678" i="2" l="1"/>
  <c r="P678" i="2" s="1"/>
  <c r="L679" i="2" s="1"/>
  <c r="N679" i="2" s="1"/>
  <c r="O679" i="2" l="1"/>
  <c r="P679" i="2" s="1"/>
  <c r="L680" i="2" s="1"/>
  <c r="N680" i="2" s="1"/>
  <c r="O680" i="2" l="1"/>
  <c r="P680" i="2" s="1"/>
  <c r="L681" i="2" s="1"/>
  <c r="N681" i="2" s="1"/>
  <c r="O681" i="2" l="1"/>
  <c r="P681" i="2" s="1"/>
  <c r="L682" i="2" s="1"/>
  <c r="N682" i="2" s="1"/>
  <c r="O682" i="2" l="1"/>
  <c r="P682" i="2" s="1"/>
  <c r="L683" i="2" s="1"/>
  <c r="N683" i="2" s="1"/>
  <c r="O683" i="2" l="1"/>
  <c r="P683" i="2" s="1"/>
  <c r="L684" i="2" s="1"/>
  <c r="N684" i="2" s="1"/>
  <c r="O684" i="2" l="1"/>
  <c r="P684" i="2" s="1"/>
  <c r="L685" i="2" s="1"/>
  <c r="N685" i="2" s="1"/>
  <c r="O685" i="2" l="1"/>
  <c r="P685" i="2" s="1"/>
  <c r="L686" i="2" s="1"/>
  <c r="N686" i="2" s="1"/>
  <c r="O686" i="2" l="1"/>
  <c r="P686" i="2" s="1"/>
  <c r="L687" i="2" s="1"/>
  <c r="N687" i="2" s="1"/>
  <c r="O687" i="2" l="1"/>
  <c r="P687" i="2" s="1"/>
  <c r="L688" i="2" s="1"/>
  <c r="N688" i="2" s="1"/>
  <c r="O688" i="2" l="1"/>
  <c r="P688" i="2" s="1"/>
  <c r="L689" i="2" s="1"/>
  <c r="N689" i="2" s="1"/>
  <c r="O689" i="2" l="1"/>
  <c r="P689" i="2" s="1"/>
  <c r="L690" i="2" s="1"/>
  <c r="N690" i="2" s="1"/>
  <c r="O690" i="2" l="1"/>
  <c r="P690" i="2" s="1"/>
  <c r="L691" i="2" s="1"/>
  <c r="N691" i="2" s="1"/>
  <c r="O691" i="2" l="1"/>
  <c r="P691" i="2" s="1"/>
  <c r="L692" i="2" s="1"/>
  <c r="N692" i="2" s="1"/>
  <c r="O692" i="2" l="1"/>
  <c r="P692" i="2" s="1"/>
  <c r="L693" i="2" s="1"/>
  <c r="N693" i="2" s="1"/>
  <c r="O693" i="2" l="1"/>
  <c r="P693" i="2" s="1"/>
  <c r="L694" i="2" s="1"/>
  <c r="N694" i="2" s="1"/>
  <c r="O694" i="2" l="1"/>
  <c r="P694" i="2" s="1"/>
  <c r="L695" i="2" s="1"/>
  <c r="N695" i="2" s="1"/>
  <c r="O695" i="2" l="1"/>
  <c r="P695" i="2" s="1"/>
  <c r="L696" i="2" s="1"/>
  <c r="N696" i="2" s="1"/>
  <c r="O696" i="2" l="1"/>
  <c r="P696" i="2" s="1"/>
  <c r="L697" i="2" s="1"/>
  <c r="N697" i="2" s="1"/>
  <c r="O697" i="2" l="1"/>
  <c r="P697" i="2" s="1"/>
  <c r="L698" i="2" s="1"/>
  <c r="N698" i="2" s="1"/>
  <c r="O698" i="2" l="1"/>
  <c r="P698" i="2" s="1"/>
  <c r="L699" i="2" s="1"/>
  <c r="N699" i="2" s="1"/>
  <c r="O699" i="2" l="1"/>
  <c r="P699" i="2" s="1"/>
  <c r="L700" i="2" s="1"/>
  <c r="N700" i="2" s="1"/>
  <c r="O700" i="2" l="1"/>
  <c r="P700" i="2" s="1"/>
  <c r="L701" i="2" s="1"/>
  <c r="N701" i="2" s="1"/>
  <c r="O701" i="2" l="1"/>
  <c r="P701" i="2" s="1"/>
  <c r="L702" i="2" s="1"/>
  <c r="N702" i="2" s="1"/>
  <c r="O702" i="2" l="1"/>
  <c r="P702" i="2" s="1"/>
  <c r="L703" i="2" s="1"/>
  <c r="N703" i="2" s="1"/>
  <c r="O703" i="2" l="1"/>
  <c r="P703" i="2" s="1"/>
  <c r="L704" i="2" s="1"/>
  <c r="N704" i="2" s="1"/>
  <c r="O704" i="2" l="1"/>
  <c r="P704" i="2" s="1"/>
  <c r="L705" i="2" s="1"/>
  <c r="N705" i="2" s="1"/>
  <c r="O705" i="2" l="1"/>
  <c r="P705" i="2" s="1"/>
  <c r="L706" i="2" s="1"/>
  <c r="N706" i="2" s="1"/>
  <c r="O706" i="2" l="1"/>
  <c r="P706" i="2" s="1"/>
  <c r="L707" i="2" s="1"/>
  <c r="N707" i="2" s="1"/>
  <c r="O707" i="2" l="1"/>
  <c r="P707" i="2" s="1"/>
  <c r="L708" i="2" s="1"/>
  <c r="N708" i="2" s="1"/>
  <c r="O708" i="2" l="1"/>
  <c r="P708" i="2" s="1"/>
  <c r="L709" i="2" s="1"/>
  <c r="N709" i="2" s="1"/>
  <c r="O709" i="2" l="1"/>
  <c r="P709" i="2" s="1"/>
  <c r="L710" i="2" s="1"/>
  <c r="N710" i="2" s="1"/>
  <c r="O710" i="2" l="1"/>
  <c r="P710" i="2" s="1"/>
  <c r="L711" i="2" s="1"/>
  <c r="N711" i="2" s="1"/>
  <c r="O711" i="2" l="1"/>
  <c r="P711" i="2" s="1"/>
  <c r="L712" i="2" s="1"/>
  <c r="N712" i="2" s="1"/>
  <c r="O712" i="2" l="1"/>
  <c r="P712" i="2" s="1"/>
  <c r="L713" i="2" s="1"/>
  <c r="N713" i="2" s="1"/>
  <c r="O713" i="2" l="1"/>
  <c r="P713" i="2" s="1"/>
  <c r="L714" i="2" s="1"/>
  <c r="N714" i="2" s="1"/>
  <c r="O714" i="2" l="1"/>
  <c r="P714" i="2" s="1"/>
  <c r="L715" i="2" s="1"/>
  <c r="N715" i="2" s="1"/>
  <c r="O715" i="2" l="1"/>
  <c r="P715" i="2" s="1"/>
  <c r="L716" i="2" s="1"/>
  <c r="N716" i="2" s="1"/>
  <c r="O716" i="2" l="1"/>
  <c r="P716" i="2" s="1"/>
  <c r="L717" i="2" s="1"/>
  <c r="N717" i="2" s="1"/>
  <c r="O717" i="2" l="1"/>
  <c r="P717" i="2" s="1"/>
  <c r="L718" i="2" s="1"/>
  <c r="N718" i="2" s="1"/>
  <c r="O718" i="2" l="1"/>
  <c r="P718" i="2" s="1"/>
  <c r="L719" i="2" s="1"/>
  <c r="N719" i="2" s="1"/>
  <c r="O719" i="2" l="1"/>
  <c r="P719" i="2" s="1"/>
  <c r="L720" i="2" s="1"/>
  <c r="N720" i="2" s="1"/>
  <c r="O720" i="2" l="1"/>
  <c r="P720" i="2" s="1"/>
  <c r="L721" i="2" s="1"/>
  <c r="N721" i="2" s="1"/>
  <c r="O721" i="2" l="1"/>
  <c r="P721" i="2" s="1"/>
  <c r="L722" i="2" s="1"/>
  <c r="N722" i="2" s="1"/>
  <c r="O722" i="2" l="1"/>
  <c r="P722" i="2" s="1"/>
  <c r="L723" i="2" s="1"/>
  <c r="N723" i="2" s="1"/>
  <c r="O723" i="2" l="1"/>
  <c r="P723" i="2" s="1"/>
  <c r="L724" i="2" s="1"/>
  <c r="N724" i="2" s="1"/>
  <c r="O724" i="2" l="1"/>
  <c r="P724" i="2" s="1"/>
  <c r="L725" i="2" s="1"/>
  <c r="N725" i="2" s="1"/>
  <c r="O725" i="2" l="1"/>
  <c r="P725" i="2" s="1"/>
  <c r="L726" i="2" s="1"/>
  <c r="N726" i="2" s="1"/>
  <c r="O726" i="2" l="1"/>
  <c r="P726" i="2" s="1"/>
  <c r="L727" i="2" s="1"/>
  <c r="N727" i="2" s="1"/>
  <c r="O727" i="2" l="1"/>
  <c r="P727" i="2" s="1"/>
</calcChain>
</file>

<file path=xl/sharedStrings.xml><?xml version="1.0" encoding="utf-8"?>
<sst xmlns="http://schemas.openxmlformats.org/spreadsheetml/2006/main" count="57" uniqueCount="44">
  <si>
    <t>INFALTION</t>
  </si>
  <si>
    <t>RETURN</t>
  </si>
  <si>
    <t>ABSOLUTE RETURN</t>
  </si>
  <si>
    <t>MONTHLY PENSION</t>
  </si>
  <si>
    <t>PRESENT VALUE</t>
  </si>
  <si>
    <t xml:space="preserve">INCREMENTAL SIP INVESTMENT CALCULATOR WITH "X%" </t>
  </si>
  <si>
    <t>INCREMENTAL SIP INVESTMENT CALCULATOR WITH "X" VALUE</t>
  </si>
  <si>
    <t>PLANNED MONTHLY INVESTMENT</t>
  </si>
  <si>
    <t>NUMBER OF YEARS OF INVESTMENT</t>
  </si>
  <si>
    <t>RETURN EXPECTED</t>
  </si>
  <si>
    <t>EXPECTED ANNUAL INCREMENTAL RATE FOR INVESTMENT</t>
  </si>
  <si>
    <t>HOLDING PERIOD</t>
  </si>
  <si>
    <t>YEAR</t>
  </si>
  <si>
    <t>BEGINNING VALUE</t>
  </si>
  <si>
    <t>MONTHLY INVESTMENT</t>
  </si>
  <si>
    <t>VALUE AT THE END OF THE YEAR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</si>
  <si>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</si>
  <si>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</si>
  <si>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</si>
  <si>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</si>
  <si>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</si>
  <si>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</si>
  <si>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</si>
  <si>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</si>
  <si>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</si>
  <si>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</si>
  <si>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</si>
  <si>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</si>
  <si>
    <t>NAME OF THE CHILD</t>
  </si>
  <si>
    <t>CURRENT AGE</t>
  </si>
  <si>
    <t>TIME LEFT TO RETIRE</t>
  </si>
  <si>
    <t>EXPECTED RETURN</t>
  </si>
  <si>
    <t>END CORPUS</t>
  </si>
  <si>
    <t>TOTAL INVESTED AMOUNT</t>
  </si>
  <si>
    <t>TOTAL GAINS</t>
  </si>
  <si>
    <t>PENSION FOR THE TERM</t>
  </si>
  <si>
    <t>MONTH</t>
  </si>
  <si>
    <t xml:space="preserve">VALUE IN THE BEGINNING </t>
  </si>
  <si>
    <t>LEFTOUT TO INVEST</t>
  </si>
  <si>
    <t>RETURN ON INVETMENT</t>
  </si>
  <si>
    <t>VALUE AT THE END</t>
  </si>
  <si>
    <t>CORPUS AMOUNT CALCULATION</t>
  </si>
  <si>
    <t>PENSION TO</t>
  </si>
  <si>
    <t>EXPECTED ANNUAL INCREMENTAL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</si>
</sst>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&quot;₹&quot;#,##0.00"/>
    <numFmt numFmtId="165" formatCode="0.0000%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36"/>
      <color theme="0"/>
      <name val="Calibri (Body)"/>
    </font>
    <font>
      <sz val="36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36"/>
      <color theme="0"/>
      <name val="Aptos Narrow"/>
      <scheme val="minor"/>
    </font>
    <font>
      <b/>
      <sz val="36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sz val="36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8" fontId="5" fillId="0" borderId="0" xfId="0" applyNumberFormat="1" applyFont="1"/>
    <xf numFmtId="165" fontId="5" fillId="0" borderId="0" xfId="0" applyNumberFormat="1" applyFont="1"/>
    <xf numFmtId="0" fontId="6" fillId="2" borderId="7" xfId="0" applyFont="1" applyFill="1" applyBorder="1" applyAlignment="1">
      <alignment horizontal="center"/>
    </xf>
    <xf numFmtId="8" fontId="6" fillId="2" borderId="7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2" borderId="7" xfId="0" applyFont="1" applyFill="1" applyBorder="1"/>
    <xf numFmtId="164" fontId="6" fillId="2" borderId="7" xfId="0" applyNumberFormat="1" applyFont="1" applyFill="1" applyBorder="1"/>
    <xf numFmtId="8" fontId="6" fillId="2" borderId="7" xfId="0" applyNumberFormat="1" applyFont="1" applyFill="1" applyBorder="1"/>
    <xf numFmtId="10" fontId="6" fillId="2" borderId="7" xfId="0" applyNumberFormat="1" applyFont="1" applyFill="1" applyBorder="1"/>
    <xf numFmtId="9" fontId="5" fillId="4" borderId="7" xfId="0" applyNumberFormat="1" applyFont="1" applyFill="1" applyBorder="1"/>
    <xf numFmtId="0" fontId="5" fillId="4" borderId="7" xfId="0" applyFont="1" applyFill="1" applyBorder="1"/>
    <xf numFmtId="164" fontId="5" fillId="4" borderId="7" xfId="0" applyNumberFormat="1" applyFont="1" applyFill="1" applyBorder="1"/>
    <xf numFmtId="9" fontId="5" fillId="4" borderId="7" xfId="1" applyFont="1" applyFill="1" applyBorder="1"/>
    <xf numFmtId="0" fontId="6" fillId="2" borderId="28" xfId="0" applyFont="1" applyFill="1" applyBorder="1"/>
    <xf numFmtId="49" fontId="5" fillId="4" borderId="7" xfId="0" applyNumberFormat="1" applyFont="1" applyFill="1" applyBorder="1"/>
    <xf numFmtId="0" fontId="6" fillId="2" borderId="8" xfId="0" applyFont="1" applyFill="1" applyBorder="1" applyAlignment="1">
      <alignment horizontal="right"/>
    </xf>
    <xf numFmtId="164" fontId="8" fillId="3" borderId="9" xfId="0" applyNumberFormat="1" applyFont="1" applyFill="1" applyBorder="1" applyAlignment="1" applyProtection="1">
      <alignment horizontal="center"/>
      <protection locked="0"/>
    </xf>
    <xf numFmtId="0" fontId="8" fillId="3" borderId="0" xfId="0" applyFont="1" applyFill="1"/>
    <xf numFmtId="9" fontId="8" fillId="3" borderId="0" xfId="0" applyNumberFormat="1" applyFont="1" applyFill="1"/>
    <xf numFmtId="8" fontId="7" fillId="2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 applyAlignment="1" applyProtection="1">
      <alignment horizontal="center"/>
      <protection hidden="1"/>
    </xf>
    <xf numFmtId="164" fontId="7" fillId="2" borderId="7" xfId="0" applyNumberFormat="1" applyFont="1" applyFill="1" applyBorder="1" applyAlignment="1" applyProtection="1">
      <alignment horizontal="center"/>
      <protection hidden="1"/>
    </xf>
    <xf numFmtId="8" fontId="7" fillId="2" borderId="7" xfId="0" applyNumberFormat="1" applyFont="1" applyFill="1" applyBorder="1" applyAlignment="1" applyProtection="1">
      <alignment horizontal="center"/>
      <protection hidden="1"/>
    </xf>
    <xf numFmtId="0" fontId="7" fillId="2" borderId="14" xfId="0" applyFont="1" applyFill="1" applyBorder="1"/>
    <xf numFmtId="0" fontId="7" fillId="2" borderId="19" xfId="0" applyFont="1" applyFill="1" applyBorder="1"/>
    <xf numFmtId="164" fontId="8" fillId="4" borderId="9" xfId="0" applyNumberFormat="1" applyFont="1" applyFill="1" applyBorder="1" applyAlignment="1" applyProtection="1">
      <alignment horizontal="center"/>
      <protection locked="0"/>
    </xf>
    <xf numFmtId="9" fontId="8" fillId="4" borderId="9" xfId="1" applyFont="1" applyFill="1" applyBorder="1" applyAlignment="1" applyProtection="1">
      <alignment horizontal="center"/>
      <protection locked="0"/>
    </xf>
    <xf numFmtId="1" fontId="8" fillId="4" borderId="0" xfId="1" applyNumberFormat="1" applyFont="1" applyFill="1" applyBorder="1" applyAlignment="1" applyProtection="1">
      <alignment horizontal="center"/>
      <protection locked="0"/>
    </xf>
    <xf numFmtId="164" fontId="8" fillId="4" borderId="9" xfId="1" applyNumberFormat="1" applyFont="1" applyFill="1" applyBorder="1" applyAlignment="1" applyProtection="1">
      <alignment horizontal="center"/>
      <protection locked="0"/>
    </xf>
    <xf numFmtId="1" fontId="8" fillId="0" borderId="9" xfId="0" applyNumberFormat="1" applyFont="1" applyBorder="1" applyAlignment="1" applyProtection="1">
      <alignment horizontal="center"/>
      <protection locked="0"/>
    </xf>
    <xf numFmtId="9" fontId="8" fillId="0" borderId="9" xfId="1" applyFont="1" applyFill="1" applyBorder="1" applyAlignment="1" applyProtection="1">
      <alignment horizontal="center"/>
      <protection locked="0"/>
    </xf>
    <xf numFmtId="9" fontId="5" fillId="4" borderId="0" xfId="0" applyNumberFormat="1" applyFont="1" applyFill="1" applyAlignment="1">
      <alignment horizontal="center"/>
    </xf>
    <xf numFmtId="0" fontId="5" fillId="0" borderId="26" xfId="0" applyFont="1" applyBorder="1"/>
    <xf numFmtId="0" fontId="5" fillId="0" borderId="6" xfId="0" applyFont="1" applyBorder="1"/>
    <xf numFmtId="0" fontId="5" fillId="0" borderId="27" xfId="0" applyFont="1" applyBorder="1"/>
    <xf numFmtId="0" fontId="5" fillId="0" borderId="3" xfId="0" applyFont="1" applyBorder="1"/>
    <xf numFmtId="9" fontId="8" fillId="3" borderId="9" xfId="1" applyFont="1" applyFill="1" applyBorder="1" applyAlignment="1" applyProtection="1">
      <alignment horizontal="center"/>
      <protection locked="0"/>
    </xf>
    <xf numFmtId="1" fontId="8" fillId="3" borderId="9" xfId="0" applyNumberFormat="1" applyFont="1" applyFill="1" applyBorder="1" applyAlignment="1" applyProtection="1">
      <alignment horizontal="center"/>
      <protection locked="0"/>
    </xf>
    <xf numFmtId="0" fontId="6" fillId="2" borderId="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22" xfId="2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20" xfId="2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2" borderId="10" xfId="0" applyFont="1" applyFill="1" applyBorder="1" applyAlignment="1" applyProtection="1">
      <alignment horizontal="left"/>
      <protection hidden="1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9" fillId="0" borderId="17" xfId="2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0" fontId="9" fillId="0" borderId="21" xfId="2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476250</xdr:colOff>
      <xdr:row>4</xdr:row>
      <xdr:rowOff>218282</xdr:rowOff>
    </xdr:from>
    <xdr:to>
      <xdr:col>15</xdr:col>
      <xdr:colOff>340732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78C42-E7DB-D740-A97F-395A4FE5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34383" y="1793082"/>
          <a:ext cx="3098749" cy="215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14F1-3E7B-F749-B1D2-65CC64E71801}">
  <dimension ref="E3:R24"/>
  <sheetViews>
    <sheetView showGridLines="0" tabSelected="1" topLeftCell="D1" zoomScale="75" workbookViewId="0">
      <selection activeCell="G20" sqref="G20"/>
    </sheetView>
  </sheetViews>
  <sheetFormatPr baseColWidth="10" defaultRowHeight="47" x14ac:dyDescent="0.55000000000000004"/>
  <cols>
    <col min="1" max="5" width="10.83203125" style="2"/>
    <col min="6" max="6" width="3.1640625" style="2" customWidth="1"/>
    <col min="7" max="7" width="67.1640625" style="2" bestFit="1" customWidth="1"/>
    <col min="8" max="8" width="47.6640625" style="2" bestFit="1" customWidth="1"/>
    <col min="9" max="9" width="2.6640625" style="2" customWidth="1"/>
    <col min="10" max="12" width="10.83203125" style="2"/>
    <col min="13" max="13" width="3.6640625" style="2" customWidth="1"/>
    <col min="14" max="14" width="62.6640625" style="2" bestFit="1" customWidth="1"/>
    <col min="15" max="15" width="53.1640625" style="2" customWidth="1"/>
    <col min="16" max="16" width="3.1640625" style="2" customWidth="1"/>
    <col min="17" max="17" width="16" style="2" bestFit="1" customWidth="1"/>
    <col min="18" max="18" width="13.5" style="2" bestFit="1" customWidth="1"/>
    <col min="19" max="16384" width="10.83203125" style="2"/>
  </cols>
  <sheetData>
    <row r="3" spans="5:18" ht="48" thickBot="1" x14ac:dyDescent="0.6">
      <c r="F3" s="39"/>
      <c r="G3" s="39"/>
      <c r="H3" s="39"/>
      <c r="I3" s="39"/>
      <c r="M3" s="39"/>
      <c r="N3" s="39"/>
      <c r="O3" s="39"/>
      <c r="P3" s="39"/>
    </row>
    <row r="4" spans="5:18" ht="18" customHeight="1" thickTop="1" thickBot="1" x14ac:dyDescent="0.6">
      <c r="E4" s="40"/>
      <c r="F4" s="46"/>
      <c r="G4" s="46"/>
      <c r="H4" s="46"/>
      <c r="I4" s="47"/>
      <c r="L4" s="40"/>
      <c r="P4" s="42"/>
    </row>
    <row r="5" spans="5:18" ht="49" thickTop="1" thickBot="1" x14ac:dyDescent="0.6">
      <c r="E5" s="40"/>
      <c r="G5" s="45" t="s">
        <v>41</v>
      </c>
      <c r="H5" s="45"/>
      <c r="I5" s="40"/>
      <c r="L5" s="40"/>
      <c r="N5" s="21" t="s">
        <v>42</v>
      </c>
      <c r="O5" s="19">
        <f>H6</f>
        <v>0</v>
      </c>
      <c r="P5" s="40"/>
    </row>
    <row r="6" spans="5:18" ht="49" thickTop="1" thickBot="1" x14ac:dyDescent="0.6">
      <c r="E6" s="40"/>
      <c r="G6" s="11" t="s">
        <v>28</v>
      </c>
      <c r="H6" s="20"/>
      <c r="I6" s="40"/>
      <c r="L6" s="40"/>
      <c r="N6" s="11" t="s">
        <v>0</v>
      </c>
      <c r="O6" s="15"/>
      <c r="P6" s="40"/>
    </row>
    <row r="7" spans="5:18" ht="49" thickTop="1" thickBot="1" x14ac:dyDescent="0.6">
      <c r="E7" s="40"/>
      <c r="G7" s="11" t="s">
        <v>29</v>
      </c>
      <c r="H7" s="16">
        <v>0</v>
      </c>
      <c r="I7" s="40"/>
      <c r="L7" s="40"/>
      <c r="N7" s="11" t="s">
        <v>1</v>
      </c>
      <c r="O7" s="15"/>
      <c r="P7" s="40"/>
    </row>
    <row r="8" spans="5:18" ht="49" thickTop="1" thickBot="1" x14ac:dyDescent="0.6">
      <c r="E8" s="40"/>
      <c r="G8" s="11" t="s">
        <v>14</v>
      </c>
      <c r="H8" s="17"/>
      <c r="I8" s="40"/>
      <c r="L8" s="40"/>
      <c r="N8" s="11" t="s">
        <v>2</v>
      </c>
      <c r="O8" s="14">
        <f>(1+O7)/(1+O6)-1</f>
        <v>0</v>
      </c>
      <c r="P8" s="40"/>
      <c r="Q8" s="6"/>
      <c r="R8" s="6"/>
    </row>
    <row r="9" spans="5:18" ht="49" thickTop="1" thickBot="1" x14ac:dyDescent="0.6">
      <c r="E9" s="40"/>
      <c r="G9" s="11" t="s">
        <v>30</v>
      </c>
      <c r="H9" s="11">
        <f>60-H7</f>
        <v>60</v>
      </c>
      <c r="I9" s="40"/>
      <c r="L9" s="40"/>
      <c r="N9" s="11" t="s">
        <v>32</v>
      </c>
      <c r="O9" s="13" t="e">
        <f>H11</f>
        <v>#NUM!</v>
      </c>
      <c r="P9" s="40"/>
    </row>
    <row r="10" spans="5:18" ht="49" thickTop="1" thickBot="1" x14ac:dyDescent="0.6">
      <c r="E10" s="40"/>
      <c r="G10" s="11" t="s">
        <v>31</v>
      </c>
      <c r="H10" s="18"/>
      <c r="I10" s="40"/>
      <c r="L10" s="40"/>
      <c r="N10" s="11" t="s">
        <v>35</v>
      </c>
      <c r="O10" s="16"/>
      <c r="P10" s="40"/>
    </row>
    <row r="11" spans="5:18" ht="49" thickTop="1" thickBot="1" x14ac:dyDescent="0.6">
      <c r="E11" s="40"/>
      <c r="G11" s="11" t="s">
        <v>32</v>
      </c>
      <c r="H11" s="13" t="e">
        <f>FV(NOMINAL(H10,12)/12,H9*12,-H8,0)</f>
        <v>#NUM!</v>
      </c>
      <c r="I11" s="40"/>
      <c r="L11" s="40"/>
      <c r="N11" s="11" t="s">
        <v>3</v>
      </c>
      <c r="O11" s="13" t="e">
        <f>-PMT(NOMINAL(O8,12)/12,O10*12,O9,0)</f>
        <v>#NUM!</v>
      </c>
      <c r="P11" s="40"/>
    </row>
    <row r="12" spans="5:18" ht="49" thickTop="1" thickBot="1" x14ac:dyDescent="0.6">
      <c r="E12" s="40"/>
      <c r="G12" s="11" t="s">
        <v>33</v>
      </c>
      <c r="H12" s="12">
        <f>H8*H9*12</f>
        <v>0</v>
      </c>
      <c r="I12" s="40"/>
      <c r="L12" s="40"/>
      <c r="N12" s="11" t="s">
        <v>30</v>
      </c>
      <c r="O12" s="11">
        <f>H9</f>
        <v>60</v>
      </c>
      <c r="P12" s="40"/>
    </row>
    <row r="13" spans="5:18" ht="49" thickTop="1" thickBot="1" x14ac:dyDescent="0.6">
      <c r="E13" s="40"/>
      <c r="G13" s="11" t="s">
        <v>34</v>
      </c>
      <c r="H13" s="13" t="e">
        <f>H11-H12</f>
        <v>#NUM!</v>
      </c>
      <c r="I13" s="40"/>
      <c r="L13" s="40"/>
      <c r="N13" s="11" t="s">
        <v>4</v>
      </c>
      <c r="O13" s="13" t="e">
        <f>-PV(O6,O12,0,O11)</f>
        <v>#NUM!</v>
      </c>
      <c r="P13" s="40"/>
    </row>
    <row r="14" spans="5:18" ht="19" customHeight="1" thickTop="1" thickBot="1" x14ac:dyDescent="0.6">
      <c r="E14" s="40"/>
      <c r="F14" s="39"/>
      <c r="G14" s="39"/>
      <c r="H14" s="39"/>
      <c r="I14" s="41"/>
      <c r="L14" s="40"/>
      <c r="M14" s="39"/>
      <c r="N14" s="39"/>
      <c r="O14" s="39"/>
      <c r="P14" s="41"/>
    </row>
    <row r="15" spans="5:18" ht="48" thickTop="1" x14ac:dyDescent="0.55000000000000004"/>
    <row r="22" spans="6:8" x14ac:dyDescent="0.55000000000000004">
      <c r="F22" s="5"/>
      <c r="G22" s="3"/>
      <c r="H22" s="7"/>
    </row>
    <row r="23" spans="6:8" x14ac:dyDescent="0.55000000000000004">
      <c r="F23" s="5"/>
      <c r="G23" s="3"/>
      <c r="H23" s="7"/>
    </row>
    <row r="24" spans="6:8" x14ac:dyDescent="0.55000000000000004">
      <c r="H24" s="7"/>
    </row>
  </sheetData>
  <mergeCells count="2">
    <mergeCell ref="G5:H5"/>
    <mergeCell ref="F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926-719A-194B-AD38-BB08621F0080}">
  <dimension ref="F6:X769"/>
  <sheetViews>
    <sheetView showGridLines="0" topLeftCell="I1" zoomScale="56" workbookViewId="0">
      <selection activeCell="O7" sqref="O7"/>
    </sheetView>
  </sheetViews>
  <sheetFormatPr baseColWidth="10" defaultRowHeight="47" x14ac:dyDescent="0.55000000000000004"/>
  <cols>
    <col min="1" max="8" width="10.83203125" style="2"/>
    <col min="9" max="9" width="18.33203125" style="2" customWidth="1"/>
    <col min="10" max="10" width="16" style="2" bestFit="1" customWidth="1"/>
    <col min="11" max="11" width="21.1640625" style="2" bestFit="1" customWidth="1"/>
    <col min="12" max="12" width="69.33203125" style="2" bestFit="1" customWidth="1"/>
    <col min="13" max="13" width="61.5" style="2" bestFit="1" customWidth="1"/>
    <col min="14" max="14" width="52" style="2" bestFit="1" customWidth="1"/>
    <col min="15" max="15" width="62.5" style="2" bestFit="1" customWidth="1"/>
    <col min="16" max="16" width="49.83203125" style="2" bestFit="1" customWidth="1"/>
    <col min="17" max="19" width="10.83203125" style="2"/>
    <col min="20" max="20" width="16.6640625" style="2" bestFit="1" customWidth="1"/>
    <col min="21" max="21" width="19.33203125" style="2" bestFit="1" customWidth="1"/>
    <col min="22" max="22" width="10.83203125" style="2"/>
    <col min="23" max="23" width="16" style="2" bestFit="1" customWidth="1"/>
    <col min="24" max="24" width="13.5" style="2" bestFit="1" customWidth="1"/>
    <col min="25" max="16384" width="10.83203125" style="2"/>
  </cols>
  <sheetData>
    <row r="6" spans="9:24" ht="48" thickBot="1" x14ac:dyDescent="0.6">
      <c r="N6" s="10" t="s">
        <v>31</v>
      </c>
      <c r="O6" s="38">
        <v>0.1</v>
      </c>
    </row>
    <row r="7" spans="9:24" ht="49" thickTop="1" thickBot="1" x14ac:dyDescent="0.6">
      <c r="K7" s="8" t="s">
        <v>36</v>
      </c>
      <c r="L7" s="8" t="s">
        <v>37</v>
      </c>
      <c r="M7" s="8" t="s">
        <v>14</v>
      </c>
      <c r="N7" s="8" t="s">
        <v>38</v>
      </c>
      <c r="O7" s="8" t="s">
        <v>39</v>
      </c>
      <c r="P7" s="8" t="s">
        <v>40</v>
      </c>
    </row>
    <row r="8" spans="9:24" ht="49" thickTop="1" thickBot="1" x14ac:dyDescent="0.6">
      <c r="K8" s="8">
        <v>1</v>
      </c>
      <c r="L8" s="9">
        <f>PV(NOMINAL($O$6,12)/12,60*12,-'Minor + Major Investment'!H8,0,1)</f>
        <v>0</v>
      </c>
      <c r="M8" s="8">
        <f>-'Minor + Major Investment'!H8</f>
        <v>0</v>
      </c>
      <c r="N8" s="9">
        <f>L8+M8</f>
        <v>0</v>
      </c>
      <c r="O8" s="9">
        <f>N8*NOMINAL($O$6,12)/12</f>
        <v>0</v>
      </c>
      <c r="P8" s="9">
        <f>N8+O8</f>
        <v>0</v>
      </c>
      <c r="U8" s="3"/>
      <c r="W8" s="6"/>
      <c r="X8" s="6"/>
    </row>
    <row r="9" spans="9:24" ht="49" thickTop="1" thickBot="1" x14ac:dyDescent="0.6">
      <c r="K9" s="8">
        <v>2</v>
      </c>
      <c r="L9" s="9">
        <f>P8</f>
        <v>0</v>
      </c>
      <c r="M9" s="8">
        <f>M8</f>
        <v>0</v>
      </c>
      <c r="N9" s="9">
        <f>L9+M9</f>
        <v>0</v>
      </c>
      <c r="O9" s="9">
        <f>N9*NOMINAL($O$6,12)/12</f>
        <v>0</v>
      </c>
      <c r="P9" s="9">
        <f>N9+O9</f>
        <v>0</v>
      </c>
      <c r="U9" s="3"/>
    </row>
    <row r="10" spans="9:24" ht="49" thickTop="1" thickBot="1" x14ac:dyDescent="0.6">
      <c r="I10" s="3"/>
      <c r="J10" s="3"/>
      <c r="K10" s="8">
        <v>3</v>
      </c>
      <c r="L10" s="9">
        <f t="shared" ref="L10:L73" si="0">P9</f>
        <v>0</v>
      </c>
      <c r="M10" s="8">
        <f t="shared" ref="M10:M73" si="1">M9</f>
        <v>0</v>
      </c>
      <c r="N10" s="9">
        <f t="shared" ref="N10:N73" si="2">L10+M10</f>
        <v>0</v>
      </c>
      <c r="O10" s="9">
        <f t="shared" ref="O10:O73" si="3">N10*NOMINAL($O$6,12)/12</f>
        <v>0</v>
      </c>
      <c r="P10" s="9">
        <f t="shared" ref="P10:P73" si="4">N10+O10</f>
        <v>0</v>
      </c>
      <c r="U10" s="5"/>
    </row>
    <row r="11" spans="9:24" ht="49" thickTop="1" thickBot="1" x14ac:dyDescent="0.6">
      <c r="I11" s="6"/>
      <c r="J11" s="6"/>
      <c r="K11" s="8">
        <v>4</v>
      </c>
      <c r="L11" s="9">
        <f t="shared" si="0"/>
        <v>0</v>
      </c>
      <c r="M11" s="8">
        <f t="shared" si="1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U11" s="6"/>
    </row>
    <row r="12" spans="9:24" ht="49" thickTop="1" thickBot="1" x14ac:dyDescent="0.6">
      <c r="I12" s="4"/>
      <c r="K12" s="8">
        <v>5</v>
      </c>
      <c r="L12" s="9">
        <f t="shared" si="0"/>
        <v>0</v>
      </c>
      <c r="M12" s="8">
        <f t="shared" si="1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</row>
    <row r="13" spans="9:24" ht="49" thickTop="1" thickBot="1" x14ac:dyDescent="0.6">
      <c r="K13" s="8">
        <v>6</v>
      </c>
      <c r="L13" s="9">
        <f t="shared" si="0"/>
        <v>0</v>
      </c>
      <c r="M13" s="8">
        <f t="shared" si="1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U13" s="6"/>
    </row>
    <row r="14" spans="9:24" ht="49" thickTop="1" thickBot="1" x14ac:dyDescent="0.6">
      <c r="K14" s="8">
        <v>7</v>
      </c>
      <c r="L14" s="9">
        <f t="shared" si="0"/>
        <v>0</v>
      </c>
      <c r="M14" s="8">
        <f t="shared" si="1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</row>
    <row r="15" spans="9:24" ht="49" thickTop="1" thickBot="1" x14ac:dyDescent="0.6">
      <c r="K15" s="8">
        <v>8</v>
      </c>
      <c r="L15" s="9">
        <f t="shared" si="0"/>
        <v>0</v>
      </c>
      <c r="M15" s="8">
        <f t="shared" si="1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U15" s="6"/>
    </row>
    <row r="16" spans="9:24" ht="49" thickTop="1" thickBot="1" x14ac:dyDescent="0.6">
      <c r="K16" s="8">
        <v>9</v>
      </c>
      <c r="L16" s="9">
        <f t="shared" si="0"/>
        <v>0</v>
      </c>
      <c r="M16" s="8">
        <f t="shared" si="1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</row>
    <row r="17" spans="6:16" ht="49" thickTop="1" thickBot="1" x14ac:dyDescent="0.6">
      <c r="K17" s="8">
        <v>10</v>
      </c>
      <c r="L17" s="9">
        <f t="shared" si="0"/>
        <v>0</v>
      </c>
      <c r="M17" s="8">
        <f t="shared" si="1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</row>
    <row r="18" spans="6:16" ht="49" thickTop="1" thickBot="1" x14ac:dyDescent="0.6">
      <c r="K18" s="8">
        <v>11</v>
      </c>
      <c r="L18" s="9">
        <f t="shared" si="0"/>
        <v>0</v>
      </c>
      <c r="M18" s="8">
        <f t="shared" si="1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</row>
    <row r="19" spans="6:16" ht="49" thickTop="1" thickBot="1" x14ac:dyDescent="0.6">
      <c r="K19" s="8">
        <v>12</v>
      </c>
      <c r="L19" s="9">
        <f t="shared" si="0"/>
        <v>0</v>
      </c>
      <c r="M19" s="8">
        <f t="shared" si="1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</row>
    <row r="20" spans="6:16" ht="49" thickTop="1" thickBot="1" x14ac:dyDescent="0.6">
      <c r="K20" s="8">
        <v>13</v>
      </c>
      <c r="L20" s="9">
        <f t="shared" si="0"/>
        <v>0</v>
      </c>
      <c r="M20" s="8">
        <f t="shared" si="1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</row>
    <row r="21" spans="6:16" ht="49" thickTop="1" thickBot="1" x14ac:dyDescent="0.6">
      <c r="K21" s="8">
        <v>14</v>
      </c>
      <c r="L21" s="9">
        <f t="shared" si="0"/>
        <v>0</v>
      </c>
      <c r="M21" s="8">
        <f t="shared" si="1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</row>
    <row r="22" spans="6:16" ht="49" thickTop="1" thickBot="1" x14ac:dyDescent="0.6">
      <c r="F22" s="5"/>
      <c r="G22" s="3"/>
      <c r="H22" s="7"/>
      <c r="K22" s="8">
        <v>15</v>
      </c>
      <c r="L22" s="9">
        <f t="shared" si="0"/>
        <v>0</v>
      </c>
      <c r="M22" s="8">
        <f t="shared" si="1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</row>
    <row r="23" spans="6:16" ht="49" thickTop="1" thickBot="1" x14ac:dyDescent="0.6">
      <c r="F23" s="5"/>
      <c r="G23" s="3"/>
      <c r="H23" s="7"/>
      <c r="K23" s="8">
        <v>16</v>
      </c>
      <c r="L23" s="9">
        <f t="shared" si="0"/>
        <v>0</v>
      </c>
      <c r="M23" s="8">
        <f t="shared" si="1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</row>
    <row r="24" spans="6:16" ht="49" thickTop="1" thickBot="1" x14ac:dyDescent="0.6">
      <c r="H24" s="7"/>
      <c r="K24" s="8">
        <v>17</v>
      </c>
      <c r="L24" s="9">
        <f t="shared" si="0"/>
        <v>0</v>
      </c>
      <c r="M24" s="8">
        <f t="shared" si="1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</row>
    <row r="25" spans="6:16" ht="49" thickTop="1" thickBot="1" x14ac:dyDescent="0.6">
      <c r="K25" s="8">
        <v>18</v>
      </c>
      <c r="L25" s="9">
        <f t="shared" si="0"/>
        <v>0</v>
      </c>
      <c r="M25" s="8">
        <f t="shared" si="1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</row>
    <row r="26" spans="6:16" ht="49" thickTop="1" thickBot="1" x14ac:dyDescent="0.6">
      <c r="K26" s="8">
        <v>19</v>
      </c>
      <c r="L26" s="9">
        <f t="shared" si="0"/>
        <v>0</v>
      </c>
      <c r="M26" s="8">
        <f t="shared" si="1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</row>
    <row r="27" spans="6:16" ht="49" thickTop="1" thickBot="1" x14ac:dyDescent="0.6">
      <c r="K27" s="8">
        <v>20</v>
      </c>
      <c r="L27" s="9">
        <f t="shared" si="0"/>
        <v>0</v>
      </c>
      <c r="M27" s="8">
        <f t="shared" si="1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</row>
    <row r="28" spans="6:16" ht="49" thickTop="1" thickBot="1" x14ac:dyDescent="0.6">
      <c r="K28" s="8">
        <v>21</v>
      </c>
      <c r="L28" s="9">
        <f t="shared" si="0"/>
        <v>0</v>
      </c>
      <c r="M28" s="8">
        <f t="shared" si="1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</row>
    <row r="29" spans="6:16" ht="49" thickTop="1" thickBot="1" x14ac:dyDescent="0.6">
      <c r="K29" s="8">
        <v>22</v>
      </c>
      <c r="L29" s="9">
        <f t="shared" si="0"/>
        <v>0</v>
      </c>
      <c r="M29" s="8">
        <f t="shared" si="1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</row>
    <row r="30" spans="6:16" ht="49" thickTop="1" thickBot="1" x14ac:dyDescent="0.6">
      <c r="K30" s="8">
        <v>23</v>
      </c>
      <c r="L30" s="9">
        <f t="shared" si="0"/>
        <v>0</v>
      </c>
      <c r="M30" s="8">
        <f t="shared" si="1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</row>
    <row r="31" spans="6:16" ht="49" thickTop="1" thickBot="1" x14ac:dyDescent="0.6">
      <c r="K31" s="8">
        <v>24</v>
      </c>
      <c r="L31" s="9">
        <f t="shared" si="0"/>
        <v>0</v>
      </c>
      <c r="M31" s="8">
        <f t="shared" si="1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</row>
    <row r="32" spans="6:16" ht="49" thickTop="1" thickBot="1" x14ac:dyDescent="0.6">
      <c r="K32" s="8">
        <v>25</v>
      </c>
      <c r="L32" s="9">
        <f t="shared" si="0"/>
        <v>0</v>
      </c>
      <c r="M32" s="8">
        <f t="shared" si="1"/>
        <v>0</v>
      </c>
      <c r="N32" s="9">
        <f t="shared" si="2"/>
        <v>0</v>
      </c>
      <c r="O32" s="9">
        <f t="shared" si="3"/>
        <v>0</v>
      </c>
      <c r="P32" s="9">
        <f t="shared" si="4"/>
        <v>0</v>
      </c>
    </row>
    <row r="33" spans="11:16" ht="49" thickTop="1" thickBot="1" x14ac:dyDescent="0.6">
      <c r="K33" s="8">
        <v>26</v>
      </c>
      <c r="L33" s="9">
        <f t="shared" si="0"/>
        <v>0</v>
      </c>
      <c r="M33" s="8">
        <f t="shared" si="1"/>
        <v>0</v>
      </c>
      <c r="N33" s="9">
        <f t="shared" si="2"/>
        <v>0</v>
      </c>
      <c r="O33" s="9">
        <f t="shared" si="3"/>
        <v>0</v>
      </c>
      <c r="P33" s="9">
        <f t="shared" si="4"/>
        <v>0</v>
      </c>
    </row>
    <row r="34" spans="11:16" ht="49" thickTop="1" thickBot="1" x14ac:dyDescent="0.6">
      <c r="K34" s="8">
        <v>27</v>
      </c>
      <c r="L34" s="9">
        <f t="shared" si="0"/>
        <v>0</v>
      </c>
      <c r="M34" s="8">
        <f t="shared" si="1"/>
        <v>0</v>
      </c>
      <c r="N34" s="9">
        <f t="shared" si="2"/>
        <v>0</v>
      </c>
      <c r="O34" s="9">
        <f t="shared" si="3"/>
        <v>0</v>
      </c>
      <c r="P34" s="9">
        <f t="shared" si="4"/>
        <v>0</v>
      </c>
    </row>
    <row r="35" spans="11:16" ht="49" thickTop="1" thickBot="1" x14ac:dyDescent="0.6">
      <c r="K35" s="8">
        <v>28</v>
      </c>
      <c r="L35" s="9">
        <f t="shared" si="0"/>
        <v>0</v>
      </c>
      <c r="M35" s="8">
        <f t="shared" si="1"/>
        <v>0</v>
      </c>
      <c r="N35" s="9">
        <f t="shared" si="2"/>
        <v>0</v>
      </c>
      <c r="O35" s="9">
        <f t="shared" si="3"/>
        <v>0</v>
      </c>
      <c r="P35" s="9">
        <f t="shared" si="4"/>
        <v>0</v>
      </c>
    </row>
    <row r="36" spans="11:16" ht="49" thickTop="1" thickBot="1" x14ac:dyDescent="0.6">
      <c r="K36" s="8">
        <v>29</v>
      </c>
      <c r="L36" s="9">
        <f t="shared" si="0"/>
        <v>0</v>
      </c>
      <c r="M36" s="8">
        <f t="shared" si="1"/>
        <v>0</v>
      </c>
      <c r="N36" s="9">
        <f t="shared" si="2"/>
        <v>0</v>
      </c>
      <c r="O36" s="9">
        <f t="shared" si="3"/>
        <v>0</v>
      </c>
      <c r="P36" s="9">
        <f t="shared" si="4"/>
        <v>0</v>
      </c>
    </row>
    <row r="37" spans="11:16" ht="49" thickTop="1" thickBot="1" x14ac:dyDescent="0.6">
      <c r="K37" s="8">
        <v>30</v>
      </c>
      <c r="L37" s="9">
        <f t="shared" si="0"/>
        <v>0</v>
      </c>
      <c r="M37" s="8">
        <f t="shared" si="1"/>
        <v>0</v>
      </c>
      <c r="N37" s="9">
        <f t="shared" si="2"/>
        <v>0</v>
      </c>
      <c r="O37" s="9">
        <f t="shared" si="3"/>
        <v>0</v>
      </c>
      <c r="P37" s="9">
        <f t="shared" si="4"/>
        <v>0</v>
      </c>
    </row>
    <row r="38" spans="11:16" ht="49" thickTop="1" thickBot="1" x14ac:dyDescent="0.6">
      <c r="K38" s="8">
        <v>31</v>
      </c>
      <c r="L38" s="9">
        <f t="shared" si="0"/>
        <v>0</v>
      </c>
      <c r="M38" s="8">
        <f t="shared" si="1"/>
        <v>0</v>
      </c>
      <c r="N38" s="9">
        <f t="shared" si="2"/>
        <v>0</v>
      </c>
      <c r="O38" s="9">
        <f t="shared" si="3"/>
        <v>0</v>
      </c>
      <c r="P38" s="9">
        <f t="shared" si="4"/>
        <v>0</v>
      </c>
    </row>
    <row r="39" spans="11:16" ht="49" thickTop="1" thickBot="1" x14ac:dyDescent="0.6">
      <c r="K39" s="8">
        <v>32</v>
      </c>
      <c r="L39" s="9">
        <f t="shared" si="0"/>
        <v>0</v>
      </c>
      <c r="M39" s="8">
        <f t="shared" si="1"/>
        <v>0</v>
      </c>
      <c r="N39" s="9">
        <f t="shared" si="2"/>
        <v>0</v>
      </c>
      <c r="O39" s="9">
        <f t="shared" si="3"/>
        <v>0</v>
      </c>
      <c r="P39" s="9">
        <f t="shared" si="4"/>
        <v>0</v>
      </c>
    </row>
    <row r="40" spans="11:16" ht="49" thickTop="1" thickBot="1" x14ac:dyDescent="0.6">
      <c r="K40" s="8">
        <v>33</v>
      </c>
      <c r="L40" s="9">
        <f t="shared" si="0"/>
        <v>0</v>
      </c>
      <c r="M40" s="8">
        <f t="shared" si="1"/>
        <v>0</v>
      </c>
      <c r="N40" s="9">
        <f t="shared" si="2"/>
        <v>0</v>
      </c>
      <c r="O40" s="9">
        <f t="shared" si="3"/>
        <v>0</v>
      </c>
      <c r="P40" s="9">
        <f t="shared" si="4"/>
        <v>0</v>
      </c>
    </row>
    <row r="41" spans="11:16" ht="49" thickTop="1" thickBot="1" x14ac:dyDescent="0.6">
      <c r="K41" s="8">
        <v>34</v>
      </c>
      <c r="L41" s="9">
        <f t="shared" si="0"/>
        <v>0</v>
      </c>
      <c r="M41" s="8">
        <f t="shared" si="1"/>
        <v>0</v>
      </c>
      <c r="N41" s="9">
        <f t="shared" si="2"/>
        <v>0</v>
      </c>
      <c r="O41" s="9">
        <f t="shared" si="3"/>
        <v>0</v>
      </c>
      <c r="P41" s="9">
        <f t="shared" si="4"/>
        <v>0</v>
      </c>
    </row>
    <row r="42" spans="11:16" ht="49" thickTop="1" thickBot="1" x14ac:dyDescent="0.6">
      <c r="K42" s="8">
        <v>35</v>
      </c>
      <c r="L42" s="9">
        <f t="shared" si="0"/>
        <v>0</v>
      </c>
      <c r="M42" s="8">
        <f t="shared" si="1"/>
        <v>0</v>
      </c>
      <c r="N42" s="9">
        <f t="shared" si="2"/>
        <v>0</v>
      </c>
      <c r="O42" s="9">
        <f t="shared" si="3"/>
        <v>0</v>
      </c>
      <c r="P42" s="9">
        <f t="shared" si="4"/>
        <v>0</v>
      </c>
    </row>
    <row r="43" spans="11:16" ht="49" thickTop="1" thickBot="1" x14ac:dyDescent="0.6">
      <c r="K43" s="8">
        <v>36</v>
      </c>
      <c r="L43" s="9">
        <f t="shared" si="0"/>
        <v>0</v>
      </c>
      <c r="M43" s="8">
        <f t="shared" si="1"/>
        <v>0</v>
      </c>
      <c r="N43" s="9">
        <f t="shared" si="2"/>
        <v>0</v>
      </c>
      <c r="O43" s="9">
        <f t="shared" si="3"/>
        <v>0</v>
      </c>
      <c r="P43" s="9">
        <f t="shared" si="4"/>
        <v>0</v>
      </c>
    </row>
    <row r="44" spans="11:16" ht="49" thickTop="1" thickBot="1" x14ac:dyDescent="0.6">
      <c r="K44" s="8">
        <v>37</v>
      </c>
      <c r="L44" s="9">
        <f t="shared" si="0"/>
        <v>0</v>
      </c>
      <c r="M44" s="8">
        <f t="shared" si="1"/>
        <v>0</v>
      </c>
      <c r="N44" s="9">
        <f t="shared" si="2"/>
        <v>0</v>
      </c>
      <c r="O44" s="9">
        <f t="shared" si="3"/>
        <v>0</v>
      </c>
      <c r="P44" s="9">
        <f t="shared" si="4"/>
        <v>0</v>
      </c>
    </row>
    <row r="45" spans="11:16" ht="49" thickTop="1" thickBot="1" x14ac:dyDescent="0.6">
      <c r="K45" s="8">
        <v>38</v>
      </c>
      <c r="L45" s="9">
        <f t="shared" si="0"/>
        <v>0</v>
      </c>
      <c r="M45" s="8">
        <f t="shared" si="1"/>
        <v>0</v>
      </c>
      <c r="N45" s="9">
        <f t="shared" si="2"/>
        <v>0</v>
      </c>
      <c r="O45" s="9">
        <f t="shared" si="3"/>
        <v>0</v>
      </c>
      <c r="P45" s="9">
        <f t="shared" si="4"/>
        <v>0</v>
      </c>
    </row>
    <row r="46" spans="11:16" ht="49" thickTop="1" thickBot="1" x14ac:dyDescent="0.6">
      <c r="K46" s="8">
        <v>39</v>
      </c>
      <c r="L46" s="9">
        <f t="shared" si="0"/>
        <v>0</v>
      </c>
      <c r="M46" s="8">
        <f t="shared" si="1"/>
        <v>0</v>
      </c>
      <c r="N46" s="9">
        <f t="shared" si="2"/>
        <v>0</v>
      </c>
      <c r="O46" s="9">
        <f t="shared" si="3"/>
        <v>0</v>
      </c>
      <c r="P46" s="9">
        <f t="shared" si="4"/>
        <v>0</v>
      </c>
    </row>
    <row r="47" spans="11:16" ht="49" thickTop="1" thickBot="1" x14ac:dyDescent="0.6">
      <c r="K47" s="8">
        <v>40</v>
      </c>
      <c r="L47" s="9">
        <f t="shared" si="0"/>
        <v>0</v>
      </c>
      <c r="M47" s="8">
        <f t="shared" si="1"/>
        <v>0</v>
      </c>
      <c r="N47" s="9">
        <f t="shared" si="2"/>
        <v>0</v>
      </c>
      <c r="O47" s="9">
        <f t="shared" si="3"/>
        <v>0</v>
      </c>
      <c r="P47" s="9">
        <f t="shared" si="4"/>
        <v>0</v>
      </c>
    </row>
    <row r="48" spans="11:16" ht="49" thickTop="1" thickBot="1" x14ac:dyDescent="0.6">
      <c r="K48" s="8">
        <v>41</v>
      </c>
      <c r="L48" s="9">
        <f t="shared" si="0"/>
        <v>0</v>
      </c>
      <c r="M48" s="8">
        <f t="shared" si="1"/>
        <v>0</v>
      </c>
      <c r="N48" s="9">
        <f t="shared" si="2"/>
        <v>0</v>
      </c>
      <c r="O48" s="9">
        <f t="shared" si="3"/>
        <v>0</v>
      </c>
      <c r="P48" s="9">
        <f t="shared" si="4"/>
        <v>0</v>
      </c>
    </row>
    <row r="49" spans="11:16" ht="49" thickTop="1" thickBot="1" x14ac:dyDescent="0.6">
      <c r="K49" s="8">
        <v>42</v>
      </c>
      <c r="L49" s="9">
        <f t="shared" si="0"/>
        <v>0</v>
      </c>
      <c r="M49" s="8">
        <f t="shared" si="1"/>
        <v>0</v>
      </c>
      <c r="N49" s="9">
        <f t="shared" si="2"/>
        <v>0</v>
      </c>
      <c r="O49" s="9">
        <f t="shared" si="3"/>
        <v>0</v>
      </c>
      <c r="P49" s="9">
        <f t="shared" si="4"/>
        <v>0</v>
      </c>
    </row>
    <row r="50" spans="11:16" ht="49" thickTop="1" thickBot="1" x14ac:dyDescent="0.6">
      <c r="K50" s="8">
        <v>43</v>
      </c>
      <c r="L50" s="9">
        <f t="shared" si="0"/>
        <v>0</v>
      </c>
      <c r="M50" s="8">
        <f t="shared" si="1"/>
        <v>0</v>
      </c>
      <c r="N50" s="9">
        <f t="shared" si="2"/>
        <v>0</v>
      </c>
      <c r="O50" s="9">
        <f t="shared" si="3"/>
        <v>0</v>
      </c>
      <c r="P50" s="9">
        <f t="shared" si="4"/>
        <v>0</v>
      </c>
    </row>
    <row r="51" spans="11:16" ht="49" thickTop="1" thickBot="1" x14ac:dyDescent="0.6">
      <c r="K51" s="8">
        <v>44</v>
      </c>
      <c r="L51" s="9">
        <f t="shared" si="0"/>
        <v>0</v>
      </c>
      <c r="M51" s="8">
        <f t="shared" si="1"/>
        <v>0</v>
      </c>
      <c r="N51" s="9">
        <f t="shared" si="2"/>
        <v>0</v>
      </c>
      <c r="O51" s="9">
        <f t="shared" si="3"/>
        <v>0</v>
      </c>
      <c r="P51" s="9">
        <f t="shared" si="4"/>
        <v>0</v>
      </c>
    </row>
    <row r="52" spans="11:16" ht="49" thickTop="1" thickBot="1" x14ac:dyDescent="0.6">
      <c r="K52" s="8">
        <v>45</v>
      </c>
      <c r="L52" s="9">
        <f t="shared" si="0"/>
        <v>0</v>
      </c>
      <c r="M52" s="8">
        <f t="shared" si="1"/>
        <v>0</v>
      </c>
      <c r="N52" s="9">
        <f t="shared" si="2"/>
        <v>0</v>
      </c>
      <c r="O52" s="9">
        <f t="shared" si="3"/>
        <v>0</v>
      </c>
      <c r="P52" s="9">
        <f t="shared" si="4"/>
        <v>0</v>
      </c>
    </row>
    <row r="53" spans="11:16" ht="49" thickTop="1" thickBot="1" x14ac:dyDescent="0.6">
      <c r="K53" s="8">
        <v>46</v>
      </c>
      <c r="L53" s="9">
        <f t="shared" si="0"/>
        <v>0</v>
      </c>
      <c r="M53" s="8">
        <f t="shared" si="1"/>
        <v>0</v>
      </c>
      <c r="N53" s="9">
        <f t="shared" si="2"/>
        <v>0</v>
      </c>
      <c r="O53" s="9">
        <f t="shared" si="3"/>
        <v>0</v>
      </c>
      <c r="P53" s="9">
        <f t="shared" si="4"/>
        <v>0</v>
      </c>
    </row>
    <row r="54" spans="11:16" ht="49" thickTop="1" thickBot="1" x14ac:dyDescent="0.6">
      <c r="K54" s="8">
        <v>47</v>
      </c>
      <c r="L54" s="9">
        <f t="shared" si="0"/>
        <v>0</v>
      </c>
      <c r="M54" s="8">
        <f t="shared" si="1"/>
        <v>0</v>
      </c>
      <c r="N54" s="9">
        <f t="shared" si="2"/>
        <v>0</v>
      </c>
      <c r="O54" s="9">
        <f t="shared" si="3"/>
        <v>0</v>
      </c>
      <c r="P54" s="9">
        <f t="shared" si="4"/>
        <v>0</v>
      </c>
    </row>
    <row r="55" spans="11:16" ht="49" thickTop="1" thickBot="1" x14ac:dyDescent="0.6">
      <c r="K55" s="8">
        <v>48</v>
      </c>
      <c r="L55" s="9">
        <f t="shared" si="0"/>
        <v>0</v>
      </c>
      <c r="M55" s="8">
        <f t="shared" si="1"/>
        <v>0</v>
      </c>
      <c r="N55" s="9">
        <f t="shared" si="2"/>
        <v>0</v>
      </c>
      <c r="O55" s="9">
        <f t="shared" si="3"/>
        <v>0</v>
      </c>
      <c r="P55" s="9">
        <f t="shared" si="4"/>
        <v>0</v>
      </c>
    </row>
    <row r="56" spans="11:16" ht="49" thickTop="1" thickBot="1" x14ac:dyDescent="0.6">
      <c r="K56" s="8">
        <v>49</v>
      </c>
      <c r="L56" s="9">
        <f t="shared" si="0"/>
        <v>0</v>
      </c>
      <c r="M56" s="8">
        <f t="shared" si="1"/>
        <v>0</v>
      </c>
      <c r="N56" s="9">
        <f t="shared" si="2"/>
        <v>0</v>
      </c>
      <c r="O56" s="9">
        <f t="shared" si="3"/>
        <v>0</v>
      </c>
      <c r="P56" s="9">
        <f t="shared" si="4"/>
        <v>0</v>
      </c>
    </row>
    <row r="57" spans="11:16" ht="49" thickTop="1" thickBot="1" x14ac:dyDescent="0.6">
      <c r="K57" s="8">
        <v>50</v>
      </c>
      <c r="L57" s="9">
        <f t="shared" si="0"/>
        <v>0</v>
      </c>
      <c r="M57" s="8">
        <f t="shared" si="1"/>
        <v>0</v>
      </c>
      <c r="N57" s="9">
        <f t="shared" si="2"/>
        <v>0</v>
      </c>
      <c r="O57" s="9">
        <f t="shared" si="3"/>
        <v>0</v>
      </c>
      <c r="P57" s="9">
        <f t="shared" si="4"/>
        <v>0</v>
      </c>
    </row>
    <row r="58" spans="11:16" ht="49" thickTop="1" thickBot="1" x14ac:dyDescent="0.6">
      <c r="K58" s="8">
        <v>51</v>
      </c>
      <c r="L58" s="9">
        <f t="shared" si="0"/>
        <v>0</v>
      </c>
      <c r="M58" s="8">
        <f t="shared" si="1"/>
        <v>0</v>
      </c>
      <c r="N58" s="9">
        <f t="shared" si="2"/>
        <v>0</v>
      </c>
      <c r="O58" s="9">
        <f t="shared" si="3"/>
        <v>0</v>
      </c>
      <c r="P58" s="9">
        <f t="shared" si="4"/>
        <v>0</v>
      </c>
    </row>
    <row r="59" spans="11:16" ht="49" thickTop="1" thickBot="1" x14ac:dyDescent="0.6">
      <c r="K59" s="8">
        <v>52</v>
      </c>
      <c r="L59" s="9">
        <f t="shared" si="0"/>
        <v>0</v>
      </c>
      <c r="M59" s="8">
        <f t="shared" si="1"/>
        <v>0</v>
      </c>
      <c r="N59" s="9">
        <f t="shared" si="2"/>
        <v>0</v>
      </c>
      <c r="O59" s="9">
        <f t="shared" si="3"/>
        <v>0</v>
      </c>
      <c r="P59" s="9">
        <f t="shared" si="4"/>
        <v>0</v>
      </c>
    </row>
    <row r="60" spans="11:16" ht="49" thickTop="1" thickBot="1" x14ac:dyDescent="0.6">
      <c r="K60" s="8">
        <v>53</v>
      </c>
      <c r="L60" s="9">
        <f t="shared" si="0"/>
        <v>0</v>
      </c>
      <c r="M60" s="8">
        <f t="shared" si="1"/>
        <v>0</v>
      </c>
      <c r="N60" s="9">
        <f t="shared" si="2"/>
        <v>0</v>
      </c>
      <c r="O60" s="9">
        <f t="shared" si="3"/>
        <v>0</v>
      </c>
      <c r="P60" s="9">
        <f t="shared" si="4"/>
        <v>0</v>
      </c>
    </row>
    <row r="61" spans="11:16" ht="49" thickTop="1" thickBot="1" x14ac:dyDescent="0.6">
      <c r="K61" s="8">
        <v>54</v>
      </c>
      <c r="L61" s="9">
        <f t="shared" si="0"/>
        <v>0</v>
      </c>
      <c r="M61" s="8">
        <f t="shared" si="1"/>
        <v>0</v>
      </c>
      <c r="N61" s="9">
        <f t="shared" si="2"/>
        <v>0</v>
      </c>
      <c r="O61" s="9">
        <f t="shared" si="3"/>
        <v>0</v>
      </c>
      <c r="P61" s="9">
        <f t="shared" si="4"/>
        <v>0</v>
      </c>
    </row>
    <row r="62" spans="11:16" ht="49" thickTop="1" thickBot="1" x14ac:dyDescent="0.6">
      <c r="K62" s="8">
        <v>55</v>
      </c>
      <c r="L62" s="9">
        <f t="shared" si="0"/>
        <v>0</v>
      </c>
      <c r="M62" s="8">
        <f t="shared" si="1"/>
        <v>0</v>
      </c>
      <c r="N62" s="9">
        <f t="shared" si="2"/>
        <v>0</v>
      </c>
      <c r="O62" s="9">
        <f t="shared" si="3"/>
        <v>0</v>
      </c>
      <c r="P62" s="9">
        <f t="shared" si="4"/>
        <v>0</v>
      </c>
    </row>
    <row r="63" spans="11:16" ht="49" thickTop="1" thickBot="1" x14ac:dyDescent="0.6">
      <c r="K63" s="8">
        <v>56</v>
      </c>
      <c r="L63" s="9">
        <f t="shared" si="0"/>
        <v>0</v>
      </c>
      <c r="M63" s="8">
        <f t="shared" si="1"/>
        <v>0</v>
      </c>
      <c r="N63" s="9">
        <f t="shared" si="2"/>
        <v>0</v>
      </c>
      <c r="O63" s="9">
        <f t="shared" si="3"/>
        <v>0</v>
      </c>
      <c r="P63" s="9">
        <f t="shared" si="4"/>
        <v>0</v>
      </c>
    </row>
    <row r="64" spans="11:16" ht="49" thickTop="1" thickBot="1" x14ac:dyDescent="0.6">
      <c r="K64" s="8">
        <v>57</v>
      </c>
      <c r="L64" s="9">
        <f t="shared" si="0"/>
        <v>0</v>
      </c>
      <c r="M64" s="8">
        <f t="shared" si="1"/>
        <v>0</v>
      </c>
      <c r="N64" s="9">
        <f t="shared" si="2"/>
        <v>0</v>
      </c>
      <c r="O64" s="9">
        <f t="shared" si="3"/>
        <v>0</v>
      </c>
      <c r="P64" s="9">
        <f t="shared" si="4"/>
        <v>0</v>
      </c>
    </row>
    <row r="65" spans="11:16" ht="49" thickTop="1" thickBot="1" x14ac:dyDescent="0.6">
      <c r="K65" s="8">
        <v>58</v>
      </c>
      <c r="L65" s="9">
        <f t="shared" si="0"/>
        <v>0</v>
      </c>
      <c r="M65" s="8">
        <f t="shared" si="1"/>
        <v>0</v>
      </c>
      <c r="N65" s="9">
        <f t="shared" si="2"/>
        <v>0</v>
      </c>
      <c r="O65" s="9">
        <f t="shared" si="3"/>
        <v>0</v>
      </c>
      <c r="P65" s="9">
        <f t="shared" si="4"/>
        <v>0</v>
      </c>
    </row>
    <row r="66" spans="11:16" ht="49" thickTop="1" thickBot="1" x14ac:dyDescent="0.6">
      <c r="K66" s="8">
        <v>59</v>
      </c>
      <c r="L66" s="9">
        <f t="shared" si="0"/>
        <v>0</v>
      </c>
      <c r="M66" s="8">
        <f t="shared" si="1"/>
        <v>0</v>
      </c>
      <c r="N66" s="9">
        <f t="shared" si="2"/>
        <v>0</v>
      </c>
      <c r="O66" s="9">
        <f t="shared" si="3"/>
        <v>0</v>
      </c>
      <c r="P66" s="9">
        <f t="shared" si="4"/>
        <v>0</v>
      </c>
    </row>
    <row r="67" spans="11:16" ht="49" thickTop="1" thickBot="1" x14ac:dyDescent="0.6">
      <c r="K67" s="8">
        <v>60</v>
      </c>
      <c r="L67" s="9">
        <f t="shared" si="0"/>
        <v>0</v>
      </c>
      <c r="M67" s="8">
        <f t="shared" si="1"/>
        <v>0</v>
      </c>
      <c r="N67" s="9">
        <f t="shared" si="2"/>
        <v>0</v>
      </c>
      <c r="O67" s="9">
        <f t="shared" si="3"/>
        <v>0</v>
      </c>
      <c r="P67" s="9">
        <f t="shared" si="4"/>
        <v>0</v>
      </c>
    </row>
    <row r="68" spans="11:16" ht="49" thickTop="1" thickBot="1" x14ac:dyDescent="0.6">
      <c r="K68" s="8">
        <v>61</v>
      </c>
      <c r="L68" s="9">
        <f t="shared" si="0"/>
        <v>0</v>
      </c>
      <c r="M68" s="8">
        <f t="shared" si="1"/>
        <v>0</v>
      </c>
      <c r="N68" s="9">
        <f t="shared" si="2"/>
        <v>0</v>
      </c>
      <c r="O68" s="9">
        <f t="shared" si="3"/>
        <v>0</v>
      </c>
      <c r="P68" s="9">
        <f t="shared" si="4"/>
        <v>0</v>
      </c>
    </row>
    <row r="69" spans="11:16" ht="49" thickTop="1" thickBot="1" x14ac:dyDescent="0.6">
      <c r="K69" s="8">
        <v>62</v>
      </c>
      <c r="L69" s="9">
        <f t="shared" si="0"/>
        <v>0</v>
      </c>
      <c r="M69" s="8">
        <f t="shared" si="1"/>
        <v>0</v>
      </c>
      <c r="N69" s="9">
        <f t="shared" si="2"/>
        <v>0</v>
      </c>
      <c r="O69" s="9">
        <f t="shared" si="3"/>
        <v>0</v>
      </c>
      <c r="P69" s="9">
        <f t="shared" si="4"/>
        <v>0</v>
      </c>
    </row>
    <row r="70" spans="11:16" ht="49" thickTop="1" thickBot="1" x14ac:dyDescent="0.6">
      <c r="K70" s="8">
        <v>63</v>
      </c>
      <c r="L70" s="9">
        <f t="shared" si="0"/>
        <v>0</v>
      </c>
      <c r="M70" s="8">
        <f t="shared" si="1"/>
        <v>0</v>
      </c>
      <c r="N70" s="9">
        <f t="shared" si="2"/>
        <v>0</v>
      </c>
      <c r="O70" s="9">
        <f t="shared" si="3"/>
        <v>0</v>
      </c>
      <c r="P70" s="9">
        <f t="shared" si="4"/>
        <v>0</v>
      </c>
    </row>
    <row r="71" spans="11:16" ht="49" thickTop="1" thickBot="1" x14ac:dyDescent="0.6">
      <c r="K71" s="8">
        <v>64</v>
      </c>
      <c r="L71" s="9">
        <f t="shared" si="0"/>
        <v>0</v>
      </c>
      <c r="M71" s="8">
        <f t="shared" si="1"/>
        <v>0</v>
      </c>
      <c r="N71" s="9">
        <f t="shared" si="2"/>
        <v>0</v>
      </c>
      <c r="O71" s="9">
        <f t="shared" si="3"/>
        <v>0</v>
      </c>
      <c r="P71" s="9">
        <f t="shared" si="4"/>
        <v>0</v>
      </c>
    </row>
    <row r="72" spans="11:16" ht="49" thickTop="1" thickBot="1" x14ac:dyDescent="0.6">
      <c r="K72" s="8">
        <v>65</v>
      </c>
      <c r="L72" s="9">
        <f t="shared" si="0"/>
        <v>0</v>
      </c>
      <c r="M72" s="8">
        <f t="shared" si="1"/>
        <v>0</v>
      </c>
      <c r="N72" s="9">
        <f t="shared" si="2"/>
        <v>0</v>
      </c>
      <c r="O72" s="9">
        <f t="shared" si="3"/>
        <v>0</v>
      </c>
      <c r="P72" s="9">
        <f t="shared" si="4"/>
        <v>0</v>
      </c>
    </row>
    <row r="73" spans="11:16" ht="49" thickTop="1" thickBot="1" x14ac:dyDescent="0.6">
      <c r="K73" s="8">
        <v>66</v>
      </c>
      <c r="L73" s="9">
        <f t="shared" si="0"/>
        <v>0</v>
      </c>
      <c r="M73" s="8">
        <f t="shared" si="1"/>
        <v>0</v>
      </c>
      <c r="N73" s="9">
        <f t="shared" si="2"/>
        <v>0</v>
      </c>
      <c r="O73" s="9">
        <f t="shared" si="3"/>
        <v>0</v>
      </c>
      <c r="P73" s="9">
        <f t="shared" si="4"/>
        <v>0</v>
      </c>
    </row>
    <row r="74" spans="11:16" ht="49" thickTop="1" thickBot="1" x14ac:dyDescent="0.6">
      <c r="K74" s="8">
        <v>67</v>
      </c>
      <c r="L74" s="9">
        <f t="shared" ref="L74:L137" si="5">P73</f>
        <v>0</v>
      </c>
      <c r="M74" s="8">
        <f t="shared" ref="M74:M137" si="6">M73</f>
        <v>0</v>
      </c>
      <c r="N74" s="9">
        <f t="shared" ref="N74:N137" si="7">L74+M74</f>
        <v>0</v>
      </c>
      <c r="O74" s="9">
        <f t="shared" ref="O74:O137" si="8">N74*NOMINAL($O$6,12)/12</f>
        <v>0</v>
      </c>
      <c r="P74" s="9">
        <f t="shared" ref="P74:P137" si="9">N74+O74</f>
        <v>0</v>
      </c>
    </row>
    <row r="75" spans="11:16" ht="49" thickTop="1" thickBot="1" x14ac:dyDescent="0.6">
      <c r="K75" s="8">
        <v>68</v>
      </c>
      <c r="L75" s="9">
        <f t="shared" si="5"/>
        <v>0</v>
      </c>
      <c r="M75" s="8">
        <f t="shared" si="6"/>
        <v>0</v>
      </c>
      <c r="N75" s="9">
        <f t="shared" si="7"/>
        <v>0</v>
      </c>
      <c r="O75" s="9">
        <f t="shared" si="8"/>
        <v>0</v>
      </c>
      <c r="P75" s="9">
        <f t="shared" si="9"/>
        <v>0</v>
      </c>
    </row>
    <row r="76" spans="11:16" ht="49" thickTop="1" thickBot="1" x14ac:dyDescent="0.6">
      <c r="K76" s="8">
        <v>69</v>
      </c>
      <c r="L76" s="9">
        <f t="shared" si="5"/>
        <v>0</v>
      </c>
      <c r="M76" s="8">
        <f t="shared" si="6"/>
        <v>0</v>
      </c>
      <c r="N76" s="9">
        <f t="shared" si="7"/>
        <v>0</v>
      </c>
      <c r="O76" s="9">
        <f t="shared" si="8"/>
        <v>0</v>
      </c>
      <c r="P76" s="9">
        <f t="shared" si="9"/>
        <v>0</v>
      </c>
    </row>
    <row r="77" spans="11:16" ht="49" thickTop="1" thickBot="1" x14ac:dyDescent="0.6">
      <c r="K77" s="8">
        <v>70</v>
      </c>
      <c r="L77" s="9">
        <f t="shared" si="5"/>
        <v>0</v>
      </c>
      <c r="M77" s="8">
        <f t="shared" si="6"/>
        <v>0</v>
      </c>
      <c r="N77" s="9">
        <f t="shared" si="7"/>
        <v>0</v>
      </c>
      <c r="O77" s="9">
        <f t="shared" si="8"/>
        <v>0</v>
      </c>
      <c r="P77" s="9">
        <f t="shared" si="9"/>
        <v>0</v>
      </c>
    </row>
    <row r="78" spans="11:16" ht="49" thickTop="1" thickBot="1" x14ac:dyDescent="0.6">
      <c r="K78" s="8">
        <v>71</v>
      </c>
      <c r="L78" s="9">
        <f t="shared" si="5"/>
        <v>0</v>
      </c>
      <c r="M78" s="8">
        <f t="shared" si="6"/>
        <v>0</v>
      </c>
      <c r="N78" s="9">
        <f t="shared" si="7"/>
        <v>0</v>
      </c>
      <c r="O78" s="9">
        <f t="shared" si="8"/>
        <v>0</v>
      </c>
      <c r="P78" s="9">
        <f t="shared" si="9"/>
        <v>0</v>
      </c>
    </row>
    <row r="79" spans="11:16" ht="49" thickTop="1" thickBot="1" x14ac:dyDescent="0.6">
      <c r="K79" s="8">
        <v>72</v>
      </c>
      <c r="L79" s="9">
        <f t="shared" si="5"/>
        <v>0</v>
      </c>
      <c r="M79" s="8">
        <f t="shared" si="6"/>
        <v>0</v>
      </c>
      <c r="N79" s="9">
        <f t="shared" si="7"/>
        <v>0</v>
      </c>
      <c r="O79" s="9">
        <f t="shared" si="8"/>
        <v>0</v>
      </c>
      <c r="P79" s="9">
        <f t="shared" si="9"/>
        <v>0</v>
      </c>
    </row>
    <row r="80" spans="11:16" ht="49" thickTop="1" thickBot="1" x14ac:dyDescent="0.6">
      <c r="K80" s="8">
        <v>73</v>
      </c>
      <c r="L80" s="9">
        <f t="shared" si="5"/>
        <v>0</v>
      </c>
      <c r="M80" s="8">
        <f t="shared" si="6"/>
        <v>0</v>
      </c>
      <c r="N80" s="9">
        <f t="shared" si="7"/>
        <v>0</v>
      </c>
      <c r="O80" s="9">
        <f t="shared" si="8"/>
        <v>0</v>
      </c>
      <c r="P80" s="9">
        <f t="shared" si="9"/>
        <v>0</v>
      </c>
    </row>
    <row r="81" spans="11:16" ht="49" thickTop="1" thickBot="1" x14ac:dyDescent="0.6">
      <c r="K81" s="8">
        <v>74</v>
      </c>
      <c r="L81" s="9">
        <f t="shared" si="5"/>
        <v>0</v>
      </c>
      <c r="M81" s="8">
        <f t="shared" si="6"/>
        <v>0</v>
      </c>
      <c r="N81" s="9">
        <f t="shared" si="7"/>
        <v>0</v>
      </c>
      <c r="O81" s="9">
        <f t="shared" si="8"/>
        <v>0</v>
      </c>
      <c r="P81" s="9">
        <f t="shared" si="9"/>
        <v>0</v>
      </c>
    </row>
    <row r="82" spans="11:16" ht="49" thickTop="1" thickBot="1" x14ac:dyDescent="0.6">
      <c r="K82" s="8">
        <v>75</v>
      </c>
      <c r="L82" s="9">
        <f t="shared" si="5"/>
        <v>0</v>
      </c>
      <c r="M82" s="8">
        <f t="shared" si="6"/>
        <v>0</v>
      </c>
      <c r="N82" s="9">
        <f t="shared" si="7"/>
        <v>0</v>
      </c>
      <c r="O82" s="9">
        <f t="shared" si="8"/>
        <v>0</v>
      </c>
      <c r="P82" s="9">
        <f t="shared" si="9"/>
        <v>0</v>
      </c>
    </row>
    <row r="83" spans="11:16" ht="49" thickTop="1" thickBot="1" x14ac:dyDescent="0.6">
      <c r="K83" s="8">
        <v>76</v>
      </c>
      <c r="L83" s="9">
        <f t="shared" si="5"/>
        <v>0</v>
      </c>
      <c r="M83" s="8">
        <f t="shared" si="6"/>
        <v>0</v>
      </c>
      <c r="N83" s="9">
        <f t="shared" si="7"/>
        <v>0</v>
      </c>
      <c r="O83" s="9">
        <f t="shared" si="8"/>
        <v>0</v>
      </c>
      <c r="P83" s="9">
        <f t="shared" si="9"/>
        <v>0</v>
      </c>
    </row>
    <row r="84" spans="11:16" ht="49" thickTop="1" thickBot="1" x14ac:dyDescent="0.6">
      <c r="K84" s="8">
        <v>77</v>
      </c>
      <c r="L84" s="9">
        <f t="shared" si="5"/>
        <v>0</v>
      </c>
      <c r="M84" s="8">
        <f t="shared" si="6"/>
        <v>0</v>
      </c>
      <c r="N84" s="9">
        <f t="shared" si="7"/>
        <v>0</v>
      </c>
      <c r="O84" s="9">
        <f t="shared" si="8"/>
        <v>0</v>
      </c>
      <c r="P84" s="9">
        <f t="shared" si="9"/>
        <v>0</v>
      </c>
    </row>
    <row r="85" spans="11:16" ht="49" thickTop="1" thickBot="1" x14ac:dyDescent="0.6">
      <c r="K85" s="8">
        <v>78</v>
      </c>
      <c r="L85" s="9">
        <f t="shared" si="5"/>
        <v>0</v>
      </c>
      <c r="M85" s="8">
        <f t="shared" si="6"/>
        <v>0</v>
      </c>
      <c r="N85" s="9">
        <f t="shared" si="7"/>
        <v>0</v>
      </c>
      <c r="O85" s="9">
        <f t="shared" si="8"/>
        <v>0</v>
      </c>
      <c r="P85" s="9">
        <f t="shared" si="9"/>
        <v>0</v>
      </c>
    </row>
    <row r="86" spans="11:16" ht="49" thickTop="1" thickBot="1" x14ac:dyDescent="0.6">
      <c r="K86" s="8">
        <v>79</v>
      </c>
      <c r="L86" s="9">
        <f t="shared" si="5"/>
        <v>0</v>
      </c>
      <c r="M86" s="8">
        <f t="shared" si="6"/>
        <v>0</v>
      </c>
      <c r="N86" s="9">
        <f t="shared" si="7"/>
        <v>0</v>
      </c>
      <c r="O86" s="9">
        <f t="shared" si="8"/>
        <v>0</v>
      </c>
      <c r="P86" s="9">
        <f t="shared" si="9"/>
        <v>0</v>
      </c>
    </row>
    <row r="87" spans="11:16" ht="49" thickTop="1" thickBot="1" x14ac:dyDescent="0.6">
      <c r="K87" s="8">
        <v>80</v>
      </c>
      <c r="L87" s="9">
        <f t="shared" si="5"/>
        <v>0</v>
      </c>
      <c r="M87" s="8">
        <f t="shared" si="6"/>
        <v>0</v>
      </c>
      <c r="N87" s="9">
        <f t="shared" si="7"/>
        <v>0</v>
      </c>
      <c r="O87" s="9">
        <f t="shared" si="8"/>
        <v>0</v>
      </c>
      <c r="P87" s="9">
        <f t="shared" si="9"/>
        <v>0</v>
      </c>
    </row>
    <row r="88" spans="11:16" ht="49" thickTop="1" thickBot="1" x14ac:dyDescent="0.6">
      <c r="K88" s="8">
        <v>81</v>
      </c>
      <c r="L88" s="9">
        <f t="shared" si="5"/>
        <v>0</v>
      </c>
      <c r="M88" s="8">
        <f t="shared" si="6"/>
        <v>0</v>
      </c>
      <c r="N88" s="9">
        <f t="shared" si="7"/>
        <v>0</v>
      </c>
      <c r="O88" s="9">
        <f t="shared" si="8"/>
        <v>0</v>
      </c>
      <c r="P88" s="9">
        <f t="shared" si="9"/>
        <v>0</v>
      </c>
    </row>
    <row r="89" spans="11:16" ht="49" thickTop="1" thickBot="1" x14ac:dyDescent="0.6">
      <c r="K89" s="8">
        <v>82</v>
      </c>
      <c r="L89" s="9">
        <f t="shared" si="5"/>
        <v>0</v>
      </c>
      <c r="M89" s="8">
        <f t="shared" si="6"/>
        <v>0</v>
      </c>
      <c r="N89" s="9">
        <f t="shared" si="7"/>
        <v>0</v>
      </c>
      <c r="O89" s="9">
        <f t="shared" si="8"/>
        <v>0</v>
      </c>
      <c r="P89" s="9">
        <f t="shared" si="9"/>
        <v>0</v>
      </c>
    </row>
    <row r="90" spans="11:16" ht="49" thickTop="1" thickBot="1" x14ac:dyDescent="0.6">
      <c r="K90" s="8">
        <v>83</v>
      </c>
      <c r="L90" s="9">
        <f t="shared" si="5"/>
        <v>0</v>
      </c>
      <c r="M90" s="8">
        <f t="shared" si="6"/>
        <v>0</v>
      </c>
      <c r="N90" s="9">
        <f t="shared" si="7"/>
        <v>0</v>
      </c>
      <c r="O90" s="9">
        <f t="shared" si="8"/>
        <v>0</v>
      </c>
      <c r="P90" s="9">
        <f t="shared" si="9"/>
        <v>0</v>
      </c>
    </row>
    <row r="91" spans="11:16" ht="49" thickTop="1" thickBot="1" x14ac:dyDescent="0.6">
      <c r="K91" s="8">
        <v>84</v>
      </c>
      <c r="L91" s="9">
        <f t="shared" si="5"/>
        <v>0</v>
      </c>
      <c r="M91" s="8">
        <f t="shared" si="6"/>
        <v>0</v>
      </c>
      <c r="N91" s="9">
        <f t="shared" si="7"/>
        <v>0</v>
      </c>
      <c r="O91" s="9">
        <f t="shared" si="8"/>
        <v>0</v>
      </c>
      <c r="P91" s="9">
        <f t="shared" si="9"/>
        <v>0</v>
      </c>
    </row>
    <row r="92" spans="11:16" ht="49" thickTop="1" thickBot="1" x14ac:dyDescent="0.6">
      <c r="K92" s="8">
        <v>85</v>
      </c>
      <c r="L92" s="9">
        <f t="shared" si="5"/>
        <v>0</v>
      </c>
      <c r="M92" s="8">
        <f t="shared" si="6"/>
        <v>0</v>
      </c>
      <c r="N92" s="9">
        <f t="shared" si="7"/>
        <v>0</v>
      </c>
      <c r="O92" s="9">
        <f t="shared" si="8"/>
        <v>0</v>
      </c>
      <c r="P92" s="9">
        <f t="shared" si="9"/>
        <v>0</v>
      </c>
    </row>
    <row r="93" spans="11:16" ht="49" thickTop="1" thickBot="1" x14ac:dyDescent="0.6">
      <c r="K93" s="8">
        <v>86</v>
      </c>
      <c r="L93" s="9">
        <f t="shared" si="5"/>
        <v>0</v>
      </c>
      <c r="M93" s="8">
        <f t="shared" si="6"/>
        <v>0</v>
      </c>
      <c r="N93" s="9">
        <f t="shared" si="7"/>
        <v>0</v>
      </c>
      <c r="O93" s="9">
        <f t="shared" si="8"/>
        <v>0</v>
      </c>
      <c r="P93" s="9">
        <f t="shared" si="9"/>
        <v>0</v>
      </c>
    </row>
    <row r="94" spans="11:16" ht="49" thickTop="1" thickBot="1" x14ac:dyDescent="0.6">
      <c r="K94" s="8">
        <v>87</v>
      </c>
      <c r="L94" s="9">
        <f t="shared" si="5"/>
        <v>0</v>
      </c>
      <c r="M94" s="8">
        <f t="shared" si="6"/>
        <v>0</v>
      </c>
      <c r="N94" s="9">
        <f t="shared" si="7"/>
        <v>0</v>
      </c>
      <c r="O94" s="9">
        <f t="shared" si="8"/>
        <v>0</v>
      </c>
      <c r="P94" s="9">
        <f t="shared" si="9"/>
        <v>0</v>
      </c>
    </row>
    <row r="95" spans="11:16" ht="49" thickTop="1" thickBot="1" x14ac:dyDescent="0.6">
      <c r="K95" s="8">
        <v>88</v>
      </c>
      <c r="L95" s="9">
        <f t="shared" si="5"/>
        <v>0</v>
      </c>
      <c r="M95" s="8">
        <f t="shared" si="6"/>
        <v>0</v>
      </c>
      <c r="N95" s="9">
        <f t="shared" si="7"/>
        <v>0</v>
      </c>
      <c r="O95" s="9">
        <f t="shared" si="8"/>
        <v>0</v>
      </c>
      <c r="P95" s="9">
        <f t="shared" si="9"/>
        <v>0</v>
      </c>
    </row>
    <row r="96" spans="11:16" ht="49" thickTop="1" thickBot="1" x14ac:dyDescent="0.6">
      <c r="K96" s="8">
        <v>89</v>
      </c>
      <c r="L96" s="9">
        <f t="shared" si="5"/>
        <v>0</v>
      </c>
      <c r="M96" s="8">
        <f t="shared" si="6"/>
        <v>0</v>
      </c>
      <c r="N96" s="9">
        <f t="shared" si="7"/>
        <v>0</v>
      </c>
      <c r="O96" s="9">
        <f t="shared" si="8"/>
        <v>0</v>
      </c>
      <c r="P96" s="9">
        <f t="shared" si="9"/>
        <v>0</v>
      </c>
    </row>
    <row r="97" spans="11:16" ht="49" thickTop="1" thickBot="1" x14ac:dyDescent="0.6">
      <c r="K97" s="8">
        <v>90</v>
      </c>
      <c r="L97" s="9">
        <f t="shared" si="5"/>
        <v>0</v>
      </c>
      <c r="M97" s="8">
        <f t="shared" si="6"/>
        <v>0</v>
      </c>
      <c r="N97" s="9">
        <f t="shared" si="7"/>
        <v>0</v>
      </c>
      <c r="O97" s="9">
        <f t="shared" si="8"/>
        <v>0</v>
      </c>
      <c r="P97" s="9">
        <f t="shared" si="9"/>
        <v>0</v>
      </c>
    </row>
    <row r="98" spans="11:16" ht="49" thickTop="1" thickBot="1" x14ac:dyDescent="0.6">
      <c r="K98" s="8">
        <v>91</v>
      </c>
      <c r="L98" s="9">
        <f t="shared" si="5"/>
        <v>0</v>
      </c>
      <c r="M98" s="8">
        <f t="shared" si="6"/>
        <v>0</v>
      </c>
      <c r="N98" s="9">
        <f t="shared" si="7"/>
        <v>0</v>
      </c>
      <c r="O98" s="9">
        <f t="shared" si="8"/>
        <v>0</v>
      </c>
      <c r="P98" s="9">
        <f t="shared" si="9"/>
        <v>0</v>
      </c>
    </row>
    <row r="99" spans="11:16" ht="49" thickTop="1" thickBot="1" x14ac:dyDescent="0.6">
      <c r="K99" s="8">
        <v>92</v>
      </c>
      <c r="L99" s="9">
        <f t="shared" si="5"/>
        <v>0</v>
      </c>
      <c r="M99" s="8">
        <f t="shared" si="6"/>
        <v>0</v>
      </c>
      <c r="N99" s="9">
        <f t="shared" si="7"/>
        <v>0</v>
      </c>
      <c r="O99" s="9">
        <f t="shared" si="8"/>
        <v>0</v>
      </c>
      <c r="P99" s="9">
        <f t="shared" si="9"/>
        <v>0</v>
      </c>
    </row>
    <row r="100" spans="11:16" ht="49" thickTop="1" thickBot="1" x14ac:dyDescent="0.6">
      <c r="K100" s="8">
        <v>93</v>
      </c>
      <c r="L100" s="9">
        <f t="shared" si="5"/>
        <v>0</v>
      </c>
      <c r="M100" s="8">
        <f t="shared" si="6"/>
        <v>0</v>
      </c>
      <c r="N100" s="9">
        <f t="shared" si="7"/>
        <v>0</v>
      </c>
      <c r="O100" s="9">
        <f t="shared" si="8"/>
        <v>0</v>
      </c>
      <c r="P100" s="9">
        <f t="shared" si="9"/>
        <v>0</v>
      </c>
    </row>
    <row r="101" spans="11:16" ht="49" thickTop="1" thickBot="1" x14ac:dyDescent="0.6">
      <c r="K101" s="8">
        <v>94</v>
      </c>
      <c r="L101" s="9">
        <f t="shared" si="5"/>
        <v>0</v>
      </c>
      <c r="M101" s="8">
        <f t="shared" si="6"/>
        <v>0</v>
      </c>
      <c r="N101" s="9">
        <f t="shared" si="7"/>
        <v>0</v>
      </c>
      <c r="O101" s="9">
        <f t="shared" si="8"/>
        <v>0</v>
      </c>
      <c r="P101" s="9">
        <f t="shared" si="9"/>
        <v>0</v>
      </c>
    </row>
    <row r="102" spans="11:16" ht="49" thickTop="1" thickBot="1" x14ac:dyDescent="0.6">
      <c r="K102" s="8">
        <v>95</v>
      </c>
      <c r="L102" s="9">
        <f t="shared" si="5"/>
        <v>0</v>
      </c>
      <c r="M102" s="8">
        <f t="shared" si="6"/>
        <v>0</v>
      </c>
      <c r="N102" s="9">
        <f t="shared" si="7"/>
        <v>0</v>
      </c>
      <c r="O102" s="9">
        <f t="shared" si="8"/>
        <v>0</v>
      </c>
      <c r="P102" s="9">
        <f t="shared" si="9"/>
        <v>0</v>
      </c>
    </row>
    <row r="103" spans="11:16" ht="49" thickTop="1" thickBot="1" x14ac:dyDescent="0.6">
      <c r="K103" s="8">
        <v>96</v>
      </c>
      <c r="L103" s="9">
        <f t="shared" si="5"/>
        <v>0</v>
      </c>
      <c r="M103" s="8">
        <f t="shared" si="6"/>
        <v>0</v>
      </c>
      <c r="N103" s="9">
        <f t="shared" si="7"/>
        <v>0</v>
      </c>
      <c r="O103" s="9">
        <f t="shared" si="8"/>
        <v>0</v>
      </c>
      <c r="P103" s="9">
        <f t="shared" si="9"/>
        <v>0</v>
      </c>
    </row>
    <row r="104" spans="11:16" ht="49" thickTop="1" thickBot="1" x14ac:dyDescent="0.6">
      <c r="K104" s="8">
        <v>97</v>
      </c>
      <c r="L104" s="9">
        <f t="shared" si="5"/>
        <v>0</v>
      </c>
      <c r="M104" s="8">
        <f t="shared" si="6"/>
        <v>0</v>
      </c>
      <c r="N104" s="9">
        <f t="shared" si="7"/>
        <v>0</v>
      </c>
      <c r="O104" s="9">
        <f t="shared" si="8"/>
        <v>0</v>
      </c>
      <c r="P104" s="9">
        <f t="shared" si="9"/>
        <v>0</v>
      </c>
    </row>
    <row r="105" spans="11:16" ht="49" thickTop="1" thickBot="1" x14ac:dyDescent="0.6">
      <c r="K105" s="8">
        <v>98</v>
      </c>
      <c r="L105" s="9">
        <f t="shared" si="5"/>
        <v>0</v>
      </c>
      <c r="M105" s="8">
        <f t="shared" si="6"/>
        <v>0</v>
      </c>
      <c r="N105" s="9">
        <f t="shared" si="7"/>
        <v>0</v>
      </c>
      <c r="O105" s="9">
        <f t="shared" si="8"/>
        <v>0</v>
      </c>
      <c r="P105" s="9">
        <f t="shared" si="9"/>
        <v>0</v>
      </c>
    </row>
    <row r="106" spans="11:16" ht="49" thickTop="1" thickBot="1" x14ac:dyDescent="0.6">
      <c r="K106" s="8">
        <v>99</v>
      </c>
      <c r="L106" s="9">
        <f t="shared" si="5"/>
        <v>0</v>
      </c>
      <c r="M106" s="8">
        <f t="shared" si="6"/>
        <v>0</v>
      </c>
      <c r="N106" s="9">
        <f t="shared" si="7"/>
        <v>0</v>
      </c>
      <c r="O106" s="9">
        <f t="shared" si="8"/>
        <v>0</v>
      </c>
      <c r="P106" s="9">
        <f t="shared" si="9"/>
        <v>0</v>
      </c>
    </row>
    <row r="107" spans="11:16" ht="49" thickTop="1" thickBot="1" x14ac:dyDescent="0.6">
      <c r="K107" s="8">
        <v>100</v>
      </c>
      <c r="L107" s="9">
        <f t="shared" si="5"/>
        <v>0</v>
      </c>
      <c r="M107" s="8">
        <f t="shared" si="6"/>
        <v>0</v>
      </c>
      <c r="N107" s="9">
        <f t="shared" si="7"/>
        <v>0</v>
      </c>
      <c r="O107" s="9">
        <f t="shared" si="8"/>
        <v>0</v>
      </c>
      <c r="P107" s="9">
        <f t="shared" si="9"/>
        <v>0</v>
      </c>
    </row>
    <row r="108" spans="11:16" ht="49" thickTop="1" thickBot="1" x14ac:dyDescent="0.6">
      <c r="K108" s="8">
        <v>101</v>
      </c>
      <c r="L108" s="9">
        <f t="shared" si="5"/>
        <v>0</v>
      </c>
      <c r="M108" s="8">
        <f t="shared" si="6"/>
        <v>0</v>
      </c>
      <c r="N108" s="9">
        <f t="shared" si="7"/>
        <v>0</v>
      </c>
      <c r="O108" s="9">
        <f t="shared" si="8"/>
        <v>0</v>
      </c>
      <c r="P108" s="9">
        <f t="shared" si="9"/>
        <v>0</v>
      </c>
    </row>
    <row r="109" spans="11:16" ht="49" thickTop="1" thickBot="1" x14ac:dyDescent="0.6">
      <c r="K109" s="8">
        <v>102</v>
      </c>
      <c r="L109" s="9">
        <f t="shared" si="5"/>
        <v>0</v>
      </c>
      <c r="M109" s="8">
        <f t="shared" si="6"/>
        <v>0</v>
      </c>
      <c r="N109" s="9">
        <f t="shared" si="7"/>
        <v>0</v>
      </c>
      <c r="O109" s="9">
        <f t="shared" si="8"/>
        <v>0</v>
      </c>
      <c r="P109" s="9">
        <f t="shared" si="9"/>
        <v>0</v>
      </c>
    </row>
    <row r="110" spans="11:16" ht="49" thickTop="1" thickBot="1" x14ac:dyDescent="0.6">
      <c r="K110" s="8">
        <v>103</v>
      </c>
      <c r="L110" s="9">
        <f t="shared" si="5"/>
        <v>0</v>
      </c>
      <c r="M110" s="8">
        <f t="shared" si="6"/>
        <v>0</v>
      </c>
      <c r="N110" s="9">
        <f t="shared" si="7"/>
        <v>0</v>
      </c>
      <c r="O110" s="9">
        <f t="shared" si="8"/>
        <v>0</v>
      </c>
      <c r="P110" s="9">
        <f t="shared" si="9"/>
        <v>0</v>
      </c>
    </row>
    <row r="111" spans="11:16" ht="49" thickTop="1" thickBot="1" x14ac:dyDescent="0.6">
      <c r="K111" s="8">
        <v>104</v>
      </c>
      <c r="L111" s="9">
        <f t="shared" si="5"/>
        <v>0</v>
      </c>
      <c r="M111" s="8">
        <f t="shared" si="6"/>
        <v>0</v>
      </c>
      <c r="N111" s="9">
        <f t="shared" si="7"/>
        <v>0</v>
      </c>
      <c r="O111" s="9">
        <f t="shared" si="8"/>
        <v>0</v>
      </c>
      <c r="P111" s="9">
        <f t="shared" si="9"/>
        <v>0</v>
      </c>
    </row>
    <row r="112" spans="11:16" ht="49" thickTop="1" thickBot="1" x14ac:dyDescent="0.6">
      <c r="K112" s="8">
        <v>105</v>
      </c>
      <c r="L112" s="9">
        <f t="shared" si="5"/>
        <v>0</v>
      </c>
      <c r="M112" s="8">
        <f t="shared" si="6"/>
        <v>0</v>
      </c>
      <c r="N112" s="9">
        <f t="shared" si="7"/>
        <v>0</v>
      </c>
      <c r="O112" s="9">
        <f t="shared" si="8"/>
        <v>0</v>
      </c>
      <c r="P112" s="9">
        <f t="shared" si="9"/>
        <v>0</v>
      </c>
    </row>
    <row r="113" spans="11:16" ht="49" thickTop="1" thickBot="1" x14ac:dyDescent="0.6">
      <c r="K113" s="8">
        <v>106</v>
      </c>
      <c r="L113" s="9">
        <f t="shared" si="5"/>
        <v>0</v>
      </c>
      <c r="M113" s="8">
        <f t="shared" si="6"/>
        <v>0</v>
      </c>
      <c r="N113" s="9">
        <f t="shared" si="7"/>
        <v>0</v>
      </c>
      <c r="O113" s="9">
        <f t="shared" si="8"/>
        <v>0</v>
      </c>
      <c r="P113" s="9">
        <f t="shared" si="9"/>
        <v>0</v>
      </c>
    </row>
    <row r="114" spans="11:16" ht="49" thickTop="1" thickBot="1" x14ac:dyDescent="0.6">
      <c r="K114" s="8">
        <v>107</v>
      </c>
      <c r="L114" s="9">
        <f t="shared" si="5"/>
        <v>0</v>
      </c>
      <c r="M114" s="8">
        <f t="shared" si="6"/>
        <v>0</v>
      </c>
      <c r="N114" s="9">
        <f t="shared" si="7"/>
        <v>0</v>
      </c>
      <c r="O114" s="9">
        <f t="shared" si="8"/>
        <v>0</v>
      </c>
      <c r="P114" s="9">
        <f t="shared" si="9"/>
        <v>0</v>
      </c>
    </row>
    <row r="115" spans="11:16" ht="49" thickTop="1" thickBot="1" x14ac:dyDescent="0.6">
      <c r="K115" s="8">
        <v>108</v>
      </c>
      <c r="L115" s="9">
        <f t="shared" si="5"/>
        <v>0</v>
      </c>
      <c r="M115" s="8">
        <f t="shared" si="6"/>
        <v>0</v>
      </c>
      <c r="N115" s="9">
        <f t="shared" si="7"/>
        <v>0</v>
      </c>
      <c r="O115" s="9">
        <f t="shared" si="8"/>
        <v>0</v>
      </c>
      <c r="P115" s="9">
        <f t="shared" si="9"/>
        <v>0</v>
      </c>
    </row>
    <row r="116" spans="11:16" ht="49" thickTop="1" thickBot="1" x14ac:dyDescent="0.6">
      <c r="K116" s="8">
        <v>109</v>
      </c>
      <c r="L116" s="9">
        <f t="shared" si="5"/>
        <v>0</v>
      </c>
      <c r="M116" s="8">
        <f t="shared" si="6"/>
        <v>0</v>
      </c>
      <c r="N116" s="9">
        <f t="shared" si="7"/>
        <v>0</v>
      </c>
      <c r="O116" s="9">
        <f t="shared" si="8"/>
        <v>0</v>
      </c>
      <c r="P116" s="9">
        <f t="shared" si="9"/>
        <v>0</v>
      </c>
    </row>
    <row r="117" spans="11:16" ht="49" thickTop="1" thickBot="1" x14ac:dyDescent="0.6">
      <c r="K117" s="8">
        <v>110</v>
      </c>
      <c r="L117" s="9">
        <f t="shared" si="5"/>
        <v>0</v>
      </c>
      <c r="M117" s="8">
        <f t="shared" si="6"/>
        <v>0</v>
      </c>
      <c r="N117" s="9">
        <f t="shared" si="7"/>
        <v>0</v>
      </c>
      <c r="O117" s="9">
        <f t="shared" si="8"/>
        <v>0</v>
      </c>
      <c r="P117" s="9">
        <f t="shared" si="9"/>
        <v>0</v>
      </c>
    </row>
    <row r="118" spans="11:16" ht="49" thickTop="1" thickBot="1" x14ac:dyDescent="0.6">
      <c r="K118" s="8">
        <v>111</v>
      </c>
      <c r="L118" s="9">
        <f t="shared" si="5"/>
        <v>0</v>
      </c>
      <c r="M118" s="8">
        <f t="shared" si="6"/>
        <v>0</v>
      </c>
      <c r="N118" s="9">
        <f t="shared" si="7"/>
        <v>0</v>
      </c>
      <c r="O118" s="9">
        <f t="shared" si="8"/>
        <v>0</v>
      </c>
      <c r="P118" s="9">
        <f t="shared" si="9"/>
        <v>0</v>
      </c>
    </row>
    <row r="119" spans="11:16" ht="49" thickTop="1" thickBot="1" x14ac:dyDescent="0.6">
      <c r="K119" s="8">
        <v>112</v>
      </c>
      <c r="L119" s="9">
        <f t="shared" si="5"/>
        <v>0</v>
      </c>
      <c r="M119" s="8">
        <f t="shared" si="6"/>
        <v>0</v>
      </c>
      <c r="N119" s="9">
        <f t="shared" si="7"/>
        <v>0</v>
      </c>
      <c r="O119" s="9">
        <f t="shared" si="8"/>
        <v>0</v>
      </c>
      <c r="P119" s="9">
        <f t="shared" si="9"/>
        <v>0</v>
      </c>
    </row>
    <row r="120" spans="11:16" ht="49" thickTop="1" thickBot="1" x14ac:dyDescent="0.6">
      <c r="K120" s="8">
        <v>113</v>
      </c>
      <c r="L120" s="9">
        <f t="shared" si="5"/>
        <v>0</v>
      </c>
      <c r="M120" s="8">
        <f t="shared" si="6"/>
        <v>0</v>
      </c>
      <c r="N120" s="9">
        <f t="shared" si="7"/>
        <v>0</v>
      </c>
      <c r="O120" s="9">
        <f t="shared" si="8"/>
        <v>0</v>
      </c>
      <c r="P120" s="9">
        <f t="shared" si="9"/>
        <v>0</v>
      </c>
    </row>
    <row r="121" spans="11:16" ht="49" thickTop="1" thickBot="1" x14ac:dyDescent="0.6">
      <c r="K121" s="8">
        <v>114</v>
      </c>
      <c r="L121" s="9">
        <f t="shared" si="5"/>
        <v>0</v>
      </c>
      <c r="M121" s="8">
        <f t="shared" si="6"/>
        <v>0</v>
      </c>
      <c r="N121" s="9">
        <f t="shared" si="7"/>
        <v>0</v>
      </c>
      <c r="O121" s="9">
        <f t="shared" si="8"/>
        <v>0</v>
      </c>
      <c r="P121" s="9">
        <f t="shared" si="9"/>
        <v>0</v>
      </c>
    </row>
    <row r="122" spans="11:16" ht="49" thickTop="1" thickBot="1" x14ac:dyDescent="0.6">
      <c r="K122" s="8">
        <v>115</v>
      </c>
      <c r="L122" s="9">
        <f t="shared" si="5"/>
        <v>0</v>
      </c>
      <c r="M122" s="8">
        <f t="shared" si="6"/>
        <v>0</v>
      </c>
      <c r="N122" s="9">
        <f t="shared" si="7"/>
        <v>0</v>
      </c>
      <c r="O122" s="9">
        <f t="shared" si="8"/>
        <v>0</v>
      </c>
      <c r="P122" s="9">
        <f t="shared" si="9"/>
        <v>0</v>
      </c>
    </row>
    <row r="123" spans="11:16" ht="49" thickTop="1" thickBot="1" x14ac:dyDescent="0.6">
      <c r="K123" s="8">
        <v>116</v>
      </c>
      <c r="L123" s="9">
        <f t="shared" si="5"/>
        <v>0</v>
      </c>
      <c r="M123" s="8">
        <f t="shared" si="6"/>
        <v>0</v>
      </c>
      <c r="N123" s="9">
        <f t="shared" si="7"/>
        <v>0</v>
      </c>
      <c r="O123" s="9">
        <f t="shared" si="8"/>
        <v>0</v>
      </c>
      <c r="P123" s="9">
        <f t="shared" si="9"/>
        <v>0</v>
      </c>
    </row>
    <row r="124" spans="11:16" ht="49" thickTop="1" thickBot="1" x14ac:dyDescent="0.6">
      <c r="K124" s="8">
        <v>117</v>
      </c>
      <c r="L124" s="9">
        <f t="shared" si="5"/>
        <v>0</v>
      </c>
      <c r="M124" s="8">
        <f t="shared" si="6"/>
        <v>0</v>
      </c>
      <c r="N124" s="9">
        <f t="shared" si="7"/>
        <v>0</v>
      </c>
      <c r="O124" s="9">
        <f t="shared" si="8"/>
        <v>0</v>
      </c>
      <c r="P124" s="9">
        <f t="shared" si="9"/>
        <v>0</v>
      </c>
    </row>
    <row r="125" spans="11:16" ht="49" thickTop="1" thickBot="1" x14ac:dyDescent="0.6">
      <c r="K125" s="8">
        <v>118</v>
      </c>
      <c r="L125" s="9">
        <f t="shared" si="5"/>
        <v>0</v>
      </c>
      <c r="M125" s="8">
        <f t="shared" si="6"/>
        <v>0</v>
      </c>
      <c r="N125" s="9">
        <f t="shared" si="7"/>
        <v>0</v>
      </c>
      <c r="O125" s="9">
        <f t="shared" si="8"/>
        <v>0</v>
      </c>
      <c r="P125" s="9">
        <f t="shared" si="9"/>
        <v>0</v>
      </c>
    </row>
    <row r="126" spans="11:16" ht="49" thickTop="1" thickBot="1" x14ac:dyDescent="0.6">
      <c r="K126" s="8">
        <v>119</v>
      </c>
      <c r="L126" s="9">
        <f t="shared" si="5"/>
        <v>0</v>
      </c>
      <c r="M126" s="8">
        <f t="shared" si="6"/>
        <v>0</v>
      </c>
      <c r="N126" s="9">
        <f t="shared" si="7"/>
        <v>0</v>
      </c>
      <c r="O126" s="9">
        <f t="shared" si="8"/>
        <v>0</v>
      </c>
      <c r="P126" s="9">
        <f t="shared" si="9"/>
        <v>0</v>
      </c>
    </row>
    <row r="127" spans="11:16" ht="49" thickTop="1" thickBot="1" x14ac:dyDescent="0.6">
      <c r="K127" s="8">
        <v>120</v>
      </c>
      <c r="L127" s="9">
        <f t="shared" si="5"/>
        <v>0</v>
      </c>
      <c r="M127" s="8">
        <f t="shared" si="6"/>
        <v>0</v>
      </c>
      <c r="N127" s="9">
        <f t="shared" si="7"/>
        <v>0</v>
      </c>
      <c r="O127" s="9">
        <f t="shared" si="8"/>
        <v>0</v>
      </c>
      <c r="P127" s="9">
        <f t="shared" si="9"/>
        <v>0</v>
      </c>
    </row>
    <row r="128" spans="11:16" ht="49" thickTop="1" thickBot="1" x14ac:dyDescent="0.6">
      <c r="K128" s="8">
        <v>121</v>
      </c>
      <c r="L128" s="9">
        <f t="shared" si="5"/>
        <v>0</v>
      </c>
      <c r="M128" s="8">
        <f t="shared" si="6"/>
        <v>0</v>
      </c>
      <c r="N128" s="9">
        <f t="shared" si="7"/>
        <v>0</v>
      </c>
      <c r="O128" s="9">
        <f t="shared" si="8"/>
        <v>0</v>
      </c>
      <c r="P128" s="9">
        <f t="shared" si="9"/>
        <v>0</v>
      </c>
    </row>
    <row r="129" spans="11:16" ht="49" thickTop="1" thickBot="1" x14ac:dyDescent="0.6">
      <c r="K129" s="8">
        <v>122</v>
      </c>
      <c r="L129" s="9">
        <f t="shared" si="5"/>
        <v>0</v>
      </c>
      <c r="M129" s="8">
        <f t="shared" si="6"/>
        <v>0</v>
      </c>
      <c r="N129" s="9">
        <f t="shared" si="7"/>
        <v>0</v>
      </c>
      <c r="O129" s="9">
        <f t="shared" si="8"/>
        <v>0</v>
      </c>
      <c r="P129" s="9">
        <f t="shared" si="9"/>
        <v>0</v>
      </c>
    </row>
    <row r="130" spans="11:16" ht="49" thickTop="1" thickBot="1" x14ac:dyDescent="0.6">
      <c r="K130" s="8">
        <v>123</v>
      </c>
      <c r="L130" s="9">
        <f t="shared" si="5"/>
        <v>0</v>
      </c>
      <c r="M130" s="8">
        <f t="shared" si="6"/>
        <v>0</v>
      </c>
      <c r="N130" s="9">
        <f t="shared" si="7"/>
        <v>0</v>
      </c>
      <c r="O130" s="9">
        <f t="shared" si="8"/>
        <v>0</v>
      </c>
      <c r="P130" s="9">
        <f t="shared" si="9"/>
        <v>0</v>
      </c>
    </row>
    <row r="131" spans="11:16" ht="49" thickTop="1" thickBot="1" x14ac:dyDescent="0.6">
      <c r="K131" s="8">
        <v>124</v>
      </c>
      <c r="L131" s="9">
        <f t="shared" si="5"/>
        <v>0</v>
      </c>
      <c r="M131" s="8">
        <f t="shared" si="6"/>
        <v>0</v>
      </c>
      <c r="N131" s="9">
        <f t="shared" si="7"/>
        <v>0</v>
      </c>
      <c r="O131" s="9">
        <f t="shared" si="8"/>
        <v>0</v>
      </c>
      <c r="P131" s="9">
        <f t="shared" si="9"/>
        <v>0</v>
      </c>
    </row>
    <row r="132" spans="11:16" ht="49" thickTop="1" thickBot="1" x14ac:dyDescent="0.6">
      <c r="K132" s="8">
        <v>125</v>
      </c>
      <c r="L132" s="9">
        <f t="shared" si="5"/>
        <v>0</v>
      </c>
      <c r="M132" s="8">
        <f t="shared" si="6"/>
        <v>0</v>
      </c>
      <c r="N132" s="9">
        <f t="shared" si="7"/>
        <v>0</v>
      </c>
      <c r="O132" s="9">
        <f t="shared" si="8"/>
        <v>0</v>
      </c>
      <c r="P132" s="9">
        <f t="shared" si="9"/>
        <v>0</v>
      </c>
    </row>
    <row r="133" spans="11:16" ht="49" thickTop="1" thickBot="1" x14ac:dyDescent="0.6">
      <c r="K133" s="8">
        <v>126</v>
      </c>
      <c r="L133" s="9">
        <f t="shared" si="5"/>
        <v>0</v>
      </c>
      <c r="M133" s="8">
        <f t="shared" si="6"/>
        <v>0</v>
      </c>
      <c r="N133" s="9">
        <f t="shared" si="7"/>
        <v>0</v>
      </c>
      <c r="O133" s="9">
        <f t="shared" si="8"/>
        <v>0</v>
      </c>
      <c r="P133" s="9">
        <f t="shared" si="9"/>
        <v>0</v>
      </c>
    </row>
    <row r="134" spans="11:16" ht="49" thickTop="1" thickBot="1" x14ac:dyDescent="0.6">
      <c r="K134" s="8">
        <v>127</v>
      </c>
      <c r="L134" s="9">
        <f t="shared" si="5"/>
        <v>0</v>
      </c>
      <c r="M134" s="8">
        <f t="shared" si="6"/>
        <v>0</v>
      </c>
      <c r="N134" s="9">
        <f t="shared" si="7"/>
        <v>0</v>
      </c>
      <c r="O134" s="9">
        <f t="shared" si="8"/>
        <v>0</v>
      </c>
      <c r="P134" s="9">
        <f t="shared" si="9"/>
        <v>0</v>
      </c>
    </row>
    <row r="135" spans="11:16" ht="49" thickTop="1" thickBot="1" x14ac:dyDescent="0.6">
      <c r="K135" s="8">
        <v>128</v>
      </c>
      <c r="L135" s="9">
        <f t="shared" si="5"/>
        <v>0</v>
      </c>
      <c r="M135" s="8">
        <f t="shared" si="6"/>
        <v>0</v>
      </c>
      <c r="N135" s="9">
        <f t="shared" si="7"/>
        <v>0</v>
      </c>
      <c r="O135" s="9">
        <f t="shared" si="8"/>
        <v>0</v>
      </c>
      <c r="P135" s="9">
        <f t="shared" si="9"/>
        <v>0</v>
      </c>
    </row>
    <row r="136" spans="11:16" ht="49" thickTop="1" thickBot="1" x14ac:dyDescent="0.6">
      <c r="K136" s="8">
        <v>129</v>
      </c>
      <c r="L136" s="9">
        <f t="shared" si="5"/>
        <v>0</v>
      </c>
      <c r="M136" s="8">
        <f t="shared" si="6"/>
        <v>0</v>
      </c>
      <c r="N136" s="9">
        <f t="shared" si="7"/>
        <v>0</v>
      </c>
      <c r="O136" s="9">
        <f t="shared" si="8"/>
        <v>0</v>
      </c>
      <c r="P136" s="9">
        <f t="shared" si="9"/>
        <v>0</v>
      </c>
    </row>
    <row r="137" spans="11:16" ht="49" thickTop="1" thickBot="1" x14ac:dyDescent="0.6">
      <c r="K137" s="8">
        <v>130</v>
      </c>
      <c r="L137" s="9">
        <f t="shared" si="5"/>
        <v>0</v>
      </c>
      <c r="M137" s="8">
        <f t="shared" si="6"/>
        <v>0</v>
      </c>
      <c r="N137" s="9">
        <f t="shared" si="7"/>
        <v>0</v>
      </c>
      <c r="O137" s="9">
        <f t="shared" si="8"/>
        <v>0</v>
      </c>
      <c r="P137" s="9">
        <f t="shared" si="9"/>
        <v>0</v>
      </c>
    </row>
    <row r="138" spans="11:16" ht="49" thickTop="1" thickBot="1" x14ac:dyDescent="0.6">
      <c r="K138" s="8">
        <v>131</v>
      </c>
      <c r="L138" s="9">
        <f t="shared" ref="L138:L201" si="10">P137</f>
        <v>0</v>
      </c>
      <c r="M138" s="8">
        <f t="shared" ref="M138:M201" si="11">M137</f>
        <v>0</v>
      </c>
      <c r="N138" s="9">
        <f t="shared" ref="N138:N201" si="12">L138+M138</f>
        <v>0</v>
      </c>
      <c r="O138" s="9">
        <f t="shared" ref="O138:O201" si="13">N138*NOMINAL($O$6,12)/12</f>
        <v>0</v>
      </c>
      <c r="P138" s="9">
        <f t="shared" ref="P138:P201" si="14">N138+O138</f>
        <v>0</v>
      </c>
    </row>
    <row r="139" spans="11:16" ht="49" thickTop="1" thickBot="1" x14ac:dyDescent="0.6">
      <c r="K139" s="8">
        <v>132</v>
      </c>
      <c r="L139" s="9">
        <f t="shared" si="10"/>
        <v>0</v>
      </c>
      <c r="M139" s="8">
        <f t="shared" si="11"/>
        <v>0</v>
      </c>
      <c r="N139" s="9">
        <f t="shared" si="12"/>
        <v>0</v>
      </c>
      <c r="O139" s="9">
        <f t="shared" si="13"/>
        <v>0</v>
      </c>
      <c r="P139" s="9">
        <f t="shared" si="14"/>
        <v>0</v>
      </c>
    </row>
    <row r="140" spans="11:16" ht="49" thickTop="1" thickBot="1" x14ac:dyDescent="0.6">
      <c r="K140" s="8">
        <v>133</v>
      </c>
      <c r="L140" s="9">
        <f t="shared" si="10"/>
        <v>0</v>
      </c>
      <c r="M140" s="8">
        <f t="shared" si="11"/>
        <v>0</v>
      </c>
      <c r="N140" s="9">
        <f t="shared" si="12"/>
        <v>0</v>
      </c>
      <c r="O140" s="9">
        <f t="shared" si="13"/>
        <v>0</v>
      </c>
      <c r="P140" s="9">
        <f t="shared" si="14"/>
        <v>0</v>
      </c>
    </row>
    <row r="141" spans="11:16" ht="49" thickTop="1" thickBot="1" x14ac:dyDescent="0.6">
      <c r="K141" s="8">
        <v>134</v>
      </c>
      <c r="L141" s="9">
        <f t="shared" si="10"/>
        <v>0</v>
      </c>
      <c r="M141" s="8">
        <f t="shared" si="11"/>
        <v>0</v>
      </c>
      <c r="N141" s="9">
        <f t="shared" si="12"/>
        <v>0</v>
      </c>
      <c r="O141" s="9">
        <f t="shared" si="13"/>
        <v>0</v>
      </c>
      <c r="P141" s="9">
        <f t="shared" si="14"/>
        <v>0</v>
      </c>
    </row>
    <row r="142" spans="11:16" ht="49" thickTop="1" thickBot="1" x14ac:dyDescent="0.6">
      <c r="K142" s="8">
        <v>135</v>
      </c>
      <c r="L142" s="9">
        <f t="shared" si="10"/>
        <v>0</v>
      </c>
      <c r="M142" s="8">
        <f t="shared" si="11"/>
        <v>0</v>
      </c>
      <c r="N142" s="9">
        <f t="shared" si="12"/>
        <v>0</v>
      </c>
      <c r="O142" s="9">
        <f t="shared" si="13"/>
        <v>0</v>
      </c>
      <c r="P142" s="9">
        <f t="shared" si="14"/>
        <v>0</v>
      </c>
    </row>
    <row r="143" spans="11:16" ht="49" thickTop="1" thickBot="1" x14ac:dyDescent="0.6">
      <c r="K143" s="8">
        <v>136</v>
      </c>
      <c r="L143" s="9">
        <f t="shared" si="10"/>
        <v>0</v>
      </c>
      <c r="M143" s="8">
        <f t="shared" si="11"/>
        <v>0</v>
      </c>
      <c r="N143" s="9">
        <f t="shared" si="12"/>
        <v>0</v>
      </c>
      <c r="O143" s="9">
        <f t="shared" si="13"/>
        <v>0</v>
      </c>
      <c r="P143" s="9">
        <f t="shared" si="14"/>
        <v>0</v>
      </c>
    </row>
    <row r="144" spans="11:16" ht="49" thickTop="1" thickBot="1" x14ac:dyDescent="0.6">
      <c r="K144" s="8">
        <v>137</v>
      </c>
      <c r="L144" s="9">
        <f t="shared" si="10"/>
        <v>0</v>
      </c>
      <c r="M144" s="8">
        <f t="shared" si="11"/>
        <v>0</v>
      </c>
      <c r="N144" s="9">
        <f t="shared" si="12"/>
        <v>0</v>
      </c>
      <c r="O144" s="9">
        <f t="shared" si="13"/>
        <v>0</v>
      </c>
      <c r="P144" s="9">
        <f t="shared" si="14"/>
        <v>0</v>
      </c>
    </row>
    <row r="145" spans="11:16" ht="49" thickTop="1" thickBot="1" x14ac:dyDescent="0.6">
      <c r="K145" s="8">
        <v>138</v>
      </c>
      <c r="L145" s="9">
        <f t="shared" si="10"/>
        <v>0</v>
      </c>
      <c r="M145" s="8">
        <f t="shared" si="11"/>
        <v>0</v>
      </c>
      <c r="N145" s="9">
        <f t="shared" si="12"/>
        <v>0</v>
      </c>
      <c r="O145" s="9">
        <f t="shared" si="13"/>
        <v>0</v>
      </c>
      <c r="P145" s="9">
        <f t="shared" si="14"/>
        <v>0</v>
      </c>
    </row>
    <row r="146" spans="11:16" ht="49" thickTop="1" thickBot="1" x14ac:dyDescent="0.6">
      <c r="K146" s="8">
        <v>139</v>
      </c>
      <c r="L146" s="9">
        <f t="shared" si="10"/>
        <v>0</v>
      </c>
      <c r="M146" s="8">
        <f t="shared" si="11"/>
        <v>0</v>
      </c>
      <c r="N146" s="9">
        <f t="shared" si="12"/>
        <v>0</v>
      </c>
      <c r="O146" s="9">
        <f t="shared" si="13"/>
        <v>0</v>
      </c>
      <c r="P146" s="9">
        <f t="shared" si="14"/>
        <v>0</v>
      </c>
    </row>
    <row r="147" spans="11:16" ht="49" thickTop="1" thickBot="1" x14ac:dyDescent="0.6">
      <c r="K147" s="8">
        <v>140</v>
      </c>
      <c r="L147" s="9">
        <f t="shared" si="10"/>
        <v>0</v>
      </c>
      <c r="M147" s="8">
        <f t="shared" si="11"/>
        <v>0</v>
      </c>
      <c r="N147" s="9">
        <f t="shared" si="12"/>
        <v>0</v>
      </c>
      <c r="O147" s="9">
        <f t="shared" si="13"/>
        <v>0</v>
      </c>
      <c r="P147" s="9">
        <f t="shared" si="14"/>
        <v>0</v>
      </c>
    </row>
    <row r="148" spans="11:16" ht="49" thickTop="1" thickBot="1" x14ac:dyDescent="0.6">
      <c r="K148" s="8">
        <v>141</v>
      </c>
      <c r="L148" s="9">
        <f t="shared" si="10"/>
        <v>0</v>
      </c>
      <c r="M148" s="8">
        <f t="shared" si="11"/>
        <v>0</v>
      </c>
      <c r="N148" s="9">
        <f t="shared" si="12"/>
        <v>0</v>
      </c>
      <c r="O148" s="9">
        <f t="shared" si="13"/>
        <v>0</v>
      </c>
      <c r="P148" s="9">
        <f t="shared" si="14"/>
        <v>0</v>
      </c>
    </row>
    <row r="149" spans="11:16" ht="49" thickTop="1" thickBot="1" x14ac:dyDescent="0.6">
      <c r="K149" s="8">
        <v>142</v>
      </c>
      <c r="L149" s="9">
        <f t="shared" si="10"/>
        <v>0</v>
      </c>
      <c r="M149" s="8">
        <f t="shared" si="11"/>
        <v>0</v>
      </c>
      <c r="N149" s="9">
        <f t="shared" si="12"/>
        <v>0</v>
      </c>
      <c r="O149" s="9">
        <f t="shared" si="13"/>
        <v>0</v>
      </c>
      <c r="P149" s="9">
        <f t="shared" si="14"/>
        <v>0</v>
      </c>
    </row>
    <row r="150" spans="11:16" ht="49" thickTop="1" thickBot="1" x14ac:dyDescent="0.6">
      <c r="K150" s="8">
        <v>143</v>
      </c>
      <c r="L150" s="9">
        <f t="shared" si="10"/>
        <v>0</v>
      </c>
      <c r="M150" s="8">
        <f t="shared" si="11"/>
        <v>0</v>
      </c>
      <c r="N150" s="9">
        <f t="shared" si="12"/>
        <v>0</v>
      </c>
      <c r="O150" s="9">
        <f t="shared" si="13"/>
        <v>0</v>
      </c>
      <c r="P150" s="9">
        <f t="shared" si="14"/>
        <v>0</v>
      </c>
    </row>
    <row r="151" spans="11:16" ht="49" thickTop="1" thickBot="1" x14ac:dyDescent="0.6">
      <c r="K151" s="8">
        <v>144</v>
      </c>
      <c r="L151" s="9">
        <f t="shared" si="10"/>
        <v>0</v>
      </c>
      <c r="M151" s="8">
        <f t="shared" si="11"/>
        <v>0</v>
      </c>
      <c r="N151" s="9">
        <f t="shared" si="12"/>
        <v>0</v>
      </c>
      <c r="O151" s="9">
        <f t="shared" si="13"/>
        <v>0</v>
      </c>
      <c r="P151" s="9">
        <f t="shared" si="14"/>
        <v>0</v>
      </c>
    </row>
    <row r="152" spans="11:16" ht="49" thickTop="1" thickBot="1" x14ac:dyDescent="0.6">
      <c r="K152" s="8">
        <v>145</v>
      </c>
      <c r="L152" s="9">
        <f t="shared" si="10"/>
        <v>0</v>
      </c>
      <c r="M152" s="8">
        <f t="shared" si="11"/>
        <v>0</v>
      </c>
      <c r="N152" s="9">
        <f t="shared" si="12"/>
        <v>0</v>
      </c>
      <c r="O152" s="9">
        <f t="shared" si="13"/>
        <v>0</v>
      </c>
      <c r="P152" s="9">
        <f t="shared" si="14"/>
        <v>0</v>
      </c>
    </row>
    <row r="153" spans="11:16" ht="49" thickTop="1" thickBot="1" x14ac:dyDescent="0.6">
      <c r="K153" s="8">
        <v>146</v>
      </c>
      <c r="L153" s="9">
        <f t="shared" si="10"/>
        <v>0</v>
      </c>
      <c r="M153" s="8">
        <f t="shared" si="11"/>
        <v>0</v>
      </c>
      <c r="N153" s="9">
        <f t="shared" si="12"/>
        <v>0</v>
      </c>
      <c r="O153" s="9">
        <f t="shared" si="13"/>
        <v>0</v>
      </c>
      <c r="P153" s="9">
        <f t="shared" si="14"/>
        <v>0</v>
      </c>
    </row>
    <row r="154" spans="11:16" ht="49" thickTop="1" thickBot="1" x14ac:dyDescent="0.6">
      <c r="K154" s="8">
        <v>147</v>
      </c>
      <c r="L154" s="9">
        <f t="shared" si="10"/>
        <v>0</v>
      </c>
      <c r="M154" s="8">
        <f t="shared" si="11"/>
        <v>0</v>
      </c>
      <c r="N154" s="9">
        <f t="shared" si="12"/>
        <v>0</v>
      </c>
      <c r="O154" s="9">
        <f t="shared" si="13"/>
        <v>0</v>
      </c>
      <c r="P154" s="9">
        <f t="shared" si="14"/>
        <v>0</v>
      </c>
    </row>
    <row r="155" spans="11:16" ht="49" thickTop="1" thickBot="1" x14ac:dyDescent="0.6">
      <c r="K155" s="8">
        <v>148</v>
      </c>
      <c r="L155" s="9">
        <f t="shared" si="10"/>
        <v>0</v>
      </c>
      <c r="M155" s="8">
        <f t="shared" si="11"/>
        <v>0</v>
      </c>
      <c r="N155" s="9">
        <f t="shared" si="12"/>
        <v>0</v>
      </c>
      <c r="O155" s="9">
        <f t="shared" si="13"/>
        <v>0</v>
      </c>
      <c r="P155" s="9">
        <f t="shared" si="14"/>
        <v>0</v>
      </c>
    </row>
    <row r="156" spans="11:16" ht="49" thickTop="1" thickBot="1" x14ac:dyDescent="0.6">
      <c r="K156" s="8">
        <v>149</v>
      </c>
      <c r="L156" s="9">
        <f t="shared" si="10"/>
        <v>0</v>
      </c>
      <c r="M156" s="8">
        <f t="shared" si="11"/>
        <v>0</v>
      </c>
      <c r="N156" s="9">
        <f t="shared" si="12"/>
        <v>0</v>
      </c>
      <c r="O156" s="9">
        <f t="shared" si="13"/>
        <v>0</v>
      </c>
      <c r="P156" s="9">
        <f t="shared" si="14"/>
        <v>0</v>
      </c>
    </row>
    <row r="157" spans="11:16" ht="49" thickTop="1" thickBot="1" x14ac:dyDescent="0.6">
      <c r="K157" s="8">
        <v>150</v>
      </c>
      <c r="L157" s="9">
        <f t="shared" si="10"/>
        <v>0</v>
      </c>
      <c r="M157" s="8">
        <f t="shared" si="11"/>
        <v>0</v>
      </c>
      <c r="N157" s="9">
        <f t="shared" si="12"/>
        <v>0</v>
      </c>
      <c r="O157" s="9">
        <f t="shared" si="13"/>
        <v>0</v>
      </c>
      <c r="P157" s="9">
        <f t="shared" si="14"/>
        <v>0</v>
      </c>
    </row>
    <row r="158" spans="11:16" ht="49" thickTop="1" thickBot="1" x14ac:dyDescent="0.6">
      <c r="K158" s="8">
        <v>151</v>
      </c>
      <c r="L158" s="9">
        <f t="shared" si="10"/>
        <v>0</v>
      </c>
      <c r="M158" s="8">
        <f t="shared" si="11"/>
        <v>0</v>
      </c>
      <c r="N158" s="9">
        <f t="shared" si="12"/>
        <v>0</v>
      </c>
      <c r="O158" s="9">
        <f t="shared" si="13"/>
        <v>0</v>
      </c>
      <c r="P158" s="9">
        <f t="shared" si="14"/>
        <v>0</v>
      </c>
    </row>
    <row r="159" spans="11:16" ht="49" thickTop="1" thickBot="1" x14ac:dyDescent="0.6">
      <c r="K159" s="8">
        <v>152</v>
      </c>
      <c r="L159" s="9">
        <f t="shared" si="10"/>
        <v>0</v>
      </c>
      <c r="M159" s="8">
        <f t="shared" si="11"/>
        <v>0</v>
      </c>
      <c r="N159" s="9">
        <f t="shared" si="12"/>
        <v>0</v>
      </c>
      <c r="O159" s="9">
        <f t="shared" si="13"/>
        <v>0</v>
      </c>
      <c r="P159" s="9">
        <f t="shared" si="14"/>
        <v>0</v>
      </c>
    </row>
    <row r="160" spans="11:16" ht="49" thickTop="1" thickBot="1" x14ac:dyDescent="0.6">
      <c r="K160" s="8">
        <v>153</v>
      </c>
      <c r="L160" s="9">
        <f t="shared" si="10"/>
        <v>0</v>
      </c>
      <c r="M160" s="8">
        <f t="shared" si="11"/>
        <v>0</v>
      </c>
      <c r="N160" s="9">
        <f t="shared" si="12"/>
        <v>0</v>
      </c>
      <c r="O160" s="9">
        <f t="shared" si="13"/>
        <v>0</v>
      </c>
      <c r="P160" s="9">
        <f t="shared" si="14"/>
        <v>0</v>
      </c>
    </row>
    <row r="161" spans="11:16" ht="49" thickTop="1" thickBot="1" x14ac:dyDescent="0.6">
      <c r="K161" s="8">
        <v>154</v>
      </c>
      <c r="L161" s="9">
        <f t="shared" si="10"/>
        <v>0</v>
      </c>
      <c r="M161" s="8">
        <f t="shared" si="11"/>
        <v>0</v>
      </c>
      <c r="N161" s="9">
        <f t="shared" si="12"/>
        <v>0</v>
      </c>
      <c r="O161" s="9">
        <f t="shared" si="13"/>
        <v>0</v>
      </c>
      <c r="P161" s="9">
        <f t="shared" si="14"/>
        <v>0</v>
      </c>
    </row>
    <row r="162" spans="11:16" ht="49" thickTop="1" thickBot="1" x14ac:dyDescent="0.6">
      <c r="K162" s="8">
        <v>155</v>
      </c>
      <c r="L162" s="9">
        <f t="shared" si="10"/>
        <v>0</v>
      </c>
      <c r="M162" s="8">
        <f t="shared" si="11"/>
        <v>0</v>
      </c>
      <c r="N162" s="9">
        <f t="shared" si="12"/>
        <v>0</v>
      </c>
      <c r="O162" s="9">
        <f t="shared" si="13"/>
        <v>0</v>
      </c>
      <c r="P162" s="9">
        <f t="shared" si="14"/>
        <v>0</v>
      </c>
    </row>
    <row r="163" spans="11:16" ht="49" thickTop="1" thickBot="1" x14ac:dyDescent="0.6">
      <c r="K163" s="8">
        <v>156</v>
      </c>
      <c r="L163" s="9">
        <f t="shared" si="10"/>
        <v>0</v>
      </c>
      <c r="M163" s="8">
        <f t="shared" si="11"/>
        <v>0</v>
      </c>
      <c r="N163" s="9">
        <f t="shared" si="12"/>
        <v>0</v>
      </c>
      <c r="O163" s="9">
        <f t="shared" si="13"/>
        <v>0</v>
      </c>
      <c r="P163" s="9">
        <f t="shared" si="14"/>
        <v>0</v>
      </c>
    </row>
    <row r="164" spans="11:16" ht="49" thickTop="1" thickBot="1" x14ac:dyDescent="0.6">
      <c r="K164" s="8">
        <v>157</v>
      </c>
      <c r="L164" s="9">
        <f t="shared" si="10"/>
        <v>0</v>
      </c>
      <c r="M164" s="8">
        <f t="shared" si="11"/>
        <v>0</v>
      </c>
      <c r="N164" s="9">
        <f t="shared" si="12"/>
        <v>0</v>
      </c>
      <c r="O164" s="9">
        <f t="shared" si="13"/>
        <v>0</v>
      </c>
      <c r="P164" s="9">
        <f t="shared" si="14"/>
        <v>0</v>
      </c>
    </row>
    <row r="165" spans="11:16" ht="49" thickTop="1" thickBot="1" x14ac:dyDescent="0.6">
      <c r="K165" s="8">
        <v>158</v>
      </c>
      <c r="L165" s="9">
        <f t="shared" si="10"/>
        <v>0</v>
      </c>
      <c r="M165" s="8">
        <f t="shared" si="11"/>
        <v>0</v>
      </c>
      <c r="N165" s="9">
        <f t="shared" si="12"/>
        <v>0</v>
      </c>
      <c r="O165" s="9">
        <f t="shared" si="13"/>
        <v>0</v>
      </c>
      <c r="P165" s="9">
        <f t="shared" si="14"/>
        <v>0</v>
      </c>
    </row>
    <row r="166" spans="11:16" ht="49" thickTop="1" thickBot="1" x14ac:dyDescent="0.6">
      <c r="K166" s="8">
        <v>159</v>
      </c>
      <c r="L166" s="9">
        <f t="shared" si="10"/>
        <v>0</v>
      </c>
      <c r="M166" s="8">
        <f t="shared" si="11"/>
        <v>0</v>
      </c>
      <c r="N166" s="9">
        <f t="shared" si="12"/>
        <v>0</v>
      </c>
      <c r="O166" s="9">
        <f t="shared" si="13"/>
        <v>0</v>
      </c>
      <c r="P166" s="9">
        <f t="shared" si="14"/>
        <v>0</v>
      </c>
    </row>
    <row r="167" spans="11:16" ht="49" thickTop="1" thickBot="1" x14ac:dyDescent="0.6">
      <c r="K167" s="8">
        <v>160</v>
      </c>
      <c r="L167" s="9">
        <f t="shared" si="10"/>
        <v>0</v>
      </c>
      <c r="M167" s="8">
        <f t="shared" si="11"/>
        <v>0</v>
      </c>
      <c r="N167" s="9">
        <f t="shared" si="12"/>
        <v>0</v>
      </c>
      <c r="O167" s="9">
        <f t="shared" si="13"/>
        <v>0</v>
      </c>
      <c r="P167" s="9">
        <f t="shared" si="14"/>
        <v>0</v>
      </c>
    </row>
    <row r="168" spans="11:16" ht="49" thickTop="1" thickBot="1" x14ac:dyDescent="0.6">
      <c r="K168" s="8">
        <v>161</v>
      </c>
      <c r="L168" s="9">
        <f t="shared" si="10"/>
        <v>0</v>
      </c>
      <c r="M168" s="8">
        <f t="shared" si="11"/>
        <v>0</v>
      </c>
      <c r="N168" s="9">
        <f t="shared" si="12"/>
        <v>0</v>
      </c>
      <c r="O168" s="9">
        <f t="shared" si="13"/>
        <v>0</v>
      </c>
      <c r="P168" s="9">
        <f t="shared" si="14"/>
        <v>0</v>
      </c>
    </row>
    <row r="169" spans="11:16" ht="49" thickTop="1" thickBot="1" x14ac:dyDescent="0.6">
      <c r="K169" s="8">
        <v>162</v>
      </c>
      <c r="L169" s="9">
        <f t="shared" si="10"/>
        <v>0</v>
      </c>
      <c r="M169" s="8">
        <f t="shared" si="11"/>
        <v>0</v>
      </c>
      <c r="N169" s="9">
        <f t="shared" si="12"/>
        <v>0</v>
      </c>
      <c r="O169" s="9">
        <f t="shared" si="13"/>
        <v>0</v>
      </c>
      <c r="P169" s="9">
        <f t="shared" si="14"/>
        <v>0</v>
      </c>
    </row>
    <row r="170" spans="11:16" ht="49" thickTop="1" thickBot="1" x14ac:dyDescent="0.6">
      <c r="K170" s="8">
        <v>163</v>
      </c>
      <c r="L170" s="9">
        <f t="shared" si="10"/>
        <v>0</v>
      </c>
      <c r="M170" s="8">
        <f t="shared" si="11"/>
        <v>0</v>
      </c>
      <c r="N170" s="9">
        <f t="shared" si="12"/>
        <v>0</v>
      </c>
      <c r="O170" s="9">
        <f t="shared" si="13"/>
        <v>0</v>
      </c>
      <c r="P170" s="9">
        <f t="shared" si="14"/>
        <v>0</v>
      </c>
    </row>
    <row r="171" spans="11:16" ht="49" thickTop="1" thickBot="1" x14ac:dyDescent="0.6">
      <c r="K171" s="8">
        <v>164</v>
      </c>
      <c r="L171" s="9">
        <f t="shared" si="10"/>
        <v>0</v>
      </c>
      <c r="M171" s="8">
        <f t="shared" si="11"/>
        <v>0</v>
      </c>
      <c r="N171" s="9">
        <f t="shared" si="12"/>
        <v>0</v>
      </c>
      <c r="O171" s="9">
        <f t="shared" si="13"/>
        <v>0</v>
      </c>
      <c r="P171" s="9">
        <f t="shared" si="14"/>
        <v>0</v>
      </c>
    </row>
    <row r="172" spans="11:16" ht="49" thickTop="1" thickBot="1" x14ac:dyDescent="0.6">
      <c r="K172" s="8">
        <v>165</v>
      </c>
      <c r="L172" s="9">
        <f t="shared" si="10"/>
        <v>0</v>
      </c>
      <c r="M172" s="8">
        <f t="shared" si="11"/>
        <v>0</v>
      </c>
      <c r="N172" s="9">
        <f t="shared" si="12"/>
        <v>0</v>
      </c>
      <c r="O172" s="9">
        <f t="shared" si="13"/>
        <v>0</v>
      </c>
      <c r="P172" s="9">
        <f t="shared" si="14"/>
        <v>0</v>
      </c>
    </row>
    <row r="173" spans="11:16" ht="49" thickTop="1" thickBot="1" x14ac:dyDescent="0.6">
      <c r="K173" s="8">
        <v>166</v>
      </c>
      <c r="L173" s="9">
        <f t="shared" si="10"/>
        <v>0</v>
      </c>
      <c r="M173" s="8">
        <f t="shared" si="11"/>
        <v>0</v>
      </c>
      <c r="N173" s="9">
        <f t="shared" si="12"/>
        <v>0</v>
      </c>
      <c r="O173" s="9">
        <f t="shared" si="13"/>
        <v>0</v>
      </c>
      <c r="P173" s="9">
        <f t="shared" si="14"/>
        <v>0</v>
      </c>
    </row>
    <row r="174" spans="11:16" ht="49" thickTop="1" thickBot="1" x14ac:dyDescent="0.6">
      <c r="K174" s="8">
        <v>167</v>
      </c>
      <c r="L174" s="9">
        <f t="shared" si="10"/>
        <v>0</v>
      </c>
      <c r="M174" s="8">
        <f t="shared" si="11"/>
        <v>0</v>
      </c>
      <c r="N174" s="9">
        <f t="shared" si="12"/>
        <v>0</v>
      </c>
      <c r="O174" s="9">
        <f t="shared" si="13"/>
        <v>0</v>
      </c>
      <c r="P174" s="9">
        <f t="shared" si="14"/>
        <v>0</v>
      </c>
    </row>
    <row r="175" spans="11:16" ht="49" thickTop="1" thickBot="1" x14ac:dyDescent="0.6">
      <c r="K175" s="8">
        <v>168</v>
      </c>
      <c r="L175" s="9">
        <f t="shared" si="10"/>
        <v>0</v>
      </c>
      <c r="M175" s="8">
        <f t="shared" si="11"/>
        <v>0</v>
      </c>
      <c r="N175" s="9">
        <f t="shared" si="12"/>
        <v>0</v>
      </c>
      <c r="O175" s="9">
        <f t="shared" si="13"/>
        <v>0</v>
      </c>
      <c r="P175" s="9">
        <f t="shared" si="14"/>
        <v>0</v>
      </c>
    </row>
    <row r="176" spans="11:16" ht="49" thickTop="1" thickBot="1" x14ac:dyDescent="0.6">
      <c r="K176" s="8">
        <v>169</v>
      </c>
      <c r="L176" s="9">
        <f t="shared" si="10"/>
        <v>0</v>
      </c>
      <c r="M176" s="8">
        <f t="shared" si="11"/>
        <v>0</v>
      </c>
      <c r="N176" s="9">
        <f t="shared" si="12"/>
        <v>0</v>
      </c>
      <c r="O176" s="9">
        <f t="shared" si="13"/>
        <v>0</v>
      </c>
      <c r="P176" s="9">
        <f t="shared" si="14"/>
        <v>0</v>
      </c>
    </row>
    <row r="177" spans="11:16" ht="49" thickTop="1" thickBot="1" x14ac:dyDescent="0.6">
      <c r="K177" s="8">
        <v>170</v>
      </c>
      <c r="L177" s="9">
        <f t="shared" si="10"/>
        <v>0</v>
      </c>
      <c r="M177" s="8">
        <f t="shared" si="11"/>
        <v>0</v>
      </c>
      <c r="N177" s="9">
        <f t="shared" si="12"/>
        <v>0</v>
      </c>
      <c r="O177" s="9">
        <f t="shared" si="13"/>
        <v>0</v>
      </c>
      <c r="P177" s="9">
        <f t="shared" si="14"/>
        <v>0</v>
      </c>
    </row>
    <row r="178" spans="11:16" ht="49" thickTop="1" thickBot="1" x14ac:dyDescent="0.6">
      <c r="K178" s="8">
        <v>171</v>
      </c>
      <c r="L178" s="9">
        <f t="shared" si="10"/>
        <v>0</v>
      </c>
      <c r="M178" s="8">
        <f t="shared" si="11"/>
        <v>0</v>
      </c>
      <c r="N178" s="9">
        <f t="shared" si="12"/>
        <v>0</v>
      </c>
      <c r="O178" s="9">
        <f t="shared" si="13"/>
        <v>0</v>
      </c>
      <c r="P178" s="9">
        <f t="shared" si="14"/>
        <v>0</v>
      </c>
    </row>
    <row r="179" spans="11:16" ht="49" thickTop="1" thickBot="1" x14ac:dyDescent="0.6">
      <c r="K179" s="8">
        <v>172</v>
      </c>
      <c r="L179" s="9">
        <f t="shared" si="10"/>
        <v>0</v>
      </c>
      <c r="M179" s="8">
        <f t="shared" si="11"/>
        <v>0</v>
      </c>
      <c r="N179" s="9">
        <f t="shared" si="12"/>
        <v>0</v>
      </c>
      <c r="O179" s="9">
        <f t="shared" si="13"/>
        <v>0</v>
      </c>
      <c r="P179" s="9">
        <f t="shared" si="14"/>
        <v>0</v>
      </c>
    </row>
    <row r="180" spans="11:16" ht="49" thickTop="1" thickBot="1" x14ac:dyDescent="0.6">
      <c r="K180" s="8">
        <v>173</v>
      </c>
      <c r="L180" s="9">
        <f t="shared" si="10"/>
        <v>0</v>
      </c>
      <c r="M180" s="8">
        <f t="shared" si="11"/>
        <v>0</v>
      </c>
      <c r="N180" s="9">
        <f t="shared" si="12"/>
        <v>0</v>
      </c>
      <c r="O180" s="9">
        <f t="shared" si="13"/>
        <v>0</v>
      </c>
      <c r="P180" s="9">
        <f t="shared" si="14"/>
        <v>0</v>
      </c>
    </row>
    <row r="181" spans="11:16" ht="49" thickTop="1" thickBot="1" x14ac:dyDescent="0.6">
      <c r="K181" s="8">
        <v>174</v>
      </c>
      <c r="L181" s="9">
        <f t="shared" si="10"/>
        <v>0</v>
      </c>
      <c r="M181" s="8">
        <f t="shared" si="11"/>
        <v>0</v>
      </c>
      <c r="N181" s="9">
        <f t="shared" si="12"/>
        <v>0</v>
      </c>
      <c r="O181" s="9">
        <f t="shared" si="13"/>
        <v>0</v>
      </c>
      <c r="P181" s="9">
        <f t="shared" si="14"/>
        <v>0</v>
      </c>
    </row>
    <row r="182" spans="11:16" ht="49" thickTop="1" thickBot="1" x14ac:dyDescent="0.6">
      <c r="K182" s="8">
        <v>175</v>
      </c>
      <c r="L182" s="9">
        <f t="shared" si="10"/>
        <v>0</v>
      </c>
      <c r="M182" s="8">
        <f t="shared" si="11"/>
        <v>0</v>
      </c>
      <c r="N182" s="9">
        <f t="shared" si="12"/>
        <v>0</v>
      </c>
      <c r="O182" s="9">
        <f t="shared" si="13"/>
        <v>0</v>
      </c>
      <c r="P182" s="9">
        <f t="shared" si="14"/>
        <v>0</v>
      </c>
    </row>
    <row r="183" spans="11:16" ht="49" thickTop="1" thickBot="1" x14ac:dyDescent="0.6">
      <c r="K183" s="8">
        <v>176</v>
      </c>
      <c r="L183" s="9">
        <f t="shared" si="10"/>
        <v>0</v>
      </c>
      <c r="M183" s="8">
        <f t="shared" si="11"/>
        <v>0</v>
      </c>
      <c r="N183" s="9">
        <f t="shared" si="12"/>
        <v>0</v>
      </c>
      <c r="O183" s="9">
        <f t="shared" si="13"/>
        <v>0</v>
      </c>
      <c r="P183" s="9">
        <f t="shared" si="14"/>
        <v>0</v>
      </c>
    </row>
    <row r="184" spans="11:16" ht="49" thickTop="1" thickBot="1" x14ac:dyDescent="0.6">
      <c r="K184" s="8">
        <v>177</v>
      </c>
      <c r="L184" s="9">
        <f t="shared" si="10"/>
        <v>0</v>
      </c>
      <c r="M184" s="8">
        <f t="shared" si="11"/>
        <v>0</v>
      </c>
      <c r="N184" s="9">
        <f t="shared" si="12"/>
        <v>0</v>
      </c>
      <c r="O184" s="9">
        <f t="shared" si="13"/>
        <v>0</v>
      </c>
      <c r="P184" s="9">
        <f t="shared" si="14"/>
        <v>0</v>
      </c>
    </row>
    <row r="185" spans="11:16" ht="49" thickTop="1" thickBot="1" x14ac:dyDescent="0.6">
      <c r="K185" s="8">
        <v>178</v>
      </c>
      <c r="L185" s="9">
        <f t="shared" si="10"/>
        <v>0</v>
      </c>
      <c r="M185" s="8">
        <f t="shared" si="11"/>
        <v>0</v>
      </c>
      <c r="N185" s="9">
        <f t="shared" si="12"/>
        <v>0</v>
      </c>
      <c r="O185" s="9">
        <f t="shared" si="13"/>
        <v>0</v>
      </c>
      <c r="P185" s="9">
        <f t="shared" si="14"/>
        <v>0</v>
      </c>
    </row>
    <row r="186" spans="11:16" ht="49" thickTop="1" thickBot="1" x14ac:dyDescent="0.6">
      <c r="K186" s="8">
        <v>179</v>
      </c>
      <c r="L186" s="9">
        <f t="shared" si="10"/>
        <v>0</v>
      </c>
      <c r="M186" s="8">
        <f t="shared" si="11"/>
        <v>0</v>
      </c>
      <c r="N186" s="9">
        <f t="shared" si="12"/>
        <v>0</v>
      </c>
      <c r="O186" s="9">
        <f t="shared" si="13"/>
        <v>0</v>
      </c>
      <c r="P186" s="9">
        <f t="shared" si="14"/>
        <v>0</v>
      </c>
    </row>
    <row r="187" spans="11:16" ht="49" thickTop="1" thickBot="1" x14ac:dyDescent="0.6">
      <c r="K187" s="8">
        <v>180</v>
      </c>
      <c r="L187" s="9">
        <f t="shared" si="10"/>
        <v>0</v>
      </c>
      <c r="M187" s="8">
        <f t="shared" si="11"/>
        <v>0</v>
      </c>
      <c r="N187" s="9">
        <f t="shared" si="12"/>
        <v>0</v>
      </c>
      <c r="O187" s="9">
        <f t="shared" si="13"/>
        <v>0</v>
      </c>
      <c r="P187" s="9">
        <f t="shared" si="14"/>
        <v>0</v>
      </c>
    </row>
    <row r="188" spans="11:16" ht="49" thickTop="1" thickBot="1" x14ac:dyDescent="0.6">
      <c r="K188" s="8">
        <v>181</v>
      </c>
      <c r="L188" s="9">
        <f t="shared" si="10"/>
        <v>0</v>
      </c>
      <c r="M188" s="8">
        <f t="shared" si="11"/>
        <v>0</v>
      </c>
      <c r="N188" s="9">
        <f t="shared" si="12"/>
        <v>0</v>
      </c>
      <c r="O188" s="9">
        <f t="shared" si="13"/>
        <v>0</v>
      </c>
      <c r="P188" s="9">
        <f t="shared" si="14"/>
        <v>0</v>
      </c>
    </row>
    <row r="189" spans="11:16" ht="49" thickTop="1" thickBot="1" x14ac:dyDescent="0.6">
      <c r="K189" s="8">
        <v>182</v>
      </c>
      <c r="L189" s="9">
        <f t="shared" si="10"/>
        <v>0</v>
      </c>
      <c r="M189" s="8">
        <f t="shared" si="11"/>
        <v>0</v>
      </c>
      <c r="N189" s="9">
        <f t="shared" si="12"/>
        <v>0</v>
      </c>
      <c r="O189" s="9">
        <f t="shared" si="13"/>
        <v>0</v>
      </c>
      <c r="P189" s="9">
        <f t="shared" si="14"/>
        <v>0</v>
      </c>
    </row>
    <row r="190" spans="11:16" ht="49" thickTop="1" thickBot="1" x14ac:dyDescent="0.6">
      <c r="K190" s="8">
        <v>183</v>
      </c>
      <c r="L190" s="9">
        <f t="shared" si="10"/>
        <v>0</v>
      </c>
      <c r="M190" s="8">
        <f t="shared" si="11"/>
        <v>0</v>
      </c>
      <c r="N190" s="9">
        <f t="shared" si="12"/>
        <v>0</v>
      </c>
      <c r="O190" s="9">
        <f t="shared" si="13"/>
        <v>0</v>
      </c>
      <c r="P190" s="9">
        <f t="shared" si="14"/>
        <v>0</v>
      </c>
    </row>
    <row r="191" spans="11:16" ht="49" thickTop="1" thickBot="1" x14ac:dyDescent="0.6">
      <c r="K191" s="8">
        <v>184</v>
      </c>
      <c r="L191" s="9">
        <f t="shared" si="10"/>
        <v>0</v>
      </c>
      <c r="M191" s="8">
        <f t="shared" si="11"/>
        <v>0</v>
      </c>
      <c r="N191" s="9">
        <f t="shared" si="12"/>
        <v>0</v>
      </c>
      <c r="O191" s="9">
        <f t="shared" si="13"/>
        <v>0</v>
      </c>
      <c r="P191" s="9">
        <f t="shared" si="14"/>
        <v>0</v>
      </c>
    </row>
    <row r="192" spans="11:16" ht="49" thickTop="1" thickBot="1" x14ac:dyDescent="0.6">
      <c r="K192" s="8">
        <v>185</v>
      </c>
      <c r="L192" s="9">
        <f t="shared" si="10"/>
        <v>0</v>
      </c>
      <c r="M192" s="8">
        <f t="shared" si="11"/>
        <v>0</v>
      </c>
      <c r="N192" s="9">
        <f t="shared" si="12"/>
        <v>0</v>
      </c>
      <c r="O192" s="9">
        <f t="shared" si="13"/>
        <v>0</v>
      </c>
      <c r="P192" s="9">
        <f t="shared" si="14"/>
        <v>0</v>
      </c>
    </row>
    <row r="193" spans="11:16" ht="49" thickTop="1" thickBot="1" x14ac:dyDescent="0.6">
      <c r="K193" s="8">
        <v>186</v>
      </c>
      <c r="L193" s="9">
        <f t="shared" si="10"/>
        <v>0</v>
      </c>
      <c r="M193" s="8">
        <f t="shared" si="11"/>
        <v>0</v>
      </c>
      <c r="N193" s="9">
        <f t="shared" si="12"/>
        <v>0</v>
      </c>
      <c r="O193" s="9">
        <f t="shared" si="13"/>
        <v>0</v>
      </c>
      <c r="P193" s="9">
        <f t="shared" si="14"/>
        <v>0</v>
      </c>
    </row>
    <row r="194" spans="11:16" ht="49" thickTop="1" thickBot="1" x14ac:dyDescent="0.6">
      <c r="K194" s="8">
        <v>187</v>
      </c>
      <c r="L194" s="9">
        <f t="shared" si="10"/>
        <v>0</v>
      </c>
      <c r="M194" s="8">
        <f t="shared" si="11"/>
        <v>0</v>
      </c>
      <c r="N194" s="9">
        <f t="shared" si="12"/>
        <v>0</v>
      </c>
      <c r="O194" s="9">
        <f t="shared" si="13"/>
        <v>0</v>
      </c>
      <c r="P194" s="9">
        <f t="shared" si="14"/>
        <v>0</v>
      </c>
    </row>
    <row r="195" spans="11:16" ht="49" thickTop="1" thickBot="1" x14ac:dyDescent="0.6">
      <c r="K195" s="8">
        <v>188</v>
      </c>
      <c r="L195" s="9">
        <f t="shared" si="10"/>
        <v>0</v>
      </c>
      <c r="M195" s="8">
        <f t="shared" si="11"/>
        <v>0</v>
      </c>
      <c r="N195" s="9">
        <f t="shared" si="12"/>
        <v>0</v>
      </c>
      <c r="O195" s="9">
        <f t="shared" si="13"/>
        <v>0</v>
      </c>
      <c r="P195" s="9">
        <f t="shared" si="14"/>
        <v>0</v>
      </c>
    </row>
    <row r="196" spans="11:16" ht="49" thickTop="1" thickBot="1" x14ac:dyDescent="0.6">
      <c r="K196" s="8">
        <v>189</v>
      </c>
      <c r="L196" s="9">
        <f t="shared" si="10"/>
        <v>0</v>
      </c>
      <c r="M196" s="8">
        <f t="shared" si="11"/>
        <v>0</v>
      </c>
      <c r="N196" s="9">
        <f t="shared" si="12"/>
        <v>0</v>
      </c>
      <c r="O196" s="9">
        <f t="shared" si="13"/>
        <v>0</v>
      </c>
      <c r="P196" s="9">
        <f t="shared" si="14"/>
        <v>0</v>
      </c>
    </row>
    <row r="197" spans="11:16" ht="49" thickTop="1" thickBot="1" x14ac:dyDescent="0.6">
      <c r="K197" s="8">
        <v>190</v>
      </c>
      <c r="L197" s="9">
        <f t="shared" si="10"/>
        <v>0</v>
      </c>
      <c r="M197" s="8">
        <f t="shared" si="11"/>
        <v>0</v>
      </c>
      <c r="N197" s="9">
        <f t="shared" si="12"/>
        <v>0</v>
      </c>
      <c r="O197" s="9">
        <f t="shared" si="13"/>
        <v>0</v>
      </c>
      <c r="P197" s="9">
        <f t="shared" si="14"/>
        <v>0</v>
      </c>
    </row>
    <row r="198" spans="11:16" ht="49" thickTop="1" thickBot="1" x14ac:dyDescent="0.6">
      <c r="K198" s="8">
        <v>191</v>
      </c>
      <c r="L198" s="9">
        <f t="shared" si="10"/>
        <v>0</v>
      </c>
      <c r="M198" s="8">
        <f t="shared" si="11"/>
        <v>0</v>
      </c>
      <c r="N198" s="9">
        <f t="shared" si="12"/>
        <v>0</v>
      </c>
      <c r="O198" s="9">
        <f t="shared" si="13"/>
        <v>0</v>
      </c>
      <c r="P198" s="9">
        <f t="shared" si="14"/>
        <v>0</v>
      </c>
    </row>
    <row r="199" spans="11:16" ht="49" thickTop="1" thickBot="1" x14ac:dyDescent="0.6">
      <c r="K199" s="8">
        <v>192</v>
      </c>
      <c r="L199" s="9">
        <f t="shared" si="10"/>
        <v>0</v>
      </c>
      <c r="M199" s="8">
        <f t="shared" si="11"/>
        <v>0</v>
      </c>
      <c r="N199" s="9">
        <f t="shared" si="12"/>
        <v>0</v>
      </c>
      <c r="O199" s="9">
        <f t="shared" si="13"/>
        <v>0</v>
      </c>
      <c r="P199" s="9">
        <f t="shared" si="14"/>
        <v>0</v>
      </c>
    </row>
    <row r="200" spans="11:16" ht="49" thickTop="1" thickBot="1" x14ac:dyDescent="0.6">
      <c r="K200" s="8">
        <v>193</v>
      </c>
      <c r="L200" s="9">
        <f t="shared" si="10"/>
        <v>0</v>
      </c>
      <c r="M200" s="8">
        <f t="shared" si="11"/>
        <v>0</v>
      </c>
      <c r="N200" s="9">
        <f t="shared" si="12"/>
        <v>0</v>
      </c>
      <c r="O200" s="9">
        <f t="shared" si="13"/>
        <v>0</v>
      </c>
      <c r="P200" s="9">
        <f t="shared" si="14"/>
        <v>0</v>
      </c>
    </row>
    <row r="201" spans="11:16" ht="49" thickTop="1" thickBot="1" x14ac:dyDescent="0.6">
      <c r="K201" s="8">
        <v>194</v>
      </c>
      <c r="L201" s="9">
        <f t="shared" si="10"/>
        <v>0</v>
      </c>
      <c r="M201" s="8">
        <f t="shared" si="11"/>
        <v>0</v>
      </c>
      <c r="N201" s="9">
        <f t="shared" si="12"/>
        <v>0</v>
      </c>
      <c r="O201" s="9">
        <f t="shared" si="13"/>
        <v>0</v>
      </c>
      <c r="P201" s="9">
        <f t="shared" si="14"/>
        <v>0</v>
      </c>
    </row>
    <row r="202" spans="11:16" ht="49" thickTop="1" thickBot="1" x14ac:dyDescent="0.6">
      <c r="K202" s="8">
        <v>195</v>
      </c>
      <c r="L202" s="9">
        <f t="shared" ref="L202:L265" si="15">P201</f>
        <v>0</v>
      </c>
      <c r="M202" s="8">
        <f t="shared" ref="M202:M265" si="16">M201</f>
        <v>0</v>
      </c>
      <c r="N202" s="9">
        <f t="shared" ref="N202:N265" si="17">L202+M202</f>
        <v>0</v>
      </c>
      <c r="O202" s="9">
        <f t="shared" ref="O202:O265" si="18">N202*NOMINAL($O$6,12)/12</f>
        <v>0</v>
      </c>
      <c r="P202" s="9">
        <f t="shared" ref="P202:P265" si="19">N202+O202</f>
        <v>0</v>
      </c>
    </row>
    <row r="203" spans="11:16" ht="49" thickTop="1" thickBot="1" x14ac:dyDescent="0.6">
      <c r="K203" s="8">
        <v>196</v>
      </c>
      <c r="L203" s="9">
        <f t="shared" si="15"/>
        <v>0</v>
      </c>
      <c r="M203" s="8">
        <f t="shared" si="16"/>
        <v>0</v>
      </c>
      <c r="N203" s="9">
        <f t="shared" si="17"/>
        <v>0</v>
      </c>
      <c r="O203" s="9">
        <f t="shared" si="18"/>
        <v>0</v>
      </c>
      <c r="P203" s="9">
        <f t="shared" si="19"/>
        <v>0</v>
      </c>
    </row>
    <row r="204" spans="11:16" ht="49" thickTop="1" thickBot="1" x14ac:dyDescent="0.6">
      <c r="K204" s="8">
        <v>197</v>
      </c>
      <c r="L204" s="9">
        <f t="shared" si="15"/>
        <v>0</v>
      </c>
      <c r="M204" s="8">
        <f t="shared" si="16"/>
        <v>0</v>
      </c>
      <c r="N204" s="9">
        <f t="shared" si="17"/>
        <v>0</v>
      </c>
      <c r="O204" s="9">
        <f t="shared" si="18"/>
        <v>0</v>
      </c>
      <c r="P204" s="9">
        <f t="shared" si="19"/>
        <v>0</v>
      </c>
    </row>
    <row r="205" spans="11:16" ht="49" thickTop="1" thickBot="1" x14ac:dyDescent="0.6">
      <c r="K205" s="8">
        <v>198</v>
      </c>
      <c r="L205" s="9">
        <f t="shared" si="15"/>
        <v>0</v>
      </c>
      <c r="M205" s="8">
        <f t="shared" si="16"/>
        <v>0</v>
      </c>
      <c r="N205" s="9">
        <f t="shared" si="17"/>
        <v>0</v>
      </c>
      <c r="O205" s="9">
        <f t="shared" si="18"/>
        <v>0</v>
      </c>
      <c r="P205" s="9">
        <f t="shared" si="19"/>
        <v>0</v>
      </c>
    </row>
    <row r="206" spans="11:16" ht="49" thickTop="1" thickBot="1" x14ac:dyDescent="0.6">
      <c r="K206" s="8">
        <v>199</v>
      </c>
      <c r="L206" s="9">
        <f t="shared" si="15"/>
        <v>0</v>
      </c>
      <c r="M206" s="8">
        <f t="shared" si="16"/>
        <v>0</v>
      </c>
      <c r="N206" s="9">
        <f t="shared" si="17"/>
        <v>0</v>
      </c>
      <c r="O206" s="9">
        <f t="shared" si="18"/>
        <v>0</v>
      </c>
      <c r="P206" s="9">
        <f t="shared" si="19"/>
        <v>0</v>
      </c>
    </row>
    <row r="207" spans="11:16" ht="49" thickTop="1" thickBot="1" x14ac:dyDescent="0.6">
      <c r="K207" s="8">
        <v>200</v>
      </c>
      <c r="L207" s="9">
        <f t="shared" si="15"/>
        <v>0</v>
      </c>
      <c r="M207" s="8">
        <f t="shared" si="16"/>
        <v>0</v>
      </c>
      <c r="N207" s="9">
        <f t="shared" si="17"/>
        <v>0</v>
      </c>
      <c r="O207" s="9">
        <f t="shared" si="18"/>
        <v>0</v>
      </c>
      <c r="P207" s="9">
        <f t="shared" si="19"/>
        <v>0</v>
      </c>
    </row>
    <row r="208" spans="11:16" ht="49" thickTop="1" thickBot="1" x14ac:dyDescent="0.6">
      <c r="K208" s="8">
        <v>201</v>
      </c>
      <c r="L208" s="9">
        <f t="shared" si="15"/>
        <v>0</v>
      </c>
      <c r="M208" s="8">
        <f t="shared" si="16"/>
        <v>0</v>
      </c>
      <c r="N208" s="9">
        <f t="shared" si="17"/>
        <v>0</v>
      </c>
      <c r="O208" s="9">
        <f t="shared" si="18"/>
        <v>0</v>
      </c>
      <c r="P208" s="9">
        <f t="shared" si="19"/>
        <v>0</v>
      </c>
    </row>
    <row r="209" spans="11:16" ht="49" thickTop="1" thickBot="1" x14ac:dyDescent="0.6">
      <c r="K209" s="8">
        <v>202</v>
      </c>
      <c r="L209" s="9">
        <f t="shared" si="15"/>
        <v>0</v>
      </c>
      <c r="M209" s="8">
        <f t="shared" si="16"/>
        <v>0</v>
      </c>
      <c r="N209" s="9">
        <f t="shared" si="17"/>
        <v>0</v>
      </c>
      <c r="O209" s="9">
        <f t="shared" si="18"/>
        <v>0</v>
      </c>
      <c r="P209" s="9">
        <f t="shared" si="19"/>
        <v>0</v>
      </c>
    </row>
    <row r="210" spans="11:16" ht="49" thickTop="1" thickBot="1" x14ac:dyDescent="0.6">
      <c r="K210" s="8">
        <v>203</v>
      </c>
      <c r="L210" s="9">
        <f t="shared" si="15"/>
        <v>0</v>
      </c>
      <c r="M210" s="8">
        <f t="shared" si="16"/>
        <v>0</v>
      </c>
      <c r="N210" s="9">
        <f t="shared" si="17"/>
        <v>0</v>
      </c>
      <c r="O210" s="9">
        <f t="shared" si="18"/>
        <v>0</v>
      </c>
      <c r="P210" s="9">
        <f t="shared" si="19"/>
        <v>0</v>
      </c>
    </row>
    <row r="211" spans="11:16" ht="49" thickTop="1" thickBot="1" x14ac:dyDescent="0.6">
      <c r="K211" s="8">
        <v>204</v>
      </c>
      <c r="L211" s="9">
        <f t="shared" si="15"/>
        <v>0</v>
      </c>
      <c r="M211" s="8">
        <f t="shared" si="16"/>
        <v>0</v>
      </c>
      <c r="N211" s="9">
        <f t="shared" si="17"/>
        <v>0</v>
      </c>
      <c r="O211" s="9">
        <f t="shared" si="18"/>
        <v>0</v>
      </c>
      <c r="P211" s="9">
        <f t="shared" si="19"/>
        <v>0</v>
      </c>
    </row>
    <row r="212" spans="11:16" ht="49" thickTop="1" thickBot="1" x14ac:dyDescent="0.6">
      <c r="K212" s="8">
        <v>205</v>
      </c>
      <c r="L212" s="9">
        <f t="shared" si="15"/>
        <v>0</v>
      </c>
      <c r="M212" s="8">
        <f t="shared" si="16"/>
        <v>0</v>
      </c>
      <c r="N212" s="9">
        <f t="shared" si="17"/>
        <v>0</v>
      </c>
      <c r="O212" s="9">
        <f t="shared" si="18"/>
        <v>0</v>
      </c>
      <c r="P212" s="9">
        <f t="shared" si="19"/>
        <v>0</v>
      </c>
    </row>
    <row r="213" spans="11:16" ht="49" thickTop="1" thickBot="1" x14ac:dyDescent="0.6">
      <c r="K213" s="8">
        <v>206</v>
      </c>
      <c r="L213" s="9">
        <f t="shared" si="15"/>
        <v>0</v>
      </c>
      <c r="M213" s="8">
        <f t="shared" si="16"/>
        <v>0</v>
      </c>
      <c r="N213" s="9">
        <f t="shared" si="17"/>
        <v>0</v>
      </c>
      <c r="O213" s="9">
        <f t="shared" si="18"/>
        <v>0</v>
      </c>
      <c r="P213" s="9">
        <f t="shared" si="19"/>
        <v>0</v>
      </c>
    </row>
    <row r="214" spans="11:16" ht="49" thickTop="1" thickBot="1" x14ac:dyDescent="0.6">
      <c r="K214" s="8">
        <v>207</v>
      </c>
      <c r="L214" s="9">
        <f t="shared" si="15"/>
        <v>0</v>
      </c>
      <c r="M214" s="8">
        <f t="shared" si="16"/>
        <v>0</v>
      </c>
      <c r="N214" s="9">
        <f t="shared" si="17"/>
        <v>0</v>
      </c>
      <c r="O214" s="9">
        <f t="shared" si="18"/>
        <v>0</v>
      </c>
      <c r="P214" s="9">
        <f t="shared" si="19"/>
        <v>0</v>
      </c>
    </row>
    <row r="215" spans="11:16" ht="49" thickTop="1" thickBot="1" x14ac:dyDescent="0.6">
      <c r="K215" s="8">
        <v>208</v>
      </c>
      <c r="L215" s="9">
        <f t="shared" si="15"/>
        <v>0</v>
      </c>
      <c r="M215" s="8">
        <f t="shared" si="16"/>
        <v>0</v>
      </c>
      <c r="N215" s="9">
        <f t="shared" si="17"/>
        <v>0</v>
      </c>
      <c r="O215" s="9">
        <f t="shared" si="18"/>
        <v>0</v>
      </c>
      <c r="P215" s="9">
        <f t="shared" si="19"/>
        <v>0</v>
      </c>
    </row>
    <row r="216" spans="11:16" ht="49" thickTop="1" thickBot="1" x14ac:dyDescent="0.6">
      <c r="K216" s="8">
        <v>209</v>
      </c>
      <c r="L216" s="9">
        <f t="shared" si="15"/>
        <v>0</v>
      </c>
      <c r="M216" s="8">
        <f t="shared" si="16"/>
        <v>0</v>
      </c>
      <c r="N216" s="9">
        <f t="shared" si="17"/>
        <v>0</v>
      </c>
      <c r="O216" s="9">
        <f t="shared" si="18"/>
        <v>0</v>
      </c>
      <c r="P216" s="9">
        <f t="shared" si="19"/>
        <v>0</v>
      </c>
    </row>
    <row r="217" spans="11:16" ht="49" thickTop="1" thickBot="1" x14ac:dyDescent="0.6">
      <c r="K217" s="8">
        <v>210</v>
      </c>
      <c r="L217" s="9">
        <f t="shared" si="15"/>
        <v>0</v>
      </c>
      <c r="M217" s="8">
        <f t="shared" si="16"/>
        <v>0</v>
      </c>
      <c r="N217" s="9">
        <f t="shared" si="17"/>
        <v>0</v>
      </c>
      <c r="O217" s="9">
        <f t="shared" si="18"/>
        <v>0</v>
      </c>
      <c r="P217" s="9">
        <f t="shared" si="19"/>
        <v>0</v>
      </c>
    </row>
    <row r="218" spans="11:16" ht="49" thickTop="1" thickBot="1" x14ac:dyDescent="0.6">
      <c r="K218" s="8">
        <v>211</v>
      </c>
      <c r="L218" s="9">
        <f t="shared" si="15"/>
        <v>0</v>
      </c>
      <c r="M218" s="8">
        <f t="shared" si="16"/>
        <v>0</v>
      </c>
      <c r="N218" s="9">
        <f t="shared" si="17"/>
        <v>0</v>
      </c>
      <c r="O218" s="9">
        <f t="shared" si="18"/>
        <v>0</v>
      </c>
      <c r="P218" s="9">
        <f t="shared" si="19"/>
        <v>0</v>
      </c>
    </row>
    <row r="219" spans="11:16" ht="49" thickTop="1" thickBot="1" x14ac:dyDescent="0.6">
      <c r="K219" s="8">
        <v>212</v>
      </c>
      <c r="L219" s="9">
        <f t="shared" si="15"/>
        <v>0</v>
      </c>
      <c r="M219" s="8">
        <f t="shared" si="16"/>
        <v>0</v>
      </c>
      <c r="N219" s="9">
        <f t="shared" si="17"/>
        <v>0</v>
      </c>
      <c r="O219" s="9">
        <f t="shared" si="18"/>
        <v>0</v>
      </c>
      <c r="P219" s="9">
        <f t="shared" si="19"/>
        <v>0</v>
      </c>
    </row>
    <row r="220" spans="11:16" ht="49" thickTop="1" thickBot="1" x14ac:dyDescent="0.6">
      <c r="K220" s="8">
        <v>213</v>
      </c>
      <c r="L220" s="9">
        <f t="shared" si="15"/>
        <v>0</v>
      </c>
      <c r="M220" s="8">
        <f t="shared" si="16"/>
        <v>0</v>
      </c>
      <c r="N220" s="9">
        <f t="shared" si="17"/>
        <v>0</v>
      </c>
      <c r="O220" s="9">
        <f t="shared" si="18"/>
        <v>0</v>
      </c>
      <c r="P220" s="9">
        <f t="shared" si="19"/>
        <v>0</v>
      </c>
    </row>
    <row r="221" spans="11:16" ht="49" thickTop="1" thickBot="1" x14ac:dyDescent="0.6">
      <c r="K221" s="8">
        <v>214</v>
      </c>
      <c r="L221" s="9">
        <f t="shared" si="15"/>
        <v>0</v>
      </c>
      <c r="M221" s="8">
        <f t="shared" si="16"/>
        <v>0</v>
      </c>
      <c r="N221" s="9">
        <f t="shared" si="17"/>
        <v>0</v>
      </c>
      <c r="O221" s="9">
        <f t="shared" si="18"/>
        <v>0</v>
      </c>
      <c r="P221" s="9">
        <f t="shared" si="19"/>
        <v>0</v>
      </c>
    </row>
    <row r="222" spans="11:16" ht="49" thickTop="1" thickBot="1" x14ac:dyDescent="0.6">
      <c r="K222" s="8">
        <v>215</v>
      </c>
      <c r="L222" s="9">
        <f t="shared" si="15"/>
        <v>0</v>
      </c>
      <c r="M222" s="8">
        <f t="shared" si="16"/>
        <v>0</v>
      </c>
      <c r="N222" s="9">
        <f t="shared" si="17"/>
        <v>0</v>
      </c>
      <c r="O222" s="9">
        <f t="shared" si="18"/>
        <v>0</v>
      </c>
      <c r="P222" s="9">
        <f t="shared" si="19"/>
        <v>0</v>
      </c>
    </row>
    <row r="223" spans="11:16" ht="49" thickTop="1" thickBot="1" x14ac:dyDescent="0.6">
      <c r="K223" s="8">
        <v>216</v>
      </c>
      <c r="L223" s="9">
        <f t="shared" si="15"/>
        <v>0</v>
      </c>
      <c r="M223" s="8">
        <f t="shared" si="16"/>
        <v>0</v>
      </c>
      <c r="N223" s="9">
        <f t="shared" si="17"/>
        <v>0</v>
      </c>
      <c r="O223" s="9">
        <f t="shared" si="18"/>
        <v>0</v>
      </c>
      <c r="P223" s="9">
        <f t="shared" si="19"/>
        <v>0</v>
      </c>
    </row>
    <row r="224" spans="11:16" ht="49" thickTop="1" thickBot="1" x14ac:dyDescent="0.6">
      <c r="K224" s="8">
        <v>217</v>
      </c>
      <c r="L224" s="9">
        <f t="shared" si="15"/>
        <v>0</v>
      </c>
      <c r="M224" s="8">
        <f t="shared" si="16"/>
        <v>0</v>
      </c>
      <c r="N224" s="9">
        <f t="shared" si="17"/>
        <v>0</v>
      </c>
      <c r="O224" s="9">
        <f t="shared" si="18"/>
        <v>0</v>
      </c>
      <c r="P224" s="9">
        <f t="shared" si="19"/>
        <v>0</v>
      </c>
    </row>
    <row r="225" spans="11:16" ht="49" thickTop="1" thickBot="1" x14ac:dyDescent="0.6">
      <c r="K225" s="8">
        <v>218</v>
      </c>
      <c r="L225" s="9">
        <f t="shared" si="15"/>
        <v>0</v>
      </c>
      <c r="M225" s="8">
        <f t="shared" si="16"/>
        <v>0</v>
      </c>
      <c r="N225" s="9">
        <f t="shared" si="17"/>
        <v>0</v>
      </c>
      <c r="O225" s="9">
        <f t="shared" si="18"/>
        <v>0</v>
      </c>
      <c r="P225" s="9">
        <f t="shared" si="19"/>
        <v>0</v>
      </c>
    </row>
    <row r="226" spans="11:16" ht="49" thickTop="1" thickBot="1" x14ac:dyDescent="0.6">
      <c r="K226" s="8">
        <v>219</v>
      </c>
      <c r="L226" s="9">
        <f t="shared" si="15"/>
        <v>0</v>
      </c>
      <c r="M226" s="8">
        <f t="shared" si="16"/>
        <v>0</v>
      </c>
      <c r="N226" s="9">
        <f t="shared" si="17"/>
        <v>0</v>
      </c>
      <c r="O226" s="9">
        <f t="shared" si="18"/>
        <v>0</v>
      </c>
      <c r="P226" s="9">
        <f t="shared" si="19"/>
        <v>0</v>
      </c>
    </row>
    <row r="227" spans="11:16" ht="49" thickTop="1" thickBot="1" x14ac:dyDescent="0.6">
      <c r="K227" s="8">
        <v>220</v>
      </c>
      <c r="L227" s="9">
        <f t="shared" si="15"/>
        <v>0</v>
      </c>
      <c r="M227" s="8">
        <f t="shared" si="16"/>
        <v>0</v>
      </c>
      <c r="N227" s="9">
        <f t="shared" si="17"/>
        <v>0</v>
      </c>
      <c r="O227" s="9">
        <f t="shared" si="18"/>
        <v>0</v>
      </c>
      <c r="P227" s="9">
        <f t="shared" si="19"/>
        <v>0</v>
      </c>
    </row>
    <row r="228" spans="11:16" ht="49" thickTop="1" thickBot="1" x14ac:dyDescent="0.6">
      <c r="K228" s="8">
        <v>221</v>
      </c>
      <c r="L228" s="9">
        <f t="shared" si="15"/>
        <v>0</v>
      </c>
      <c r="M228" s="8">
        <f t="shared" si="16"/>
        <v>0</v>
      </c>
      <c r="N228" s="9">
        <f t="shared" si="17"/>
        <v>0</v>
      </c>
      <c r="O228" s="9">
        <f t="shared" si="18"/>
        <v>0</v>
      </c>
      <c r="P228" s="9">
        <f t="shared" si="19"/>
        <v>0</v>
      </c>
    </row>
    <row r="229" spans="11:16" ht="49" thickTop="1" thickBot="1" x14ac:dyDescent="0.6">
      <c r="K229" s="8">
        <v>222</v>
      </c>
      <c r="L229" s="9">
        <f t="shared" si="15"/>
        <v>0</v>
      </c>
      <c r="M229" s="8">
        <f t="shared" si="16"/>
        <v>0</v>
      </c>
      <c r="N229" s="9">
        <f t="shared" si="17"/>
        <v>0</v>
      </c>
      <c r="O229" s="9">
        <f t="shared" si="18"/>
        <v>0</v>
      </c>
      <c r="P229" s="9">
        <f t="shared" si="19"/>
        <v>0</v>
      </c>
    </row>
    <row r="230" spans="11:16" ht="49" thickTop="1" thickBot="1" x14ac:dyDescent="0.6">
      <c r="K230" s="8">
        <v>223</v>
      </c>
      <c r="L230" s="9">
        <f t="shared" si="15"/>
        <v>0</v>
      </c>
      <c r="M230" s="8">
        <f t="shared" si="16"/>
        <v>0</v>
      </c>
      <c r="N230" s="9">
        <f t="shared" si="17"/>
        <v>0</v>
      </c>
      <c r="O230" s="9">
        <f t="shared" si="18"/>
        <v>0</v>
      </c>
      <c r="P230" s="9">
        <f t="shared" si="19"/>
        <v>0</v>
      </c>
    </row>
    <row r="231" spans="11:16" ht="49" thickTop="1" thickBot="1" x14ac:dyDescent="0.6">
      <c r="K231" s="8">
        <v>224</v>
      </c>
      <c r="L231" s="9">
        <f t="shared" si="15"/>
        <v>0</v>
      </c>
      <c r="M231" s="8">
        <f t="shared" si="16"/>
        <v>0</v>
      </c>
      <c r="N231" s="9">
        <f t="shared" si="17"/>
        <v>0</v>
      </c>
      <c r="O231" s="9">
        <f t="shared" si="18"/>
        <v>0</v>
      </c>
      <c r="P231" s="9">
        <f t="shared" si="19"/>
        <v>0</v>
      </c>
    </row>
    <row r="232" spans="11:16" ht="49" thickTop="1" thickBot="1" x14ac:dyDescent="0.6">
      <c r="K232" s="8">
        <v>225</v>
      </c>
      <c r="L232" s="9">
        <f t="shared" si="15"/>
        <v>0</v>
      </c>
      <c r="M232" s="8">
        <f t="shared" si="16"/>
        <v>0</v>
      </c>
      <c r="N232" s="9">
        <f t="shared" si="17"/>
        <v>0</v>
      </c>
      <c r="O232" s="9">
        <f t="shared" si="18"/>
        <v>0</v>
      </c>
      <c r="P232" s="9">
        <f t="shared" si="19"/>
        <v>0</v>
      </c>
    </row>
    <row r="233" spans="11:16" ht="49" thickTop="1" thickBot="1" x14ac:dyDescent="0.6">
      <c r="K233" s="8">
        <v>226</v>
      </c>
      <c r="L233" s="9">
        <f t="shared" si="15"/>
        <v>0</v>
      </c>
      <c r="M233" s="8">
        <f t="shared" si="16"/>
        <v>0</v>
      </c>
      <c r="N233" s="9">
        <f t="shared" si="17"/>
        <v>0</v>
      </c>
      <c r="O233" s="9">
        <f t="shared" si="18"/>
        <v>0</v>
      </c>
      <c r="P233" s="9">
        <f t="shared" si="19"/>
        <v>0</v>
      </c>
    </row>
    <row r="234" spans="11:16" ht="49" thickTop="1" thickBot="1" x14ac:dyDescent="0.6">
      <c r="K234" s="8">
        <v>227</v>
      </c>
      <c r="L234" s="9">
        <f t="shared" si="15"/>
        <v>0</v>
      </c>
      <c r="M234" s="8">
        <f t="shared" si="16"/>
        <v>0</v>
      </c>
      <c r="N234" s="9">
        <f t="shared" si="17"/>
        <v>0</v>
      </c>
      <c r="O234" s="9">
        <f t="shared" si="18"/>
        <v>0</v>
      </c>
      <c r="P234" s="9">
        <f t="shared" si="19"/>
        <v>0</v>
      </c>
    </row>
    <row r="235" spans="11:16" ht="49" thickTop="1" thickBot="1" x14ac:dyDescent="0.6">
      <c r="K235" s="8">
        <v>228</v>
      </c>
      <c r="L235" s="9">
        <f t="shared" si="15"/>
        <v>0</v>
      </c>
      <c r="M235" s="8">
        <f t="shared" si="16"/>
        <v>0</v>
      </c>
      <c r="N235" s="9">
        <f t="shared" si="17"/>
        <v>0</v>
      </c>
      <c r="O235" s="9">
        <f t="shared" si="18"/>
        <v>0</v>
      </c>
      <c r="P235" s="9">
        <f t="shared" si="19"/>
        <v>0</v>
      </c>
    </row>
    <row r="236" spans="11:16" ht="49" thickTop="1" thickBot="1" x14ac:dyDescent="0.6">
      <c r="K236" s="8">
        <v>229</v>
      </c>
      <c r="L236" s="9">
        <f t="shared" si="15"/>
        <v>0</v>
      </c>
      <c r="M236" s="8">
        <f t="shared" si="16"/>
        <v>0</v>
      </c>
      <c r="N236" s="9">
        <f t="shared" si="17"/>
        <v>0</v>
      </c>
      <c r="O236" s="9">
        <f t="shared" si="18"/>
        <v>0</v>
      </c>
      <c r="P236" s="9">
        <f t="shared" si="19"/>
        <v>0</v>
      </c>
    </row>
    <row r="237" spans="11:16" ht="49" thickTop="1" thickBot="1" x14ac:dyDescent="0.6">
      <c r="K237" s="8">
        <v>230</v>
      </c>
      <c r="L237" s="9">
        <f t="shared" si="15"/>
        <v>0</v>
      </c>
      <c r="M237" s="8">
        <f t="shared" si="16"/>
        <v>0</v>
      </c>
      <c r="N237" s="9">
        <f t="shared" si="17"/>
        <v>0</v>
      </c>
      <c r="O237" s="9">
        <f t="shared" si="18"/>
        <v>0</v>
      </c>
      <c r="P237" s="9">
        <f t="shared" si="19"/>
        <v>0</v>
      </c>
    </row>
    <row r="238" spans="11:16" ht="49" thickTop="1" thickBot="1" x14ac:dyDescent="0.6">
      <c r="K238" s="8">
        <v>231</v>
      </c>
      <c r="L238" s="9">
        <f t="shared" si="15"/>
        <v>0</v>
      </c>
      <c r="M238" s="8">
        <f t="shared" si="16"/>
        <v>0</v>
      </c>
      <c r="N238" s="9">
        <f t="shared" si="17"/>
        <v>0</v>
      </c>
      <c r="O238" s="9">
        <f t="shared" si="18"/>
        <v>0</v>
      </c>
      <c r="P238" s="9">
        <f t="shared" si="19"/>
        <v>0</v>
      </c>
    </row>
    <row r="239" spans="11:16" ht="49" thickTop="1" thickBot="1" x14ac:dyDescent="0.6">
      <c r="K239" s="8">
        <v>232</v>
      </c>
      <c r="L239" s="9">
        <f t="shared" si="15"/>
        <v>0</v>
      </c>
      <c r="M239" s="8">
        <f t="shared" si="16"/>
        <v>0</v>
      </c>
      <c r="N239" s="9">
        <f t="shared" si="17"/>
        <v>0</v>
      </c>
      <c r="O239" s="9">
        <f t="shared" si="18"/>
        <v>0</v>
      </c>
      <c r="P239" s="9">
        <f t="shared" si="19"/>
        <v>0</v>
      </c>
    </row>
    <row r="240" spans="11:16" ht="49" thickTop="1" thickBot="1" x14ac:dyDescent="0.6">
      <c r="K240" s="8">
        <v>233</v>
      </c>
      <c r="L240" s="9">
        <f t="shared" si="15"/>
        <v>0</v>
      </c>
      <c r="M240" s="8">
        <f t="shared" si="16"/>
        <v>0</v>
      </c>
      <c r="N240" s="9">
        <f t="shared" si="17"/>
        <v>0</v>
      </c>
      <c r="O240" s="9">
        <f t="shared" si="18"/>
        <v>0</v>
      </c>
      <c r="P240" s="9">
        <f t="shared" si="19"/>
        <v>0</v>
      </c>
    </row>
    <row r="241" spans="11:16" ht="49" thickTop="1" thickBot="1" x14ac:dyDescent="0.6">
      <c r="K241" s="8">
        <v>234</v>
      </c>
      <c r="L241" s="9">
        <f t="shared" si="15"/>
        <v>0</v>
      </c>
      <c r="M241" s="8">
        <f t="shared" si="16"/>
        <v>0</v>
      </c>
      <c r="N241" s="9">
        <f t="shared" si="17"/>
        <v>0</v>
      </c>
      <c r="O241" s="9">
        <f t="shared" si="18"/>
        <v>0</v>
      </c>
      <c r="P241" s="9">
        <f t="shared" si="19"/>
        <v>0</v>
      </c>
    </row>
    <row r="242" spans="11:16" ht="49" thickTop="1" thickBot="1" x14ac:dyDescent="0.6">
      <c r="K242" s="8">
        <v>235</v>
      </c>
      <c r="L242" s="9">
        <f t="shared" si="15"/>
        <v>0</v>
      </c>
      <c r="M242" s="8">
        <f t="shared" si="16"/>
        <v>0</v>
      </c>
      <c r="N242" s="9">
        <f t="shared" si="17"/>
        <v>0</v>
      </c>
      <c r="O242" s="9">
        <f t="shared" si="18"/>
        <v>0</v>
      </c>
      <c r="P242" s="9">
        <f t="shared" si="19"/>
        <v>0</v>
      </c>
    </row>
    <row r="243" spans="11:16" ht="49" thickTop="1" thickBot="1" x14ac:dyDescent="0.6">
      <c r="K243" s="8">
        <v>236</v>
      </c>
      <c r="L243" s="9">
        <f t="shared" si="15"/>
        <v>0</v>
      </c>
      <c r="M243" s="8">
        <f t="shared" si="16"/>
        <v>0</v>
      </c>
      <c r="N243" s="9">
        <f t="shared" si="17"/>
        <v>0</v>
      </c>
      <c r="O243" s="9">
        <f t="shared" si="18"/>
        <v>0</v>
      </c>
      <c r="P243" s="9">
        <f t="shared" si="19"/>
        <v>0</v>
      </c>
    </row>
    <row r="244" spans="11:16" ht="49" thickTop="1" thickBot="1" x14ac:dyDescent="0.6">
      <c r="K244" s="8">
        <v>237</v>
      </c>
      <c r="L244" s="9">
        <f t="shared" si="15"/>
        <v>0</v>
      </c>
      <c r="M244" s="8">
        <f t="shared" si="16"/>
        <v>0</v>
      </c>
      <c r="N244" s="9">
        <f t="shared" si="17"/>
        <v>0</v>
      </c>
      <c r="O244" s="9">
        <f t="shared" si="18"/>
        <v>0</v>
      </c>
      <c r="P244" s="9">
        <f t="shared" si="19"/>
        <v>0</v>
      </c>
    </row>
    <row r="245" spans="11:16" ht="49" thickTop="1" thickBot="1" x14ac:dyDescent="0.6">
      <c r="K245" s="8">
        <v>238</v>
      </c>
      <c r="L245" s="9">
        <f t="shared" si="15"/>
        <v>0</v>
      </c>
      <c r="M245" s="8">
        <f t="shared" si="16"/>
        <v>0</v>
      </c>
      <c r="N245" s="9">
        <f t="shared" si="17"/>
        <v>0</v>
      </c>
      <c r="O245" s="9">
        <f t="shared" si="18"/>
        <v>0</v>
      </c>
      <c r="P245" s="9">
        <f t="shared" si="19"/>
        <v>0</v>
      </c>
    </row>
    <row r="246" spans="11:16" ht="49" thickTop="1" thickBot="1" x14ac:dyDescent="0.6">
      <c r="K246" s="8">
        <v>239</v>
      </c>
      <c r="L246" s="9">
        <f t="shared" si="15"/>
        <v>0</v>
      </c>
      <c r="M246" s="8">
        <f t="shared" si="16"/>
        <v>0</v>
      </c>
      <c r="N246" s="9">
        <f t="shared" si="17"/>
        <v>0</v>
      </c>
      <c r="O246" s="9">
        <f t="shared" si="18"/>
        <v>0</v>
      </c>
      <c r="P246" s="9">
        <f t="shared" si="19"/>
        <v>0</v>
      </c>
    </row>
    <row r="247" spans="11:16" ht="49" thickTop="1" thickBot="1" x14ac:dyDescent="0.6">
      <c r="K247" s="8">
        <v>240</v>
      </c>
      <c r="L247" s="9">
        <f t="shared" si="15"/>
        <v>0</v>
      </c>
      <c r="M247" s="8">
        <f t="shared" si="16"/>
        <v>0</v>
      </c>
      <c r="N247" s="9">
        <f t="shared" si="17"/>
        <v>0</v>
      </c>
      <c r="O247" s="9">
        <f t="shared" si="18"/>
        <v>0</v>
      </c>
      <c r="P247" s="9">
        <f t="shared" si="19"/>
        <v>0</v>
      </c>
    </row>
    <row r="248" spans="11:16" ht="49" thickTop="1" thickBot="1" x14ac:dyDescent="0.6">
      <c r="K248" s="8">
        <v>241</v>
      </c>
      <c r="L248" s="9">
        <f t="shared" si="15"/>
        <v>0</v>
      </c>
      <c r="M248" s="8">
        <f t="shared" si="16"/>
        <v>0</v>
      </c>
      <c r="N248" s="9">
        <f t="shared" si="17"/>
        <v>0</v>
      </c>
      <c r="O248" s="9">
        <f t="shared" si="18"/>
        <v>0</v>
      </c>
      <c r="P248" s="9">
        <f t="shared" si="19"/>
        <v>0</v>
      </c>
    </row>
    <row r="249" spans="11:16" ht="49" thickTop="1" thickBot="1" x14ac:dyDescent="0.6">
      <c r="K249" s="8">
        <v>242</v>
      </c>
      <c r="L249" s="9">
        <f t="shared" si="15"/>
        <v>0</v>
      </c>
      <c r="M249" s="8">
        <f t="shared" si="16"/>
        <v>0</v>
      </c>
      <c r="N249" s="9">
        <f t="shared" si="17"/>
        <v>0</v>
      </c>
      <c r="O249" s="9">
        <f t="shared" si="18"/>
        <v>0</v>
      </c>
      <c r="P249" s="9">
        <f t="shared" si="19"/>
        <v>0</v>
      </c>
    </row>
    <row r="250" spans="11:16" ht="49" thickTop="1" thickBot="1" x14ac:dyDescent="0.6">
      <c r="K250" s="8">
        <v>243</v>
      </c>
      <c r="L250" s="9">
        <f t="shared" si="15"/>
        <v>0</v>
      </c>
      <c r="M250" s="8">
        <f t="shared" si="16"/>
        <v>0</v>
      </c>
      <c r="N250" s="9">
        <f t="shared" si="17"/>
        <v>0</v>
      </c>
      <c r="O250" s="9">
        <f t="shared" si="18"/>
        <v>0</v>
      </c>
      <c r="P250" s="9">
        <f t="shared" si="19"/>
        <v>0</v>
      </c>
    </row>
    <row r="251" spans="11:16" ht="49" thickTop="1" thickBot="1" x14ac:dyDescent="0.6">
      <c r="K251" s="8">
        <v>244</v>
      </c>
      <c r="L251" s="9">
        <f t="shared" si="15"/>
        <v>0</v>
      </c>
      <c r="M251" s="8">
        <f t="shared" si="16"/>
        <v>0</v>
      </c>
      <c r="N251" s="9">
        <f t="shared" si="17"/>
        <v>0</v>
      </c>
      <c r="O251" s="9">
        <f t="shared" si="18"/>
        <v>0</v>
      </c>
      <c r="P251" s="9">
        <f t="shared" si="19"/>
        <v>0</v>
      </c>
    </row>
    <row r="252" spans="11:16" ht="49" thickTop="1" thickBot="1" x14ac:dyDescent="0.6">
      <c r="K252" s="8">
        <v>245</v>
      </c>
      <c r="L252" s="9">
        <f t="shared" si="15"/>
        <v>0</v>
      </c>
      <c r="M252" s="8">
        <f t="shared" si="16"/>
        <v>0</v>
      </c>
      <c r="N252" s="9">
        <f t="shared" si="17"/>
        <v>0</v>
      </c>
      <c r="O252" s="9">
        <f t="shared" si="18"/>
        <v>0</v>
      </c>
      <c r="P252" s="9">
        <f t="shared" si="19"/>
        <v>0</v>
      </c>
    </row>
    <row r="253" spans="11:16" ht="49" thickTop="1" thickBot="1" x14ac:dyDescent="0.6">
      <c r="K253" s="8">
        <v>246</v>
      </c>
      <c r="L253" s="9">
        <f t="shared" si="15"/>
        <v>0</v>
      </c>
      <c r="M253" s="8">
        <f t="shared" si="16"/>
        <v>0</v>
      </c>
      <c r="N253" s="9">
        <f t="shared" si="17"/>
        <v>0</v>
      </c>
      <c r="O253" s="9">
        <f t="shared" si="18"/>
        <v>0</v>
      </c>
      <c r="P253" s="9">
        <f t="shared" si="19"/>
        <v>0</v>
      </c>
    </row>
    <row r="254" spans="11:16" ht="49" thickTop="1" thickBot="1" x14ac:dyDescent="0.6">
      <c r="K254" s="8">
        <v>247</v>
      </c>
      <c r="L254" s="9">
        <f t="shared" si="15"/>
        <v>0</v>
      </c>
      <c r="M254" s="8">
        <f t="shared" si="16"/>
        <v>0</v>
      </c>
      <c r="N254" s="9">
        <f t="shared" si="17"/>
        <v>0</v>
      </c>
      <c r="O254" s="9">
        <f t="shared" si="18"/>
        <v>0</v>
      </c>
      <c r="P254" s="9">
        <f t="shared" si="19"/>
        <v>0</v>
      </c>
    </row>
    <row r="255" spans="11:16" ht="49" thickTop="1" thickBot="1" x14ac:dyDescent="0.6">
      <c r="K255" s="8">
        <v>248</v>
      </c>
      <c r="L255" s="9">
        <f t="shared" si="15"/>
        <v>0</v>
      </c>
      <c r="M255" s="8">
        <f t="shared" si="16"/>
        <v>0</v>
      </c>
      <c r="N255" s="9">
        <f t="shared" si="17"/>
        <v>0</v>
      </c>
      <c r="O255" s="9">
        <f t="shared" si="18"/>
        <v>0</v>
      </c>
      <c r="P255" s="9">
        <f t="shared" si="19"/>
        <v>0</v>
      </c>
    </row>
    <row r="256" spans="11:16" ht="49" thickTop="1" thickBot="1" x14ac:dyDescent="0.6">
      <c r="K256" s="8">
        <v>249</v>
      </c>
      <c r="L256" s="9">
        <f t="shared" si="15"/>
        <v>0</v>
      </c>
      <c r="M256" s="8">
        <f t="shared" si="16"/>
        <v>0</v>
      </c>
      <c r="N256" s="9">
        <f t="shared" si="17"/>
        <v>0</v>
      </c>
      <c r="O256" s="9">
        <f t="shared" si="18"/>
        <v>0</v>
      </c>
      <c r="P256" s="9">
        <f t="shared" si="19"/>
        <v>0</v>
      </c>
    </row>
    <row r="257" spans="11:16" ht="49" thickTop="1" thickBot="1" x14ac:dyDescent="0.6">
      <c r="K257" s="8">
        <v>250</v>
      </c>
      <c r="L257" s="9">
        <f t="shared" si="15"/>
        <v>0</v>
      </c>
      <c r="M257" s="8">
        <f t="shared" si="16"/>
        <v>0</v>
      </c>
      <c r="N257" s="9">
        <f t="shared" si="17"/>
        <v>0</v>
      </c>
      <c r="O257" s="9">
        <f t="shared" si="18"/>
        <v>0</v>
      </c>
      <c r="P257" s="9">
        <f t="shared" si="19"/>
        <v>0</v>
      </c>
    </row>
    <row r="258" spans="11:16" ht="49" thickTop="1" thickBot="1" x14ac:dyDescent="0.6">
      <c r="K258" s="8">
        <v>251</v>
      </c>
      <c r="L258" s="9">
        <f t="shared" si="15"/>
        <v>0</v>
      </c>
      <c r="M258" s="8">
        <f t="shared" si="16"/>
        <v>0</v>
      </c>
      <c r="N258" s="9">
        <f t="shared" si="17"/>
        <v>0</v>
      </c>
      <c r="O258" s="9">
        <f t="shared" si="18"/>
        <v>0</v>
      </c>
      <c r="P258" s="9">
        <f t="shared" si="19"/>
        <v>0</v>
      </c>
    </row>
    <row r="259" spans="11:16" ht="49" thickTop="1" thickBot="1" x14ac:dyDescent="0.6">
      <c r="K259" s="8">
        <v>252</v>
      </c>
      <c r="L259" s="9">
        <f t="shared" si="15"/>
        <v>0</v>
      </c>
      <c r="M259" s="8">
        <f t="shared" si="16"/>
        <v>0</v>
      </c>
      <c r="N259" s="9">
        <f t="shared" si="17"/>
        <v>0</v>
      </c>
      <c r="O259" s="9">
        <f t="shared" si="18"/>
        <v>0</v>
      </c>
      <c r="P259" s="9">
        <f t="shared" si="19"/>
        <v>0</v>
      </c>
    </row>
    <row r="260" spans="11:16" ht="49" thickTop="1" thickBot="1" x14ac:dyDescent="0.6">
      <c r="K260" s="8">
        <v>253</v>
      </c>
      <c r="L260" s="9">
        <f t="shared" si="15"/>
        <v>0</v>
      </c>
      <c r="M260" s="8">
        <f t="shared" si="16"/>
        <v>0</v>
      </c>
      <c r="N260" s="9">
        <f t="shared" si="17"/>
        <v>0</v>
      </c>
      <c r="O260" s="9">
        <f t="shared" si="18"/>
        <v>0</v>
      </c>
      <c r="P260" s="9">
        <f t="shared" si="19"/>
        <v>0</v>
      </c>
    </row>
    <row r="261" spans="11:16" ht="49" thickTop="1" thickBot="1" x14ac:dyDescent="0.6">
      <c r="K261" s="8">
        <v>254</v>
      </c>
      <c r="L261" s="9">
        <f t="shared" si="15"/>
        <v>0</v>
      </c>
      <c r="M261" s="8">
        <f t="shared" si="16"/>
        <v>0</v>
      </c>
      <c r="N261" s="9">
        <f t="shared" si="17"/>
        <v>0</v>
      </c>
      <c r="O261" s="9">
        <f t="shared" si="18"/>
        <v>0</v>
      </c>
      <c r="P261" s="9">
        <f t="shared" si="19"/>
        <v>0</v>
      </c>
    </row>
    <row r="262" spans="11:16" ht="49" thickTop="1" thickBot="1" x14ac:dyDescent="0.6">
      <c r="K262" s="8">
        <v>255</v>
      </c>
      <c r="L262" s="9">
        <f t="shared" si="15"/>
        <v>0</v>
      </c>
      <c r="M262" s="8">
        <f t="shared" si="16"/>
        <v>0</v>
      </c>
      <c r="N262" s="9">
        <f t="shared" si="17"/>
        <v>0</v>
      </c>
      <c r="O262" s="9">
        <f t="shared" si="18"/>
        <v>0</v>
      </c>
      <c r="P262" s="9">
        <f t="shared" si="19"/>
        <v>0</v>
      </c>
    </row>
    <row r="263" spans="11:16" ht="49" thickTop="1" thickBot="1" x14ac:dyDescent="0.6">
      <c r="K263" s="8">
        <v>256</v>
      </c>
      <c r="L263" s="9">
        <f t="shared" si="15"/>
        <v>0</v>
      </c>
      <c r="M263" s="8">
        <f t="shared" si="16"/>
        <v>0</v>
      </c>
      <c r="N263" s="9">
        <f t="shared" si="17"/>
        <v>0</v>
      </c>
      <c r="O263" s="9">
        <f t="shared" si="18"/>
        <v>0</v>
      </c>
      <c r="P263" s="9">
        <f t="shared" si="19"/>
        <v>0</v>
      </c>
    </row>
    <row r="264" spans="11:16" ht="49" thickTop="1" thickBot="1" x14ac:dyDescent="0.6">
      <c r="K264" s="8">
        <v>257</v>
      </c>
      <c r="L264" s="9">
        <f t="shared" si="15"/>
        <v>0</v>
      </c>
      <c r="M264" s="8">
        <f t="shared" si="16"/>
        <v>0</v>
      </c>
      <c r="N264" s="9">
        <f t="shared" si="17"/>
        <v>0</v>
      </c>
      <c r="O264" s="9">
        <f t="shared" si="18"/>
        <v>0</v>
      </c>
      <c r="P264" s="9">
        <f t="shared" si="19"/>
        <v>0</v>
      </c>
    </row>
    <row r="265" spans="11:16" ht="49" thickTop="1" thickBot="1" x14ac:dyDescent="0.6">
      <c r="K265" s="8">
        <v>258</v>
      </c>
      <c r="L265" s="9">
        <f t="shared" si="15"/>
        <v>0</v>
      </c>
      <c r="M265" s="8">
        <f t="shared" si="16"/>
        <v>0</v>
      </c>
      <c r="N265" s="9">
        <f t="shared" si="17"/>
        <v>0</v>
      </c>
      <c r="O265" s="9">
        <f t="shared" si="18"/>
        <v>0</v>
      </c>
      <c r="P265" s="9">
        <f t="shared" si="19"/>
        <v>0</v>
      </c>
    </row>
    <row r="266" spans="11:16" ht="49" thickTop="1" thickBot="1" x14ac:dyDescent="0.6">
      <c r="K266" s="8">
        <v>259</v>
      </c>
      <c r="L266" s="9">
        <f t="shared" ref="L266:L329" si="20">P265</f>
        <v>0</v>
      </c>
      <c r="M266" s="8">
        <f t="shared" ref="M266:M329" si="21">M265</f>
        <v>0</v>
      </c>
      <c r="N266" s="9">
        <f t="shared" ref="N266:N329" si="22">L266+M266</f>
        <v>0</v>
      </c>
      <c r="O266" s="9">
        <f t="shared" ref="O266:O329" si="23">N266*NOMINAL($O$6,12)/12</f>
        <v>0</v>
      </c>
      <c r="P266" s="9">
        <f t="shared" ref="P266:P329" si="24">N266+O266</f>
        <v>0</v>
      </c>
    </row>
    <row r="267" spans="11:16" ht="49" thickTop="1" thickBot="1" x14ac:dyDescent="0.6">
      <c r="K267" s="8">
        <v>260</v>
      </c>
      <c r="L267" s="9">
        <f t="shared" si="20"/>
        <v>0</v>
      </c>
      <c r="M267" s="8">
        <f t="shared" si="21"/>
        <v>0</v>
      </c>
      <c r="N267" s="9">
        <f t="shared" si="22"/>
        <v>0</v>
      </c>
      <c r="O267" s="9">
        <f t="shared" si="23"/>
        <v>0</v>
      </c>
      <c r="P267" s="9">
        <f t="shared" si="24"/>
        <v>0</v>
      </c>
    </row>
    <row r="268" spans="11:16" ht="49" thickTop="1" thickBot="1" x14ac:dyDescent="0.6">
      <c r="K268" s="8">
        <v>261</v>
      </c>
      <c r="L268" s="9">
        <f t="shared" si="20"/>
        <v>0</v>
      </c>
      <c r="M268" s="8">
        <f t="shared" si="21"/>
        <v>0</v>
      </c>
      <c r="N268" s="9">
        <f t="shared" si="22"/>
        <v>0</v>
      </c>
      <c r="O268" s="9">
        <f t="shared" si="23"/>
        <v>0</v>
      </c>
      <c r="P268" s="9">
        <f t="shared" si="24"/>
        <v>0</v>
      </c>
    </row>
    <row r="269" spans="11:16" ht="49" thickTop="1" thickBot="1" x14ac:dyDescent="0.6">
      <c r="K269" s="8">
        <v>262</v>
      </c>
      <c r="L269" s="9">
        <f t="shared" si="20"/>
        <v>0</v>
      </c>
      <c r="M269" s="8">
        <f t="shared" si="21"/>
        <v>0</v>
      </c>
      <c r="N269" s="9">
        <f t="shared" si="22"/>
        <v>0</v>
      </c>
      <c r="O269" s="9">
        <f t="shared" si="23"/>
        <v>0</v>
      </c>
      <c r="P269" s="9">
        <f t="shared" si="24"/>
        <v>0</v>
      </c>
    </row>
    <row r="270" spans="11:16" ht="49" thickTop="1" thickBot="1" x14ac:dyDescent="0.6">
      <c r="K270" s="8">
        <v>263</v>
      </c>
      <c r="L270" s="9">
        <f t="shared" si="20"/>
        <v>0</v>
      </c>
      <c r="M270" s="8">
        <f t="shared" si="21"/>
        <v>0</v>
      </c>
      <c r="N270" s="9">
        <f t="shared" si="22"/>
        <v>0</v>
      </c>
      <c r="O270" s="9">
        <f t="shared" si="23"/>
        <v>0</v>
      </c>
      <c r="P270" s="9">
        <f t="shared" si="24"/>
        <v>0</v>
      </c>
    </row>
    <row r="271" spans="11:16" ht="49" thickTop="1" thickBot="1" x14ac:dyDescent="0.6">
      <c r="K271" s="8">
        <v>264</v>
      </c>
      <c r="L271" s="9">
        <f t="shared" si="20"/>
        <v>0</v>
      </c>
      <c r="M271" s="8">
        <f t="shared" si="21"/>
        <v>0</v>
      </c>
      <c r="N271" s="9">
        <f t="shared" si="22"/>
        <v>0</v>
      </c>
      <c r="O271" s="9">
        <f t="shared" si="23"/>
        <v>0</v>
      </c>
      <c r="P271" s="9">
        <f t="shared" si="24"/>
        <v>0</v>
      </c>
    </row>
    <row r="272" spans="11:16" ht="49" thickTop="1" thickBot="1" x14ac:dyDescent="0.6">
      <c r="K272" s="8">
        <v>265</v>
      </c>
      <c r="L272" s="9">
        <f t="shared" si="20"/>
        <v>0</v>
      </c>
      <c r="M272" s="8">
        <f t="shared" si="21"/>
        <v>0</v>
      </c>
      <c r="N272" s="9">
        <f t="shared" si="22"/>
        <v>0</v>
      </c>
      <c r="O272" s="9">
        <f t="shared" si="23"/>
        <v>0</v>
      </c>
      <c r="P272" s="9">
        <f t="shared" si="24"/>
        <v>0</v>
      </c>
    </row>
    <row r="273" spans="11:16" ht="49" thickTop="1" thickBot="1" x14ac:dyDescent="0.6">
      <c r="K273" s="8">
        <v>266</v>
      </c>
      <c r="L273" s="9">
        <f t="shared" si="20"/>
        <v>0</v>
      </c>
      <c r="M273" s="8">
        <f t="shared" si="21"/>
        <v>0</v>
      </c>
      <c r="N273" s="9">
        <f t="shared" si="22"/>
        <v>0</v>
      </c>
      <c r="O273" s="9">
        <f t="shared" si="23"/>
        <v>0</v>
      </c>
      <c r="P273" s="9">
        <f t="shared" si="24"/>
        <v>0</v>
      </c>
    </row>
    <row r="274" spans="11:16" ht="49" thickTop="1" thickBot="1" x14ac:dyDescent="0.6">
      <c r="K274" s="8">
        <v>267</v>
      </c>
      <c r="L274" s="9">
        <f t="shared" si="20"/>
        <v>0</v>
      </c>
      <c r="M274" s="8">
        <f t="shared" si="21"/>
        <v>0</v>
      </c>
      <c r="N274" s="9">
        <f t="shared" si="22"/>
        <v>0</v>
      </c>
      <c r="O274" s="9">
        <f t="shared" si="23"/>
        <v>0</v>
      </c>
      <c r="P274" s="9">
        <f t="shared" si="24"/>
        <v>0</v>
      </c>
    </row>
    <row r="275" spans="11:16" ht="49" thickTop="1" thickBot="1" x14ac:dyDescent="0.6">
      <c r="K275" s="8">
        <v>268</v>
      </c>
      <c r="L275" s="9">
        <f t="shared" si="20"/>
        <v>0</v>
      </c>
      <c r="M275" s="8">
        <f t="shared" si="21"/>
        <v>0</v>
      </c>
      <c r="N275" s="9">
        <f t="shared" si="22"/>
        <v>0</v>
      </c>
      <c r="O275" s="9">
        <f t="shared" si="23"/>
        <v>0</v>
      </c>
      <c r="P275" s="9">
        <f t="shared" si="24"/>
        <v>0</v>
      </c>
    </row>
    <row r="276" spans="11:16" ht="49" thickTop="1" thickBot="1" x14ac:dyDescent="0.6">
      <c r="K276" s="8">
        <v>269</v>
      </c>
      <c r="L276" s="9">
        <f t="shared" si="20"/>
        <v>0</v>
      </c>
      <c r="M276" s="8">
        <f t="shared" si="21"/>
        <v>0</v>
      </c>
      <c r="N276" s="9">
        <f t="shared" si="22"/>
        <v>0</v>
      </c>
      <c r="O276" s="9">
        <f t="shared" si="23"/>
        <v>0</v>
      </c>
      <c r="P276" s="9">
        <f t="shared" si="24"/>
        <v>0</v>
      </c>
    </row>
    <row r="277" spans="11:16" ht="49" thickTop="1" thickBot="1" x14ac:dyDescent="0.6">
      <c r="K277" s="8">
        <v>270</v>
      </c>
      <c r="L277" s="9">
        <f t="shared" si="20"/>
        <v>0</v>
      </c>
      <c r="M277" s="8">
        <f t="shared" si="21"/>
        <v>0</v>
      </c>
      <c r="N277" s="9">
        <f t="shared" si="22"/>
        <v>0</v>
      </c>
      <c r="O277" s="9">
        <f t="shared" si="23"/>
        <v>0</v>
      </c>
      <c r="P277" s="9">
        <f t="shared" si="24"/>
        <v>0</v>
      </c>
    </row>
    <row r="278" spans="11:16" ht="49" thickTop="1" thickBot="1" x14ac:dyDescent="0.6">
      <c r="K278" s="8">
        <v>271</v>
      </c>
      <c r="L278" s="9">
        <f t="shared" si="20"/>
        <v>0</v>
      </c>
      <c r="M278" s="8">
        <f t="shared" si="21"/>
        <v>0</v>
      </c>
      <c r="N278" s="9">
        <f t="shared" si="22"/>
        <v>0</v>
      </c>
      <c r="O278" s="9">
        <f t="shared" si="23"/>
        <v>0</v>
      </c>
      <c r="P278" s="9">
        <f t="shared" si="24"/>
        <v>0</v>
      </c>
    </row>
    <row r="279" spans="11:16" ht="49" thickTop="1" thickBot="1" x14ac:dyDescent="0.6">
      <c r="K279" s="8">
        <v>272</v>
      </c>
      <c r="L279" s="9">
        <f t="shared" si="20"/>
        <v>0</v>
      </c>
      <c r="M279" s="8">
        <f t="shared" si="21"/>
        <v>0</v>
      </c>
      <c r="N279" s="9">
        <f t="shared" si="22"/>
        <v>0</v>
      </c>
      <c r="O279" s="9">
        <f t="shared" si="23"/>
        <v>0</v>
      </c>
      <c r="P279" s="9">
        <f t="shared" si="24"/>
        <v>0</v>
      </c>
    </row>
    <row r="280" spans="11:16" ht="49" thickTop="1" thickBot="1" x14ac:dyDescent="0.6">
      <c r="K280" s="8">
        <v>273</v>
      </c>
      <c r="L280" s="9">
        <f t="shared" si="20"/>
        <v>0</v>
      </c>
      <c r="M280" s="8">
        <f t="shared" si="21"/>
        <v>0</v>
      </c>
      <c r="N280" s="9">
        <f t="shared" si="22"/>
        <v>0</v>
      </c>
      <c r="O280" s="9">
        <f t="shared" si="23"/>
        <v>0</v>
      </c>
      <c r="P280" s="9">
        <f t="shared" si="24"/>
        <v>0</v>
      </c>
    </row>
    <row r="281" spans="11:16" ht="49" thickTop="1" thickBot="1" x14ac:dyDescent="0.6">
      <c r="K281" s="8">
        <v>274</v>
      </c>
      <c r="L281" s="9">
        <f t="shared" si="20"/>
        <v>0</v>
      </c>
      <c r="M281" s="8">
        <f t="shared" si="21"/>
        <v>0</v>
      </c>
      <c r="N281" s="9">
        <f t="shared" si="22"/>
        <v>0</v>
      </c>
      <c r="O281" s="9">
        <f t="shared" si="23"/>
        <v>0</v>
      </c>
      <c r="P281" s="9">
        <f t="shared" si="24"/>
        <v>0</v>
      </c>
    </row>
    <row r="282" spans="11:16" ht="49" thickTop="1" thickBot="1" x14ac:dyDescent="0.6">
      <c r="K282" s="8">
        <v>275</v>
      </c>
      <c r="L282" s="9">
        <f t="shared" si="20"/>
        <v>0</v>
      </c>
      <c r="M282" s="8">
        <f t="shared" si="21"/>
        <v>0</v>
      </c>
      <c r="N282" s="9">
        <f t="shared" si="22"/>
        <v>0</v>
      </c>
      <c r="O282" s="9">
        <f t="shared" si="23"/>
        <v>0</v>
      </c>
      <c r="P282" s="9">
        <f t="shared" si="24"/>
        <v>0</v>
      </c>
    </row>
    <row r="283" spans="11:16" ht="49" thickTop="1" thickBot="1" x14ac:dyDescent="0.6">
      <c r="K283" s="8">
        <v>276</v>
      </c>
      <c r="L283" s="9">
        <f t="shared" si="20"/>
        <v>0</v>
      </c>
      <c r="M283" s="8">
        <f t="shared" si="21"/>
        <v>0</v>
      </c>
      <c r="N283" s="9">
        <f t="shared" si="22"/>
        <v>0</v>
      </c>
      <c r="O283" s="9">
        <f t="shared" si="23"/>
        <v>0</v>
      </c>
      <c r="P283" s="9">
        <f t="shared" si="24"/>
        <v>0</v>
      </c>
    </row>
    <row r="284" spans="11:16" ht="49" thickTop="1" thickBot="1" x14ac:dyDescent="0.6">
      <c r="K284" s="8">
        <v>277</v>
      </c>
      <c r="L284" s="9">
        <f t="shared" si="20"/>
        <v>0</v>
      </c>
      <c r="M284" s="8">
        <f t="shared" si="21"/>
        <v>0</v>
      </c>
      <c r="N284" s="9">
        <f t="shared" si="22"/>
        <v>0</v>
      </c>
      <c r="O284" s="9">
        <f t="shared" si="23"/>
        <v>0</v>
      </c>
      <c r="P284" s="9">
        <f t="shared" si="24"/>
        <v>0</v>
      </c>
    </row>
    <row r="285" spans="11:16" ht="49" thickTop="1" thickBot="1" x14ac:dyDescent="0.6">
      <c r="K285" s="8">
        <v>278</v>
      </c>
      <c r="L285" s="9">
        <f t="shared" si="20"/>
        <v>0</v>
      </c>
      <c r="M285" s="8">
        <f t="shared" si="21"/>
        <v>0</v>
      </c>
      <c r="N285" s="9">
        <f t="shared" si="22"/>
        <v>0</v>
      </c>
      <c r="O285" s="9">
        <f t="shared" si="23"/>
        <v>0</v>
      </c>
      <c r="P285" s="9">
        <f t="shared" si="24"/>
        <v>0</v>
      </c>
    </row>
    <row r="286" spans="11:16" ht="49" thickTop="1" thickBot="1" x14ac:dyDescent="0.6">
      <c r="K286" s="8">
        <v>279</v>
      </c>
      <c r="L286" s="9">
        <f t="shared" si="20"/>
        <v>0</v>
      </c>
      <c r="M286" s="8">
        <f t="shared" si="21"/>
        <v>0</v>
      </c>
      <c r="N286" s="9">
        <f t="shared" si="22"/>
        <v>0</v>
      </c>
      <c r="O286" s="9">
        <f t="shared" si="23"/>
        <v>0</v>
      </c>
      <c r="P286" s="9">
        <f t="shared" si="24"/>
        <v>0</v>
      </c>
    </row>
    <row r="287" spans="11:16" ht="49" thickTop="1" thickBot="1" x14ac:dyDescent="0.6">
      <c r="K287" s="8">
        <v>280</v>
      </c>
      <c r="L287" s="9">
        <f t="shared" si="20"/>
        <v>0</v>
      </c>
      <c r="M287" s="8">
        <f t="shared" si="21"/>
        <v>0</v>
      </c>
      <c r="N287" s="9">
        <f t="shared" si="22"/>
        <v>0</v>
      </c>
      <c r="O287" s="9">
        <f t="shared" si="23"/>
        <v>0</v>
      </c>
      <c r="P287" s="9">
        <f t="shared" si="24"/>
        <v>0</v>
      </c>
    </row>
    <row r="288" spans="11:16" ht="49" thickTop="1" thickBot="1" x14ac:dyDescent="0.6">
      <c r="K288" s="8">
        <v>281</v>
      </c>
      <c r="L288" s="9">
        <f t="shared" si="20"/>
        <v>0</v>
      </c>
      <c r="M288" s="8">
        <f t="shared" si="21"/>
        <v>0</v>
      </c>
      <c r="N288" s="9">
        <f t="shared" si="22"/>
        <v>0</v>
      </c>
      <c r="O288" s="9">
        <f t="shared" si="23"/>
        <v>0</v>
      </c>
      <c r="P288" s="9">
        <f t="shared" si="24"/>
        <v>0</v>
      </c>
    </row>
    <row r="289" spans="11:16" ht="49" thickTop="1" thickBot="1" x14ac:dyDescent="0.6">
      <c r="K289" s="8">
        <v>282</v>
      </c>
      <c r="L289" s="9">
        <f t="shared" si="20"/>
        <v>0</v>
      </c>
      <c r="M289" s="8">
        <f t="shared" si="21"/>
        <v>0</v>
      </c>
      <c r="N289" s="9">
        <f t="shared" si="22"/>
        <v>0</v>
      </c>
      <c r="O289" s="9">
        <f t="shared" si="23"/>
        <v>0</v>
      </c>
      <c r="P289" s="9">
        <f t="shared" si="24"/>
        <v>0</v>
      </c>
    </row>
    <row r="290" spans="11:16" ht="49" thickTop="1" thickBot="1" x14ac:dyDescent="0.6">
      <c r="K290" s="8">
        <v>283</v>
      </c>
      <c r="L290" s="9">
        <f t="shared" si="20"/>
        <v>0</v>
      </c>
      <c r="M290" s="8">
        <f t="shared" si="21"/>
        <v>0</v>
      </c>
      <c r="N290" s="9">
        <f t="shared" si="22"/>
        <v>0</v>
      </c>
      <c r="O290" s="9">
        <f t="shared" si="23"/>
        <v>0</v>
      </c>
      <c r="P290" s="9">
        <f t="shared" si="24"/>
        <v>0</v>
      </c>
    </row>
    <row r="291" spans="11:16" ht="49" thickTop="1" thickBot="1" x14ac:dyDescent="0.6">
      <c r="K291" s="8">
        <v>284</v>
      </c>
      <c r="L291" s="9">
        <f t="shared" si="20"/>
        <v>0</v>
      </c>
      <c r="M291" s="8">
        <f t="shared" si="21"/>
        <v>0</v>
      </c>
      <c r="N291" s="9">
        <f t="shared" si="22"/>
        <v>0</v>
      </c>
      <c r="O291" s="9">
        <f t="shared" si="23"/>
        <v>0</v>
      </c>
      <c r="P291" s="9">
        <f t="shared" si="24"/>
        <v>0</v>
      </c>
    </row>
    <row r="292" spans="11:16" ht="49" thickTop="1" thickBot="1" x14ac:dyDescent="0.6">
      <c r="K292" s="8">
        <v>285</v>
      </c>
      <c r="L292" s="9">
        <f t="shared" si="20"/>
        <v>0</v>
      </c>
      <c r="M292" s="8">
        <f t="shared" si="21"/>
        <v>0</v>
      </c>
      <c r="N292" s="9">
        <f t="shared" si="22"/>
        <v>0</v>
      </c>
      <c r="O292" s="9">
        <f t="shared" si="23"/>
        <v>0</v>
      </c>
      <c r="P292" s="9">
        <f t="shared" si="24"/>
        <v>0</v>
      </c>
    </row>
    <row r="293" spans="11:16" ht="49" thickTop="1" thickBot="1" x14ac:dyDescent="0.6">
      <c r="K293" s="8">
        <v>286</v>
      </c>
      <c r="L293" s="9">
        <f t="shared" si="20"/>
        <v>0</v>
      </c>
      <c r="M293" s="8">
        <f t="shared" si="21"/>
        <v>0</v>
      </c>
      <c r="N293" s="9">
        <f t="shared" si="22"/>
        <v>0</v>
      </c>
      <c r="O293" s="9">
        <f t="shared" si="23"/>
        <v>0</v>
      </c>
      <c r="P293" s="9">
        <f t="shared" si="24"/>
        <v>0</v>
      </c>
    </row>
    <row r="294" spans="11:16" ht="49" thickTop="1" thickBot="1" x14ac:dyDescent="0.6">
      <c r="K294" s="8">
        <v>287</v>
      </c>
      <c r="L294" s="9">
        <f t="shared" si="20"/>
        <v>0</v>
      </c>
      <c r="M294" s="8">
        <f t="shared" si="21"/>
        <v>0</v>
      </c>
      <c r="N294" s="9">
        <f t="shared" si="22"/>
        <v>0</v>
      </c>
      <c r="O294" s="9">
        <f t="shared" si="23"/>
        <v>0</v>
      </c>
      <c r="P294" s="9">
        <f t="shared" si="24"/>
        <v>0</v>
      </c>
    </row>
    <row r="295" spans="11:16" ht="49" thickTop="1" thickBot="1" x14ac:dyDescent="0.6">
      <c r="K295" s="8">
        <v>288</v>
      </c>
      <c r="L295" s="9">
        <f t="shared" si="20"/>
        <v>0</v>
      </c>
      <c r="M295" s="8">
        <f t="shared" si="21"/>
        <v>0</v>
      </c>
      <c r="N295" s="9">
        <f t="shared" si="22"/>
        <v>0</v>
      </c>
      <c r="O295" s="9">
        <f t="shared" si="23"/>
        <v>0</v>
      </c>
      <c r="P295" s="9">
        <f t="shared" si="24"/>
        <v>0</v>
      </c>
    </row>
    <row r="296" spans="11:16" ht="49" thickTop="1" thickBot="1" x14ac:dyDescent="0.6">
      <c r="K296" s="8">
        <v>289</v>
      </c>
      <c r="L296" s="9">
        <f t="shared" si="20"/>
        <v>0</v>
      </c>
      <c r="M296" s="8">
        <f t="shared" si="21"/>
        <v>0</v>
      </c>
      <c r="N296" s="9">
        <f t="shared" si="22"/>
        <v>0</v>
      </c>
      <c r="O296" s="9">
        <f t="shared" si="23"/>
        <v>0</v>
      </c>
      <c r="P296" s="9">
        <f t="shared" si="24"/>
        <v>0</v>
      </c>
    </row>
    <row r="297" spans="11:16" ht="49" thickTop="1" thickBot="1" x14ac:dyDescent="0.6">
      <c r="K297" s="8">
        <v>290</v>
      </c>
      <c r="L297" s="9">
        <f t="shared" si="20"/>
        <v>0</v>
      </c>
      <c r="M297" s="8">
        <f t="shared" si="21"/>
        <v>0</v>
      </c>
      <c r="N297" s="9">
        <f t="shared" si="22"/>
        <v>0</v>
      </c>
      <c r="O297" s="9">
        <f t="shared" si="23"/>
        <v>0</v>
      </c>
      <c r="P297" s="9">
        <f t="shared" si="24"/>
        <v>0</v>
      </c>
    </row>
    <row r="298" spans="11:16" ht="49" thickTop="1" thickBot="1" x14ac:dyDescent="0.6">
      <c r="K298" s="8">
        <v>291</v>
      </c>
      <c r="L298" s="9">
        <f t="shared" si="20"/>
        <v>0</v>
      </c>
      <c r="M298" s="8">
        <f t="shared" si="21"/>
        <v>0</v>
      </c>
      <c r="N298" s="9">
        <f t="shared" si="22"/>
        <v>0</v>
      </c>
      <c r="O298" s="9">
        <f t="shared" si="23"/>
        <v>0</v>
      </c>
      <c r="P298" s="9">
        <f t="shared" si="24"/>
        <v>0</v>
      </c>
    </row>
    <row r="299" spans="11:16" ht="49" thickTop="1" thickBot="1" x14ac:dyDescent="0.6">
      <c r="K299" s="8">
        <v>292</v>
      </c>
      <c r="L299" s="9">
        <f t="shared" si="20"/>
        <v>0</v>
      </c>
      <c r="M299" s="8">
        <f t="shared" si="21"/>
        <v>0</v>
      </c>
      <c r="N299" s="9">
        <f t="shared" si="22"/>
        <v>0</v>
      </c>
      <c r="O299" s="9">
        <f t="shared" si="23"/>
        <v>0</v>
      </c>
      <c r="P299" s="9">
        <f t="shared" si="24"/>
        <v>0</v>
      </c>
    </row>
    <row r="300" spans="11:16" ht="49" thickTop="1" thickBot="1" x14ac:dyDescent="0.6">
      <c r="K300" s="8">
        <v>293</v>
      </c>
      <c r="L300" s="9">
        <f t="shared" si="20"/>
        <v>0</v>
      </c>
      <c r="M300" s="8">
        <f t="shared" si="21"/>
        <v>0</v>
      </c>
      <c r="N300" s="9">
        <f t="shared" si="22"/>
        <v>0</v>
      </c>
      <c r="O300" s="9">
        <f t="shared" si="23"/>
        <v>0</v>
      </c>
      <c r="P300" s="9">
        <f t="shared" si="24"/>
        <v>0</v>
      </c>
    </row>
    <row r="301" spans="11:16" ht="49" thickTop="1" thickBot="1" x14ac:dyDescent="0.6">
      <c r="K301" s="8">
        <v>294</v>
      </c>
      <c r="L301" s="9">
        <f t="shared" si="20"/>
        <v>0</v>
      </c>
      <c r="M301" s="8">
        <f t="shared" si="21"/>
        <v>0</v>
      </c>
      <c r="N301" s="9">
        <f t="shared" si="22"/>
        <v>0</v>
      </c>
      <c r="O301" s="9">
        <f t="shared" si="23"/>
        <v>0</v>
      </c>
      <c r="P301" s="9">
        <f t="shared" si="24"/>
        <v>0</v>
      </c>
    </row>
    <row r="302" spans="11:16" ht="49" thickTop="1" thickBot="1" x14ac:dyDescent="0.6">
      <c r="K302" s="8">
        <v>295</v>
      </c>
      <c r="L302" s="9">
        <f t="shared" si="20"/>
        <v>0</v>
      </c>
      <c r="M302" s="8">
        <f t="shared" si="21"/>
        <v>0</v>
      </c>
      <c r="N302" s="9">
        <f t="shared" si="22"/>
        <v>0</v>
      </c>
      <c r="O302" s="9">
        <f t="shared" si="23"/>
        <v>0</v>
      </c>
      <c r="P302" s="9">
        <f t="shared" si="24"/>
        <v>0</v>
      </c>
    </row>
    <row r="303" spans="11:16" ht="49" thickTop="1" thickBot="1" x14ac:dyDescent="0.6">
      <c r="K303" s="8">
        <v>296</v>
      </c>
      <c r="L303" s="9">
        <f t="shared" si="20"/>
        <v>0</v>
      </c>
      <c r="M303" s="8">
        <f t="shared" si="21"/>
        <v>0</v>
      </c>
      <c r="N303" s="9">
        <f t="shared" si="22"/>
        <v>0</v>
      </c>
      <c r="O303" s="9">
        <f t="shared" si="23"/>
        <v>0</v>
      </c>
      <c r="P303" s="9">
        <f t="shared" si="24"/>
        <v>0</v>
      </c>
    </row>
    <row r="304" spans="11:16" ht="49" thickTop="1" thickBot="1" x14ac:dyDescent="0.6">
      <c r="K304" s="8">
        <v>297</v>
      </c>
      <c r="L304" s="9">
        <f t="shared" si="20"/>
        <v>0</v>
      </c>
      <c r="M304" s="8">
        <f t="shared" si="21"/>
        <v>0</v>
      </c>
      <c r="N304" s="9">
        <f t="shared" si="22"/>
        <v>0</v>
      </c>
      <c r="O304" s="9">
        <f t="shared" si="23"/>
        <v>0</v>
      </c>
      <c r="P304" s="9">
        <f t="shared" si="24"/>
        <v>0</v>
      </c>
    </row>
    <row r="305" spans="11:16" ht="49" thickTop="1" thickBot="1" x14ac:dyDescent="0.6">
      <c r="K305" s="8">
        <v>298</v>
      </c>
      <c r="L305" s="9">
        <f t="shared" si="20"/>
        <v>0</v>
      </c>
      <c r="M305" s="8">
        <f t="shared" si="21"/>
        <v>0</v>
      </c>
      <c r="N305" s="9">
        <f t="shared" si="22"/>
        <v>0</v>
      </c>
      <c r="O305" s="9">
        <f t="shared" si="23"/>
        <v>0</v>
      </c>
      <c r="P305" s="9">
        <f t="shared" si="24"/>
        <v>0</v>
      </c>
    </row>
    <row r="306" spans="11:16" ht="49" thickTop="1" thickBot="1" x14ac:dyDescent="0.6">
      <c r="K306" s="8">
        <v>299</v>
      </c>
      <c r="L306" s="9">
        <f t="shared" si="20"/>
        <v>0</v>
      </c>
      <c r="M306" s="8">
        <f t="shared" si="21"/>
        <v>0</v>
      </c>
      <c r="N306" s="9">
        <f t="shared" si="22"/>
        <v>0</v>
      </c>
      <c r="O306" s="9">
        <f t="shared" si="23"/>
        <v>0</v>
      </c>
      <c r="P306" s="9">
        <f t="shared" si="24"/>
        <v>0</v>
      </c>
    </row>
    <row r="307" spans="11:16" ht="49" thickTop="1" thickBot="1" x14ac:dyDescent="0.6">
      <c r="K307" s="8">
        <v>300</v>
      </c>
      <c r="L307" s="9">
        <f t="shared" si="20"/>
        <v>0</v>
      </c>
      <c r="M307" s="8">
        <f t="shared" si="21"/>
        <v>0</v>
      </c>
      <c r="N307" s="9">
        <f t="shared" si="22"/>
        <v>0</v>
      </c>
      <c r="O307" s="9">
        <f t="shared" si="23"/>
        <v>0</v>
      </c>
      <c r="P307" s="9">
        <f t="shared" si="24"/>
        <v>0</v>
      </c>
    </row>
    <row r="308" spans="11:16" ht="49" thickTop="1" thickBot="1" x14ac:dyDescent="0.6">
      <c r="K308" s="8">
        <v>301</v>
      </c>
      <c r="L308" s="9">
        <f t="shared" si="20"/>
        <v>0</v>
      </c>
      <c r="M308" s="8">
        <f t="shared" si="21"/>
        <v>0</v>
      </c>
      <c r="N308" s="9">
        <f t="shared" si="22"/>
        <v>0</v>
      </c>
      <c r="O308" s="9">
        <f t="shared" si="23"/>
        <v>0</v>
      </c>
      <c r="P308" s="9">
        <f t="shared" si="24"/>
        <v>0</v>
      </c>
    </row>
    <row r="309" spans="11:16" ht="49" thickTop="1" thickBot="1" x14ac:dyDescent="0.6">
      <c r="K309" s="8">
        <v>302</v>
      </c>
      <c r="L309" s="9">
        <f t="shared" si="20"/>
        <v>0</v>
      </c>
      <c r="M309" s="8">
        <f t="shared" si="21"/>
        <v>0</v>
      </c>
      <c r="N309" s="9">
        <f t="shared" si="22"/>
        <v>0</v>
      </c>
      <c r="O309" s="9">
        <f t="shared" si="23"/>
        <v>0</v>
      </c>
      <c r="P309" s="9">
        <f t="shared" si="24"/>
        <v>0</v>
      </c>
    </row>
    <row r="310" spans="11:16" ht="49" thickTop="1" thickBot="1" x14ac:dyDescent="0.6">
      <c r="K310" s="8">
        <v>303</v>
      </c>
      <c r="L310" s="9">
        <f t="shared" si="20"/>
        <v>0</v>
      </c>
      <c r="M310" s="8">
        <f t="shared" si="21"/>
        <v>0</v>
      </c>
      <c r="N310" s="9">
        <f t="shared" si="22"/>
        <v>0</v>
      </c>
      <c r="O310" s="9">
        <f t="shared" si="23"/>
        <v>0</v>
      </c>
      <c r="P310" s="9">
        <f t="shared" si="24"/>
        <v>0</v>
      </c>
    </row>
    <row r="311" spans="11:16" ht="49" thickTop="1" thickBot="1" x14ac:dyDescent="0.6">
      <c r="K311" s="8">
        <v>304</v>
      </c>
      <c r="L311" s="9">
        <f t="shared" si="20"/>
        <v>0</v>
      </c>
      <c r="M311" s="8">
        <f t="shared" si="21"/>
        <v>0</v>
      </c>
      <c r="N311" s="9">
        <f t="shared" si="22"/>
        <v>0</v>
      </c>
      <c r="O311" s="9">
        <f t="shared" si="23"/>
        <v>0</v>
      </c>
      <c r="P311" s="9">
        <f t="shared" si="24"/>
        <v>0</v>
      </c>
    </row>
    <row r="312" spans="11:16" ht="49" thickTop="1" thickBot="1" x14ac:dyDescent="0.6">
      <c r="K312" s="8">
        <v>305</v>
      </c>
      <c r="L312" s="9">
        <f t="shared" si="20"/>
        <v>0</v>
      </c>
      <c r="M312" s="8">
        <f t="shared" si="21"/>
        <v>0</v>
      </c>
      <c r="N312" s="9">
        <f t="shared" si="22"/>
        <v>0</v>
      </c>
      <c r="O312" s="9">
        <f t="shared" si="23"/>
        <v>0</v>
      </c>
      <c r="P312" s="9">
        <f t="shared" si="24"/>
        <v>0</v>
      </c>
    </row>
    <row r="313" spans="11:16" ht="49" thickTop="1" thickBot="1" x14ac:dyDescent="0.6">
      <c r="K313" s="8">
        <v>306</v>
      </c>
      <c r="L313" s="9">
        <f t="shared" si="20"/>
        <v>0</v>
      </c>
      <c r="M313" s="8">
        <f t="shared" si="21"/>
        <v>0</v>
      </c>
      <c r="N313" s="9">
        <f t="shared" si="22"/>
        <v>0</v>
      </c>
      <c r="O313" s="9">
        <f t="shared" si="23"/>
        <v>0</v>
      </c>
      <c r="P313" s="9">
        <f t="shared" si="24"/>
        <v>0</v>
      </c>
    </row>
    <row r="314" spans="11:16" ht="49" thickTop="1" thickBot="1" x14ac:dyDescent="0.6">
      <c r="K314" s="8">
        <v>307</v>
      </c>
      <c r="L314" s="9">
        <f t="shared" si="20"/>
        <v>0</v>
      </c>
      <c r="M314" s="8">
        <f t="shared" si="21"/>
        <v>0</v>
      </c>
      <c r="N314" s="9">
        <f t="shared" si="22"/>
        <v>0</v>
      </c>
      <c r="O314" s="9">
        <f t="shared" si="23"/>
        <v>0</v>
      </c>
      <c r="P314" s="9">
        <f t="shared" si="24"/>
        <v>0</v>
      </c>
    </row>
    <row r="315" spans="11:16" ht="49" thickTop="1" thickBot="1" x14ac:dyDescent="0.6">
      <c r="K315" s="8">
        <v>308</v>
      </c>
      <c r="L315" s="9">
        <f t="shared" si="20"/>
        <v>0</v>
      </c>
      <c r="M315" s="8">
        <f t="shared" si="21"/>
        <v>0</v>
      </c>
      <c r="N315" s="9">
        <f t="shared" si="22"/>
        <v>0</v>
      </c>
      <c r="O315" s="9">
        <f t="shared" si="23"/>
        <v>0</v>
      </c>
      <c r="P315" s="9">
        <f t="shared" si="24"/>
        <v>0</v>
      </c>
    </row>
    <row r="316" spans="11:16" ht="49" thickTop="1" thickBot="1" x14ac:dyDescent="0.6">
      <c r="K316" s="8">
        <v>309</v>
      </c>
      <c r="L316" s="9">
        <f t="shared" si="20"/>
        <v>0</v>
      </c>
      <c r="M316" s="8">
        <f t="shared" si="21"/>
        <v>0</v>
      </c>
      <c r="N316" s="9">
        <f t="shared" si="22"/>
        <v>0</v>
      </c>
      <c r="O316" s="9">
        <f t="shared" si="23"/>
        <v>0</v>
      </c>
      <c r="P316" s="9">
        <f t="shared" si="24"/>
        <v>0</v>
      </c>
    </row>
    <row r="317" spans="11:16" ht="49" thickTop="1" thickBot="1" x14ac:dyDescent="0.6">
      <c r="K317" s="8">
        <v>310</v>
      </c>
      <c r="L317" s="9">
        <f t="shared" si="20"/>
        <v>0</v>
      </c>
      <c r="M317" s="8">
        <f t="shared" si="21"/>
        <v>0</v>
      </c>
      <c r="N317" s="9">
        <f t="shared" si="22"/>
        <v>0</v>
      </c>
      <c r="O317" s="9">
        <f t="shared" si="23"/>
        <v>0</v>
      </c>
      <c r="P317" s="9">
        <f t="shared" si="24"/>
        <v>0</v>
      </c>
    </row>
    <row r="318" spans="11:16" ht="49" thickTop="1" thickBot="1" x14ac:dyDescent="0.6">
      <c r="K318" s="8">
        <v>311</v>
      </c>
      <c r="L318" s="9">
        <f t="shared" si="20"/>
        <v>0</v>
      </c>
      <c r="M318" s="8">
        <f t="shared" si="21"/>
        <v>0</v>
      </c>
      <c r="N318" s="9">
        <f t="shared" si="22"/>
        <v>0</v>
      </c>
      <c r="O318" s="9">
        <f t="shared" si="23"/>
        <v>0</v>
      </c>
      <c r="P318" s="9">
        <f t="shared" si="24"/>
        <v>0</v>
      </c>
    </row>
    <row r="319" spans="11:16" ht="49" thickTop="1" thickBot="1" x14ac:dyDescent="0.6">
      <c r="K319" s="8">
        <v>312</v>
      </c>
      <c r="L319" s="9">
        <f t="shared" si="20"/>
        <v>0</v>
      </c>
      <c r="M319" s="8">
        <f t="shared" si="21"/>
        <v>0</v>
      </c>
      <c r="N319" s="9">
        <f t="shared" si="22"/>
        <v>0</v>
      </c>
      <c r="O319" s="9">
        <f t="shared" si="23"/>
        <v>0</v>
      </c>
      <c r="P319" s="9">
        <f t="shared" si="24"/>
        <v>0</v>
      </c>
    </row>
    <row r="320" spans="11:16" ht="49" thickTop="1" thickBot="1" x14ac:dyDescent="0.6">
      <c r="K320" s="8">
        <v>313</v>
      </c>
      <c r="L320" s="9">
        <f t="shared" si="20"/>
        <v>0</v>
      </c>
      <c r="M320" s="8">
        <f t="shared" si="21"/>
        <v>0</v>
      </c>
      <c r="N320" s="9">
        <f t="shared" si="22"/>
        <v>0</v>
      </c>
      <c r="O320" s="9">
        <f t="shared" si="23"/>
        <v>0</v>
      </c>
      <c r="P320" s="9">
        <f t="shared" si="24"/>
        <v>0</v>
      </c>
    </row>
    <row r="321" spans="11:16" ht="49" thickTop="1" thickBot="1" x14ac:dyDescent="0.6">
      <c r="K321" s="8">
        <v>314</v>
      </c>
      <c r="L321" s="9">
        <f t="shared" si="20"/>
        <v>0</v>
      </c>
      <c r="M321" s="8">
        <f t="shared" si="21"/>
        <v>0</v>
      </c>
      <c r="N321" s="9">
        <f t="shared" si="22"/>
        <v>0</v>
      </c>
      <c r="O321" s="9">
        <f t="shared" si="23"/>
        <v>0</v>
      </c>
      <c r="P321" s="9">
        <f t="shared" si="24"/>
        <v>0</v>
      </c>
    </row>
    <row r="322" spans="11:16" ht="49" thickTop="1" thickBot="1" x14ac:dyDescent="0.6">
      <c r="K322" s="8">
        <v>315</v>
      </c>
      <c r="L322" s="9">
        <f t="shared" si="20"/>
        <v>0</v>
      </c>
      <c r="M322" s="8">
        <f t="shared" si="21"/>
        <v>0</v>
      </c>
      <c r="N322" s="9">
        <f t="shared" si="22"/>
        <v>0</v>
      </c>
      <c r="O322" s="9">
        <f t="shared" si="23"/>
        <v>0</v>
      </c>
      <c r="P322" s="9">
        <f t="shared" si="24"/>
        <v>0</v>
      </c>
    </row>
    <row r="323" spans="11:16" ht="49" thickTop="1" thickBot="1" x14ac:dyDescent="0.6">
      <c r="K323" s="8">
        <v>316</v>
      </c>
      <c r="L323" s="9">
        <f t="shared" si="20"/>
        <v>0</v>
      </c>
      <c r="M323" s="8">
        <f t="shared" si="21"/>
        <v>0</v>
      </c>
      <c r="N323" s="9">
        <f t="shared" si="22"/>
        <v>0</v>
      </c>
      <c r="O323" s="9">
        <f t="shared" si="23"/>
        <v>0</v>
      </c>
      <c r="P323" s="9">
        <f t="shared" si="24"/>
        <v>0</v>
      </c>
    </row>
    <row r="324" spans="11:16" ht="49" thickTop="1" thickBot="1" x14ac:dyDescent="0.6">
      <c r="K324" s="8">
        <v>317</v>
      </c>
      <c r="L324" s="9">
        <f t="shared" si="20"/>
        <v>0</v>
      </c>
      <c r="M324" s="8">
        <f t="shared" si="21"/>
        <v>0</v>
      </c>
      <c r="N324" s="9">
        <f t="shared" si="22"/>
        <v>0</v>
      </c>
      <c r="O324" s="9">
        <f t="shared" si="23"/>
        <v>0</v>
      </c>
      <c r="P324" s="9">
        <f t="shared" si="24"/>
        <v>0</v>
      </c>
    </row>
    <row r="325" spans="11:16" ht="49" thickTop="1" thickBot="1" x14ac:dyDescent="0.6">
      <c r="K325" s="8">
        <v>318</v>
      </c>
      <c r="L325" s="9">
        <f t="shared" si="20"/>
        <v>0</v>
      </c>
      <c r="M325" s="8">
        <f t="shared" si="21"/>
        <v>0</v>
      </c>
      <c r="N325" s="9">
        <f t="shared" si="22"/>
        <v>0</v>
      </c>
      <c r="O325" s="9">
        <f t="shared" si="23"/>
        <v>0</v>
      </c>
      <c r="P325" s="9">
        <f t="shared" si="24"/>
        <v>0</v>
      </c>
    </row>
    <row r="326" spans="11:16" ht="49" thickTop="1" thickBot="1" x14ac:dyDescent="0.6">
      <c r="K326" s="8">
        <v>319</v>
      </c>
      <c r="L326" s="9">
        <f t="shared" si="20"/>
        <v>0</v>
      </c>
      <c r="M326" s="8">
        <f t="shared" si="21"/>
        <v>0</v>
      </c>
      <c r="N326" s="9">
        <f t="shared" si="22"/>
        <v>0</v>
      </c>
      <c r="O326" s="9">
        <f t="shared" si="23"/>
        <v>0</v>
      </c>
      <c r="P326" s="9">
        <f t="shared" si="24"/>
        <v>0</v>
      </c>
    </row>
    <row r="327" spans="11:16" ht="49" thickTop="1" thickBot="1" x14ac:dyDescent="0.6">
      <c r="K327" s="8">
        <v>320</v>
      </c>
      <c r="L327" s="9">
        <f t="shared" si="20"/>
        <v>0</v>
      </c>
      <c r="M327" s="8">
        <f t="shared" si="21"/>
        <v>0</v>
      </c>
      <c r="N327" s="9">
        <f t="shared" si="22"/>
        <v>0</v>
      </c>
      <c r="O327" s="9">
        <f t="shared" si="23"/>
        <v>0</v>
      </c>
      <c r="P327" s="9">
        <f t="shared" si="24"/>
        <v>0</v>
      </c>
    </row>
    <row r="328" spans="11:16" ht="49" thickTop="1" thickBot="1" x14ac:dyDescent="0.6">
      <c r="K328" s="8">
        <v>321</v>
      </c>
      <c r="L328" s="9">
        <f t="shared" si="20"/>
        <v>0</v>
      </c>
      <c r="M328" s="8">
        <f t="shared" si="21"/>
        <v>0</v>
      </c>
      <c r="N328" s="9">
        <f t="shared" si="22"/>
        <v>0</v>
      </c>
      <c r="O328" s="9">
        <f t="shared" si="23"/>
        <v>0</v>
      </c>
      <c r="P328" s="9">
        <f t="shared" si="24"/>
        <v>0</v>
      </c>
    </row>
    <row r="329" spans="11:16" ht="49" thickTop="1" thickBot="1" x14ac:dyDescent="0.6">
      <c r="K329" s="8">
        <v>322</v>
      </c>
      <c r="L329" s="9">
        <f t="shared" si="20"/>
        <v>0</v>
      </c>
      <c r="M329" s="8">
        <f t="shared" si="21"/>
        <v>0</v>
      </c>
      <c r="N329" s="9">
        <f t="shared" si="22"/>
        <v>0</v>
      </c>
      <c r="O329" s="9">
        <f t="shared" si="23"/>
        <v>0</v>
      </c>
      <c r="P329" s="9">
        <f t="shared" si="24"/>
        <v>0</v>
      </c>
    </row>
    <row r="330" spans="11:16" ht="49" thickTop="1" thickBot="1" x14ac:dyDescent="0.6">
      <c r="K330" s="8">
        <v>323</v>
      </c>
      <c r="L330" s="9">
        <f t="shared" ref="L330:L393" si="25">P329</f>
        <v>0</v>
      </c>
      <c r="M330" s="8">
        <f t="shared" ref="M330:M393" si="26">M329</f>
        <v>0</v>
      </c>
      <c r="N330" s="9">
        <f t="shared" ref="N330:N393" si="27">L330+M330</f>
        <v>0</v>
      </c>
      <c r="O330" s="9">
        <f t="shared" ref="O330:O393" si="28">N330*NOMINAL($O$6,12)/12</f>
        <v>0</v>
      </c>
      <c r="P330" s="9">
        <f t="shared" ref="P330:P393" si="29">N330+O330</f>
        <v>0</v>
      </c>
    </row>
    <row r="331" spans="11:16" ht="49" thickTop="1" thickBot="1" x14ac:dyDescent="0.6">
      <c r="K331" s="8">
        <v>324</v>
      </c>
      <c r="L331" s="9">
        <f t="shared" si="25"/>
        <v>0</v>
      </c>
      <c r="M331" s="8">
        <f t="shared" si="26"/>
        <v>0</v>
      </c>
      <c r="N331" s="9">
        <f t="shared" si="27"/>
        <v>0</v>
      </c>
      <c r="O331" s="9">
        <f t="shared" si="28"/>
        <v>0</v>
      </c>
      <c r="P331" s="9">
        <f t="shared" si="29"/>
        <v>0</v>
      </c>
    </row>
    <row r="332" spans="11:16" ht="49" thickTop="1" thickBot="1" x14ac:dyDescent="0.6">
      <c r="K332" s="8">
        <v>325</v>
      </c>
      <c r="L332" s="9">
        <f t="shared" si="25"/>
        <v>0</v>
      </c>
      <c r="M332" s="8">
        <f t="shared" si="26"/>
        <v>0</v>
      </c>
      <c r="N332" s="9">
        <f t="shared" si="27"/>
        <v>0</v>
      </c>
      <c r="O332" s="9">
        <f t="shared" si="28"/>
        <v>0</v>
      </c>
      <c r="P332" s="9">
        <f t="shared" si="29"/>
        <v>0</v>
      </c>
    </row>
    <row r="333" spans="11:16" ht="49" thickTop="1" thickBot="1" x14ac:dyDescent="0.6">
      <c r="K333" s="8">
        <v>326</v>
      </c>
      <c r="L333" s="9">
        <f t="shared" si="25"/>
        <v>0</v>
      </c>
      <c r="M333" s="8">
        <f t="shared" si="26"/>
        <v>0</v>
      </c>
      <c r="N333" s="9">
        <f t="shared" si="27"/>
        <v>0</v>
      </c>
      <c r="O333" s="9">
        <f t="shared" si="28"/>
        <v>0</v>
      </c>
      <c r="P333" s="9">
        <f t="shared" si="29"/>
        <v>0</v>
      </c>
    </row>
    <row r="334" spans="11:16" ht="49" thickTop="1" thickBot="1" x14ac:dyDescent="0.6">
      <c r="K334" s="8">
        <v>327</v>
      </c>
      <c r="L334" s="9">
        <f t="shared" si="25"/>
        <v>0</v>
      </c>
      <c r="M334" s="8">
        <f t="shared" si="26"/>
        <v>0</v>
      </c>
      <c r="N334" s="9">
        <f t="shared" si="27"/>
        <v>0</v>
      </c>
      <c r="O334" s="9">
        <f t="shared" si="28"/>
        <v>0</v>
      </c>
      <c r="P334" s="9">
        <f t="shared" si="29"/>
        <v>0</v>
      </c>
    </row>
    <row r="335" spans="11:16" ht="49" thickTop="1" thickBot="1" x14ac:dyDescent="0.6">
      <c r="K335" s="8">
        <v>328</v>
      </c>
      <c r="L335" s="9">
        <f t="shared" si="25"/>
        <v>0</v>
      </c>
      <c r="M335" s="8">
        <f t="shared" si="26"/>
        <v>0</v>
      </c>
      <c r="N335" s="9">
        <f t="shared" si="27"/>
        <v>0</v>
      </c>
      <c r="O335" s="9">
        <f t="shared" si="28"/>
        <v>0</v>
      </c>
      <c r="P335" s="9">
        <f t="shared" si="29"/>
        <v>0</v>
      </c>
    </row>
    <row r="336" spans="11:16" ht="49" thickTop="1" thickBot="1" x14ac:dyDescent="0.6">
      <c r="K336" s="8">
        <v>329</v>
      </c>
      <c r="L336" s="9">
        <f t="shared" si="25"/>
        <v>0</v>
      </c>
      <c r="M336" s="8">
        <f t="shared" si="26"/>
        <v>0</v>
      </c>
      <c r="N336" s="9">
        <f t="shared" si="27"/>
        <v>0</v>
      </c>
      <c r="O336" s="9">
        <f t="shared" si="28"/>
        <v>0</v>
      </c>
      <c r="P336" s="9">
        <f t="shared" si="29"/>
        <v>0</v>
      </c>
    </row>
    <row r="337" spans="11:16" ht="49" thickTop="1" thickBot="1" x14ac:dyDescent="0.6">
      <c r="K337" s="8">
        <v>330</v>
      </c>
      <c r="L337" s="9">
        <f t="shared" si="25"/>
        <v>0</v>
      </c>
      <c r="M337" s="8">
        <f t="shared" si="26"/>
        <v>0</v>
      </c>
      <c r="N337" s="9">
        <f t="shared" si="27"/>
        <v>0</v>
      </c>
      <c r="O337" s="9">
        <f t="shared" si="28"/>
        <v>0</v>
      </c>
      <c r="P337" s="9">
        <f t="shared" si="29"/>
        <v>0</v>
      </c>
    </row>
    <row r="338" spans="11:16" ht="49" thickTop="1" thickBot="1" x14ac:dyDescent="0.6">
      <c r="K338" s="8">
        <v>331</v>
      </c>
      <c r="L338" s="9">
        <f t="shared" si="25"/>
        <v>0</v>
      </c>
      <c r="M338" s="8">
        <f t="shared" si="26"/>
        <v>0</v>
      </c>
      <c r="N338" s="9">
        <f t="shared" si="27"/>
        <v>0</v>
      </c>
      <c r="O338" s="9">
        <f t="shared" si="28"/>
        <v>0</v>
      </c>
      <c r="P338" s="9">
        <f t="shared" si="29"/>
        <v>0</v>
      </c>
    </row>
    <row r="339" spans="11:16" ht="49" thickTop="1" thickBot="1" x14ac:dyDescent="0.6">
      <c r="K339" s="8">
        <v>332</v>
      </c>
      <c r="L339" s="9">
        <f t="shared" si="25"/>
        <v>0</v>
      </c>
      <c r="M339" s="8">
        <f t="shared" si="26"/>
        <v>0</v>
      </c>
      <c r="N339" s="9">
        <f t="shared" si="27"/>
        <v>0</v>
      </c>
      <c r="O339" s="9">
        <f t="shared" si="28"/>
        <v>0</v>
      </c>
      <c r="P339" s="9">
        <f t="shared" si="29"/>
        <v>0</v>
      </c>
    </row>
    <row r="340" spans="11:16" ht="49" thickTop="1" thickBot="1" x14ac:dyDescent="0.6">
      <c r="K340" s="8">
        <v>333</v>
      </c>
      <c r="L340" s="9">
        <f t="shared" si="25"/>
        <v>0</v>
      </c>
      <c r="M340" s="8">
        <f t="shared" si="26"/>
        <v>0</v>
      </c>
      <c r="N340" s="9">
        <f t="shared" si="27"/>
        <v>0</v>
      </c>
      <c r="O340" s="9">
        <f t="shared" si="28"/>
        <v>0</v>
      </c>
      <c r="P340" s="9">
        <f t="shared" si="29"/>
        <v>0</v>
      </c>
    </row>
    <row r="341" spans="11:16" ht="49" thickTop="1" thickBot="1" x14ac:dyDescent="0.6">
      <c r="K341" s="8">
        <v>334</v>
      </c>
      <c r="L341" s="9">
        <f t="shared" si="25"/>
        <v>0</v>
      </c>
      <c r="M341" s="8">
        <f t="shared" si="26"/>
        <v>0</v>
      </c>
      <c r="N341" s="9">
        <f t="shared" si="27"/>
        <v>0</v>
      </c>
      <c r="O341" s="9">
        <f t="shared" si="28"/>
        <v>0</v>
      </c>
      <c r="P341" s="9">
        <f t="shared" si="29"/>
        <v>0</v>
      </c>
    </row>
    <row r="342" spans="11:16" ht="49" thickTop="1" thickBot="1" x14ac:dyDescent="0.6">
      <c r="K342" s="8">
        <v>335</v>
      </c>
      <c r="L342" s="9">
        <f t="shared" si="25"/>
        <v>0</v>
      </c>
      <c r="M342" s="8">
        <f t="shared" si="26"/>
        <v>0</v>
      </c>
      <c r="N342" s="9">
        <f t="shared" si="27"/>
        <v>0</v>
      </c>
      <c r="O342" s="9">
        <f t="shared" si="28"/>
        <v>0</v>
      </c>
      <c r="P342" s="9">
        <f t="shared" si="29"/>
        <v>0</v>
      </c>
    </row>
    <row r="343" spans="11:16" ht="49" thickTop="1" thickBot="1" x14ac:dyDescent="0.6">
      <c r="K343" s="8">
        <v>336</v>
      </c>
      <c r="L343" s="9">
        <f t="shared" si="25"/>
        <v>0</v>
      </c>
      <c r="M343" s="8">
        <f t="shared" si="26"/>
        <v>0</v>
      </c>
      <c r="N343" s="9">
        <f t="shared" si="27"/>
        <v>0</v>
      </c>
      <c r="O343" s="9">
        <f t="shared" si="28"/>
        <v>0</v>
      </c>
      <c r="P343" s="9">
        <f t="shared" si="29"/>
        <v>0</v>
      </c>
    </row>
    <row r="344" spans="11:16" ht="49" thickTop="1" thickBot="1" x14ac:dyDescent="0.6">
      <c r="K344" s="8">
        <v>337</v>
      </c>
      <c r="L344" s="9">
        <f t="shared" si="25"/>
        <v>0</v>
      </c>
      <c r="M344" s="8">
        <f t="shared" si="26"/>
        <v>0</v>
      </c>
      <c r="N344" s="9">
        <f t="shared" si="27"/>
        <v>0</v>
      </c>
      <c r="O344" s="9">
        <f t="shared" si="28"/>
        <v>0</v>
      </c>
      <c r="P344" s="9">
        <f t="shared" si="29"/>
        <v>0</v>
      </c>
    </row>
    <row r="345" spans="11:16" ht="49" thickTop="1" thickBot="1" x14ac:dyDescent="0.6">
      <c r="K345" s="8">
        <v>338</v>
      </c>
      <c r="L345" s="9">
        <f t="shared" si="25"/>
        <v>0</v>
      </c>
      <c r="M345" s="8">
        <f t="shared" si="26"/>
        <v>0</v>
      </c>
      <c r="N345" s="9">
        <f t="shared" si="27"/>
        <v>0</v>
      </c>
      <c r="O345" s="9">
        <f t="shared" si="28"/>
        <v>0</v>
      </c>
      <c r="P345" s="9">
        <f t="shared" si="29"/>
        <v>0</v>
      </c>
    </row>
    <row r="346" spans="11:16" ht="49" thickTop="1" thickBot="1" x14ac:dyDescent="0.6">
      <c r="K346" s="8">
        <v>339</v>
      </c>
      <c r="L346" s="9">
        <f t="shared" si="25"/>
        <v>0</v>
      </c>
      <c r="M346" s="8">
        <f t="shared" si="26"/>
        <v>0</v>
      </c>
      <c r="N346" s="9">
        <f t="shared" si="27"/>
        <v>0</v>
      </c>
      <c r="O346" s="9">
        <f t="shared" si="28"/>
        <v>0</v>
      </c>
      <c r="P346" s="9">
        <f t="shared" si="29"/>
        <v>0</v>
      </c>
    </row>
    <row r="347" spans="11:16" ht="49" thickTop="1" thickBot="1" x14ac:dyDescent="0.6">
      <c r="K347" s="8">
        <v>340</v>
      </c>
      <c r="L347" s="9">
        <f t="shared" si="25"/>
        <v>0</v>
      </c>
      <c r="M347" s="8">
        <f t="shared" si="26"/>
        <v>0</v>
      </c>
      <c r="N347" s="9">
        <f t="shared" si="27"/>
        <v>0</v>
      </c>
      <c r="O347" s="9">
        <f t="shared" si="28"/>
        <v>0</v>
      </c>
      <c r="P347" s="9">
        <f t="shared" si="29"/>
        <v>0</v>
      </c>
    </row>
    <row r="348" spans="11:16" ht="49" thickTop="1" thickBot="1" x14ac:dyDescent="0.6">
      <c r="K348" s="8">
        <v>341</v>
      </c>
      <c r="L348" s="9">
        <f t="shared" si="25"/>
        <v>0</v>
      </c>
      <c r="M348" s="8">
        <f t="shared" si="26"/>
        <v>0</v>
      </c>
      <c r="N348" s="9">
        <f t="shared" si="27"/>
        <v>0</v>
      </c>
      <c r="O348" s="9">
        <f t="shared" si="28"/>
        <v>0</v>
      </c>
      <c r="P348" s="9">
        <f t="shared" si="29"/>
        <v>0</v>
      </c>
    </row>
    <row r="349" spans="11:16" ht="49" thickTop="1" thickBot="1" x14ac:dyDescent="0.6">
      <c r="K349" s="8">
        <v>342</v>
      </c>
      <c r="L349" s="9">
        <f t="shared" si="25"/>
        <v>0</v>
      </c>
      <c r="M349" s="8">
        <f t="shared" si="26"/>
        <v>0</v>
      </c>
      <c r="N349" s="9">
        <f t="shared" si="27"/>
        <v>0</v>
      </c>
      <c r="O349" s="9">
        <f t="shared" si="28"/>
        <v>0</v>
      </c>
      <c r="P349" s="9">
        <f t="shared" si="29"/>
        <v>0</v>
      </c>
    </row>
    <row r="350" spans="11:16" ht="49" thickTop="1" thickBot="1" x14ac:dyDescent="0.6">
      <c r="K350" s="8">
        <v>343</v>
      </c>
      <c r="L350" s="9">
        <f t="shared" si="25"/>
        <v>0</v>
      </c>
      <c r="M350" s="8">
        <f t="shared" si="26"/>
        <v>0</v>
      </c>
      <c r="N350" s="9">
        <f t="shared" si="27"/>
        <v>0</v>
      </c>
      <c r="O350" s="9">
        <f t="shared" si="28"/>
        <v>0</v>
      </c>
      <c r="P350" s="9">
        <f t="shared" si="29"/>
        <v>0</v>
      </c>
    </row>
    <row r="351" spans="11:16" ht="49" thickTop="1" thickBot="1" x14ac:dyDescent="0.6">
      <c r="K351" s="8">
        <v>344</v>
      </c>
      <c r="L351" s="9">
        <f t="shared" si="25"/>
        <v>0</v>
      </c>
      <c r="M351" s="8">
        <f t="shared" si="26"/>
        <v>0</v>
      </c>
      <c r="N351" s="9">
        <f t="shared" si="27"/>
        <v>0</v>
      </c>
      <c r="O351" s="9">
        <f t="shared" si="28"/>
        <v>0</v>
      </c>
      <c r="P351" s="9">
        <f t="shared" si="29"/>
        <v>0</v>
      </c>
    </row>
    <row r="352" spans="11:16" ht="49" thickTop="1" thickBot="1" x14ac:dyDescent="0.6">
      <c r="K352" s="8">
        <v>345</v>
      </c>
      <c r="L352" s="9">
        <f t="shared" si="25"/>
        <v>0</v>
      </c>
      <c r="M352" s="8">
        <f t="shared" si="26"/>
        <v>0</v>
      </c>
      <c r="N352" s="9">
        <f t="shared" si="27"/>
        <v>0</v>
      </c>
      <c r="O352" s="9">
        <f t="shared" si="28"/>
        <v>0</v>
      </c>
      <c r="P352" s="9">
        <f t="shared" si="29"/>
        <v>0</v>
      </c>
    </row>
    <row r="353" spans="11:16" ht="49" thickTop="1" thickBot="1" x14ac:dyDescent="0.6">
      <c r="K353" s="8">
        <v>346</v>
      </c>
      <c r="L353" s="9">
        <f t="shared" si="25"/>
        <v>0</v>
      </c>
      <c r="M353" s="8">
        <f t="shared" si="26"/>
        <v>0</v>
      </c>
      <c r="N353" s="9">
        <f t="shared" si="27"/>
        <v>0</v>
      </c>
      <c r="O353" s="9">
        <f t="shared" si="28"/>
        <v>0</v>
      </c>
      <c r="P353" s="9">
        <f t="shared" si="29"/>
        <v>0</v>
      </c>
    </row>
    <row r="354" spans="11:16" ht="49" thickTop="1" thickBot="1" x14ac:dyDescent="0.6">
      <c r="K354" s="8">
        <v>347</v>
      </c>
      <c r="L354" s="9">
        <f t="shared" si="25"/>
        <v>0</v>
      </c>
      <c r="M354" s="8">
        <f t="shared" si="26"/>
        <v>0</v>
      </c>
      <c r="N354" s="9">
        <f t="shared" si="27"/>
        <v>0</v>
      </c>
      <c r="O354" s="9">
        <f t="shared" si="28"/>
        <v>0</v>
      </c>
      <c r="P354" s="9">
        <f t="shared" si="29"/>
        <v>0</v>
      </c>
    </row>
    <row r="355" spans="11:16" ht="49" thickTop="1" thickBot="1" x14ac:dyDescent="0.6">
      <c r="K355" s="8">
        <v>348</v>
      </c>
      <c r="L355" s="9">
        <f t="shared" si="25"/>
        <v>0</v>
      </c>
      <c r="M355" s="8">
        <f t="shared" si="26"/>
        <v>0</v>
      </c>
      <c r="N355" s="9">
        <f t="shared" si="27"/>
        <v>0</v>
      </c>
      <c r="O355" s="9">
        <f t="shared" si="28"/>
        <v>0</v>
      </c>
      <c r="P355" s="9">
        <f t="shared" si="29"/>
        <v>0</v>
      </c>
    </row>
    <row r="356" spans="11:16" ht="49" thickTop="1" thickBot="1" x14ac:dyDescent="0.6">
      <c r="K356" s="8">
        <v>349</v>
      </c>
      <c r="L356" s="9">
        <f t="shared" si="25"/>
        <v>0</v>
      </c>
      <c r="M356" s="8">
        <f t="shared" si="26"/>
        <v>0</v>
      </c>
      <c r="N356" s="9">
        <f t="shared" si="27"/>
        <v>0</v>
      </c>
      <c r="O356" s="9">
        <f t="shared" si="28"/>
        <v>0</v>
      </c>
      <c r="P356" s="9">
        <f t="shared" si="29"/>
        <v>0</v>
      </c>
    </row>
    <row r="357" spans="11:16" ht="49" thickTop="1" thickBot="1" x14ac:dyDescent="0.6">
      <c r="K357" s="8">
        <v>350</v>
      </c>
      <c r="L357" s="9">
        <f t="shared" si="25"/>
        <v>0</v>
      </c>
      <c r="M357" s="8">
        <f t="shared" si="26"/>
        <v>0</v>
      </c>
      <c r="N357" s="9">
        <f t="shared" si="27"/>
        <v>0</v>
      </c>
      <c r="O357" s="9">
        <f t="shared" si="28"/>
        <v>0</v>
      </c>
      <c r="P357" s="9">
        <f t="shared" si="29"/>
        <v>0</v>
      </c>
    </row>
    <row r="358" spans="11:16" ht="49" thickTop="1" thickBot="1" x14ac:dyDescent="0.6">
      <c r="K358" s="8">
        <v>351</v>
      </c>
      <c r="L358" s="9">
        <f t="shared" si="25"/>
        <v>0</v>
      </c>
      <c r="M358" s="8">
        <f t="shared" si="26"/>
        <v>0</v>
      </c>
      <c r="N358" s="9">
        <f t="shared" si="27"/>
        <v>0</v>
      </c>
      <c r="O358" s="9">
        <f t="shared" si="28"/>
        <v>0</v>
      </c>
      <c r="P358" s="9">
        <f t="shared" si="29"/>
        <v>0</v>
      </c>
    </row>
    <row r="359" spans="11:16" ht="49" thickTop="1" thickBot="1" x14ac:dyDescent="0.6">
      <c r="K359" s="8">
        <v>352</v>
      </c>
      <c r="L359" s="9">
        <f t="shared" si="25"/>
        <v>0</v>
      </c>
      <c r="M359" s="8">
        <f t="shared" si="26"/>
        <v>0</v>
      </c>
      <c r="N359" s="9">
        <f t="shared" si="27"/>
        <v>0</v>
      </c>
      <c r="O359" s="9">
        <f t="shared" si="28"/>
        <v>0</v>
      </c>
      <c r="P359" s="9">
        <f t="shared" si="29"/>
        <v>0</v>
      </c>
    </row>
    <row r="360" spans="11:16" ht="49" thickTop="1" thickBot="1" x14ac:dyDescent="0.6">
      <c r="K360" s="8">
        <v>353</v>
      </c>
      <c r="L360" s="9">
        <f t="shared" si="25"/>
        <v>0</v>
      </c>
      <c r="M360" s="8">
        <f t="shared" si="26"/>
        <v>0</v>
      </c>
      <c r="N360" s="9">
        <f t="shared" si="27"/>
        <v>0</v>
      </c>
      <c r="O360" s="9">
        <f t="shared" si="28"/>
        <v>0</v>
      </c>
      <c r="P360" s="9">
        <f t="shared" si="29"/>
        <v>0</v>
      </c>
    </row>
    <row r="361" spans="11:16" ht="49" thickTop="1" thickBot="1" x14ac:dyDescent="0.6">
      <c r="K361" s="8">
        <v>354</v>
      </c>
      <c r="L361" s="9">
        <f t="shared" si="25"/>
        <v>0</v>
      </c>
      <c r="M361" s="8">
        <f t="shared" si="26"/>
        <v>0</v>
      </c>
      <c r="N361" s="9">
        <f t="shared" si="27"/>
        <v>0</v>
      </c>
      <c r="O361" s="9">
        <f t="shared" si="28"/>
        <v>0</v>
      </c>
      <c r="P361" s="9">
        <f t="shared" si="29"/>
        <v>0</v>
      </c>
    </row>
    <row r="362" spans="11:16" ht="49" thickTop="1" thickBot="1" x14ac:dyDescent="0.6">
      <c r="K362" s="8">
        <v>355</v>
      </c>
      <c r="L362" s="9">
        <f t="shared" si="25"/>
        <v>0</v>
      </c>
      <c r="M362" s="8">
        <f t="shared" si="26"/>
        <v>0</v>
      </c>
      <c r="N362" s="9">
        <f t="shared" si="27"/>
        <v>0</v>
      </c>
      <c r="O362" s="9">
        <f t="shared" si="28"/>
        <v>0</v>
      </c>
      <c r="P362" s="9">
        <f t="shared" si="29"/>
        <v>0</v>
      </c>
    </row>
    <row r="363" spans="11:16" ht="49" thickTop="1" thickBot="1" x14ac:dyDescent="0.6">
      <c r="K363" s="8">
        <v>356</v>
      </c>
      <c r="L363" s="9">
        <f t="shared" si="25"/>
        <v>0</v>
      </c>
      <c r="M363" s="8">
        <f t="shared" si="26"/>
        <v>0</v>
      </c>
      <c r="N363" s="9">
        <f t="shared" si="27"/>
        <v>0</v>
      </c>
      <c r="O363" s="9">
        <f t="shared" si="28"/>
        <v>0</v>
      </c>
      <c r="P363" s="9">
        <f t="shared" si="29"/>
        <v>0</v>
      </c>
    </row>
    <row r="364" spans="11:16" ht="49" thickTop="1" thickBot="1" x14ac:dyDescent="0.6">
      <c r="K364" s="8">
        <v>357</v>
      </c>
      <c r="L364" s="9">
        <f t="shared" si="25"/>
        <v>0</v>
      </c>
      <c r="M364" s="8">
        <f t="shared" si="26"/>
        <v>0</v>
      </c>
      <c r="N364" s="9">
        <f t="shared" si="27"/>
        <v>0</v>
      </c>
      <c r="O364" s="9">
        <f t="shared" si="28"/>
        <v>0</v>
      </c>
      <c r="P364" s="9">
        <f t="shared" si="29"/>
        <v>0</v>
      </c>
    </row>
    <row r="365" spans="11:16" ht="49" thickTop="1" thickBot="1" x14ac:dyDescent="0.6">
      <c r="K365" s="8">
        <v>358</v>
      </c>
      <c r="L365" s="9">
        <f t="shared" si="25"/>
        <v>0</v>
      </c>
      <c r="M365" s="8">
        <f t="shared" si="26"/>
        <v>0</v>
      </c>
      <c r="N365" s="9">
        <f t="shared" si="27"/>
        <v>0</v>
      </c>
      <c r="O365" s="9">
        <f t="shared" si="28"/>
        <v>0</v>
      </c>
      <c r="P365" s="9">
        <f t="shared" si="29"/>
        <v>0</v>
      </c>
    </row>
    <row r="366" spans="11:16" ht="49" thickTop="1" thickBot="1" x14ac:dyDescent="0.6">
      <c r="K366" s="8">
        <v>359</v>
      </c>
      <c r="L366" s="9">
        <f t="shared" si="25"/>
        <v>0</v>
      </c>
      <c r="M366" s="8">
        <f t="shared" si="26"/>
        <v>0</v>
      </c>
      <c r="N366" s="9">
        <f t="shared" si="27"/>
        <v>0</v>
      </c>
      <c r="O366" s="9">
        <f t="shared" si="28"/>
        <v>0</v>
      </c>
      <c r="P366" s="9">
        <f t="shared" si="29"/>
        <v>0</v>
      </c>
    </row>
    <row r="367" spans="11:16" ht="49" thickTop="1" thickBot="1" x14ac:dyDescent="0.6">
      <c r="K367" s="8">
        <v>360</v>
      </c>
      <c r="L367" s="9">
        <f t="shared" si="25"/>
        <v>0</v>
      </c>
      <c r="M367" s="8">
        <f t="shared" si="26"/>
        <v>0</v>
      </c>
      <c r="N367" s="9">
        <f t="shared" si="27"/>
        <v>0</v>
      </c>
      <c r="O367" s="9">
        <f t="shared" si="28"/>
        <v>0</v>
      </c>
      <c r="P367" s="9">
        <f t="shared" si="29"/>
        <v>0</v>
      </c>
    </row>
    <row r="368" spans="11:16" ht="49" thickTop="1" thickBot="1" x14ac:dyDescent="0.6">
      <c r="K368" s="8">
        <v>361</v>
      </c>
      <c r="L368" s="9">
        <f t="shared" si="25"/>
        <v>0</v>
      </c>
      <c r="M368" s="8">
        <f t="shared" si="26"/>
        <v>0</v>
      </c>
      <c r="N368" s="9">
        <f t="shared" si="27"/>
        <v>0</v>
      </c>
      <c r="O368" s="9">
        <f t="shared" si="28"/>
        <v>0</v>
      </c>
      <c r="P368" s="9">
        <f t="shared" si="29"/>
        <v>0</v>
      </c>
    </row>
    <row r="369" spans="11:16" ht="49" thickTop="1" thickBot="1" x14ac:dyDescent="0.6">
      <c r="K369" s="8">
        <v>362</v>
      </c>
      <c r="L369" s="9">
        <f t="shared" si="25"/>
        <v>0</v>
      </c>
      <c r="M369" s="8">
        <f t="shared" si="26"/>
        <v>0</v>
      </c>
      <c r="N369" s="9">
        <f t="shared" si="27"/>
        <v>0</v>
      </c>
      <c r="O369" s="9">
        <f t="shared" si="28"/>
        <v>0</v>
      </c>
      <c r="P369" s="9">
        <f t="shared" si="29"/>
        <v>0</v>
      </c>
    </row>
    <row r="370" spans="11:16" ht="49" thickTop="1" thickBot="1" x14ac:dyDescent="0.6">
      <c r="K370" s="8">
        <v>363</v>
      </c>
      <c r="L370" s="9">
        <f t="shared" si="25"/>
        <v>0</v>
      </c>
      <c r="M370" s="8">
        <f t="shared" si="26"/>
        <v>0</v>
      </c>
      <c r="N370" s="9">
        <f t="shared" si="27"/>
        <v>0</v>
      </c>
      <c r="O370" s="9">
        <f t="shared" si="28"/>
        <v>0</v>
      </c>
      <c r="P370" s="9">
        <f t="shared" si="29"/>
        <v>0</v>
      </c>
    </row>
    <row r="371" spans="11:16" ht="49" thickTop="1" thickBot="1" x14ac:dyDescent="0.6">
      <c r="K371" s="8">
        <v>364</v>
      </c>
      <c r="L371" s="9">
        <f t="shared" si="25"/>
        <v>0</v>
      </c>
      <c r="M371" s="8">
        <f t="shared" si="26"/>
        <v>0</v>
      </c>
      <c r="N371" s="9">
        <f t="shared" si="27"/>
        <v>0</v>
      </c>
      <c r="O371" s="9">
        <f t="shared" si="28"/>
        <v>0</v>
      </c>
      <c r="P371" s="9">
        <f t="shared" si="29"/>
        <v>0</v>
      </c>
    </row>
    <row r="372" spans="11:16" ht="49" thickTop="1" thickBot="1" x14ac:dyDescent="0.6">
      <c r="K372" s="8">
        <v>365</v>
      </c>
      <c r="L372" s="9">
        <f t="shared" si="25"/>
        <v>0</v>
      </c>
      <c r="M372" s="8">
        <f t="shared" si="26"/>
        <v>0</v>
      </c>
      <c r="N372" s="9">
        <f t="shared" si="27"/>
        <v>0</v>
      </c>
      <c r="O372" s="9">
        <f t="shared" si="28"/>
        <v>0</v>
      </c>
      <c r="P372" s="9">
        <f t="shared" si="29"/>
        <v>0</v>
      </c>
    </row>
    <row r="373" spans="11:16" ht="49" thickTop="1" thickBot="1" x14ac:dyDescent="0.6">
      <c r="K373" s="8">
        <v>366</v>
      </c>
      <c r="L373" s="9">
        <f t="shared" si="25"/>
        <v>0</v>
      </c>
      <c r="M373" s="8">
        <f t="shared" si="26"/>
        <v>0</v>
      </c>
      <c r="N373" s="9">
        <f t="shared" si="27"/>
        <v>0</v>
      </c>
      <c r="O373" s="9">
        <f t="shared" si="28"/>
        <v>0</v>
      </c>
      <c r="P373" s="9">
        <f t="shared" si="29"/>
        <v>0</v>
      </c>
    </row>
    <row r="374" spans="11:16" ht="49" thickTop="1" thickBot="1" x14ac:dyDescent="0.6">
      <c r="K374" s="8">
        <v>367</v>
      </c>
      <c r="L374" s="9">
        <f t="shared" si="25"/>
        <v>0</v>
      </c>
      <c r="M374" s="8">
        <f t="shared" si="26"/>
        <v>0</v>
      </c>
      <c r="N374" s="9">
        <f t="shared" si="27"/>
        <v>0</v>
      </c>
      <c r="O374" s="9">
        <f t="shared" si="28"/>
        <v>0</v>
      </c>
      <c r="P374" s="9">
        <f t="shared" si="29"/>
        <v>0</v>
      </c>
    </row>
    <row r="375" spans="11:16" ht="49" thickTop="1" thickBot="1" x14ac:dyDescent="0.6">
      <c r="K375" s="8">
        <v>368</v>
      </c>
      <c r="L375" s="9">
        <f t="shared" si="25"/>
        <v>0</v>
      </c>
      <c r="M375" s="8">
        <f t="shared" si="26"/>
        <v>0</v>
      </c>
      <c r="N375" s="9">
        <f t="shared" si="27"/>
        <v>0</v>
      </c>
      <c r="O375" s="9">
        <f t="shared" si="28"/>
        <v>0</v>
      </c>
      <c r="P375" s="9">
        <f t="shared" si="29"/>
        <v>0</v>
      </c>
    </row>
    <row r="376" spans="11:16" ht="49" thickTop="1" thickBot="1" x14ac:dyDescent="0.6">
      <c r="K376" s="8">
        <v>369</v>
      </c>
      <c r="L376" s="9">
        <f t="shared" si="25"/>
        <v>0</v>
      </c>
      <c r="M376" s="8">
        <f t="shared" si="26"/>
        <v>0</v>
      </c>
      <c r="N376" s="9">
        <f t="shared" si="27"/>
        <v>0</v>
      </c>
      <c r="O376" s="9">
        <f t="shared" si="28"/>
        <v>0</v>
      </c>
      <c r="P376" s="9">
        <f t="shared" si="29"/>
        <v>0</v>
      </c>
    </row>
    <row r="377" spans="11:16" ht="49" thickTop="1" thickBot="1" x14ac:dyDescent="0.6">
      <c r="K377" s="8">
        <v>370</v>
      </c>
      <c r="L377" s="9">
        <f t="shared" si="25"/>
        <v>0</v>
      </c>
      <c r="M377" s="8">
        <f t="shared" si="26"/>
        <v>0</v>
      </c>
      <c r="N377" s="9">
        <f t="shared" si="27"/>
        <v>0</v>
      </c>
      <c r="O377" s="9">
        <f t="shared" si="28"/>
        <v>0</v>
      </c>
      <c r="P377" s="9">
        <f t="shared" si="29"/>
        <v>0</v>
      </c>
    </row>
    <row r="378" spans="11:16" ht="49" thickTop="1" thickBot="1" x14ac:dyDescent="0.6">
      <c r="K378" s="8">
        <v>371</v>
      </c>
      <c r="L378" s="9">
        <f t="shared" si="25"/>
        <v>0</v>
      </c>
      <c r="M378" s="8">
        <f t="shared" si="26"/>
        <v>0</v>
      </c>
      <c r="N378" s="9">
        <f t="shared" si="27"/>
        <v>0</v>
      </c>
      <c r="O378" s="9">
        <f t="shared" si="28"/>
        <v>0</v>
      </c>
      <c r="P378" s="9">
        <f t="shared" si="29"/>
        <v>0</v>
      </c>
    </row>
    <row r="379" spans="11:16" ht="49" thickTop="1" thickBot="1" x14ac:dyDescent="0.6">
      <c r="K379" s="8">
        <v>372</v>
      </c>
      <c r="L379" s="9">
        <f t="shared" si="25"/>
        <v>0</v>
      </c>
      <c r="M379" s="8">
        <f t="shared" si="26"/>
        <v>0</v>
      </c>
      <c r="N379" s="9">
        <f t="shared" si="27"/>
        <v>0</v>
      </c>
      <c r="O379" s="9">
        <f t="shared" si="28"/>
        <v>0</v>
      </c>
      <c r="P379" s="9">
        <f t="shared" si="29"/>
        <v>0</v>
      </c>
    </row>
    <row r="380" spans="11:16" ht="49" thickTop="1" thickBot="1" x14ac:dyDescent="0.6">
      <c r="K380" s="8">
        <v>373</v>
      </c>
      <c r="L380" s="9">
        <f t="shared" si="25"/>
        <v>0</v>
      </c>
      <c r="M380" s="8">
        <f t="shared" si="26"/>
        <v>0</v>
      </c>
      <c r="N380" s="9">
        <f t="shared" si="27"/>
        <v>0</v>
      </c>
      <c r="O380" s="9">
        <f t="shared" si="28"/>
        <v>0</v>
      </c>
      <c r="P380" s="9">
        <f t="shared" si="29"/>
        <v>0</v>
      </c>
    </row>
    <row r="381" spans="11:16" ht="49" thickTop="1" thickBot="1" x14ac:dyDescent="0.6">
      <c r="K381" s="8">
        <v>374</v>
      </c>
      <c r="L381" s="9">
        <f t="shared" si="25"/>
        <v>0</v>
      </c>
      <c r="M381" s="8">
        <f t="shared" si="26"/>
        <v>0</v>
      </c>
      <c r="N381" s="9">
        <f t="shared" si="27"/>
        <v>0</v>
      </c>
      <c r="O381" s="9">
        <f t="shared" si="28"/>
        <v>0</v>
      </c>
      <c r="P381" s="9">
        <f t="shared" si="29"/>
        <v>0</v>
      </c>
    </row>
    <row r="382" spans="11:16" ht="49" thickTop="1" thickBot="1" x14ac:dyDescent="0.6">
      <c r="K382" s="8">
        <v>375</v>
      </c>
      <c r="L382" s="9">
        <f t="shared" si="25"/>
        <v>0</v>
      </c>
      <c r="M382" s="8">
        <f t="shared" si="26"/>
        <v>0</v>
      </c>
      <c r="N382" s="9">
        <f t="shared" si="27"/>
        <v>0</v>
      </c>
      <c r="O382" s="9">
        <f t="shared" si="28"/>
        <v>0</v>
      </c>
      <c r="P382" s="9">
        <f t="shared" si="29"/>
        <v>0</v>
      </c>
    </row>
    <row r="383" spans="11:16" ht="49" thickTop="1" thickBot="1" x14ac:dyDescent="0.6">
      <c r="K383" s="8">
        <v>376</v>
      </c>
      <c r="L383" s="9">
        <f t="shared" si="25"/>
        <v>0</v>
      </c>
      <c r="M383" s="8">
        <f t="shared" si="26"/>
        <v>0</v>
      </c>
      <c r="N383" s="9">
        <f t="shared" si="27"/>
        <v>0</v>
      </c>
      <c r="O383" s="9">
        <f t="shared" si="28"/>
        <v>0</v>
      </c>
      <c r="P383" s="9">
        <f t="shared" si="29"/>
        <v>0</v>
      </c>
    </row>
    <row r="384" spans="11:16" ht="49" thickTop="1" thickBot="1" x14ac:dyDescent="0.6">
      <c r="K384" s="8">
        <v>377</v>
      </c>
      <c r="L384" s="9">
        <f t="shared" si="25"/>
        <v>0</v>
      </c>
      <c r="M384" s="8">
        <f t="shared" si="26"/>
        <v>0</v>
      </c>
      <c r="N384" s="9">
        <f t="shared" si="27"/>
        <v>0</v>
      </c>
      <c r="O384" s="9">
        <f t="shared" si="28"/>
        <v>0</v>
      </c>
      <c r="P384" s="9">
        <f t="shared" si="29"/>
        <v>0</v>
      </c>
    </row>
    <row r="385" spans="11:16" ht="49" thickTop="1" thickBot="1" x14ac:dyDescent="0.6">
      <c r="K385" s="8">
        <v>378</v>
      </c>
      <c r="L385" s="9">
        <f t="shared" si="25"/>
        <v>0</v>
      </c>
      <c r="M385" s="8">
        <f t="shared" si="26"/>
        <v>0</v>
      </c>
      <c r="N385" s="9">
        <f t="shared" si="27"/>
        <v>0</v>
      </c>
      <c r="O385" s="9">
        <f t="shared" si="28"/>
        <v>0</v>
      </c>
      <c r="P385" s="9">
        <f t="shared" si="29"/>
        <v>0</v>
      </c>
    </row>
    <row r="386" spans="11:16" ht="49" thickTop="1" thickBot="1" x14ac:dyDescent="0.6">
      <c r="K386" s="8">
        <v>379</v>
      </c>
      <c r="L386" s="9">
        <f t="shared" si="25"/>
        <v>0</v>
      </c>
      <c r="M386" s="8">
        <f t="shared" si="26"/>
        <v>0</v>
      </c>
      <c r="N386" s="9">
        <f t="shared" si="27"/>
        <v>0</v>
      </c>
      <c r="O386" s="9">
        <f t="shared" si="28"/>
        <v>0</v>
      </c>
      <c r="P386" s="9">
        <f t="shared" si="29"/>
        <v>0</v>
      </c>
    </row>
    <row r="387" spans="11:16" ht="49" thickTop="1" thickBot="1" x14ac:dyDescent="0.6">
      <c r="K387" s="8">
        <v>380</v>
      </c>
      <c r="L387" s="9">
        <f t="shared" si="25"/>
        <v>0</v>
      </c>
      <c r="M387" s="8">
        <f t="shared" si="26"/>
        <v>0</v>
      </c>
      <c r="N387" s="9">
        <f t="shared" si="27"/>
        <v>0</v>
      </c>
      <c r="O387" s="9">
        <f t="shared" si="28"/>
        <v>0</v>
      </c>
      <c r="P387" s="9">
        <f t="shared" si="29"/>
        <v>0</v>
      </c>
    </row>
    <row r="388" spans="11:16" ht="49" thickTop="1" thickBot="1" x14ac:dyDescent="0.6">
      <c r="K388" s="8">
        <v>381</v>
      </c>
      <c r="L388" s="9">
        <f t="shared" si="25"/>
        <v>0</v>
      </c>
      <c r="M388" s="8">
        <f t="shared" si="26"/>
        <v>0</v>
      </c>
      <c r="N388" s="9">
        <f t="shared" si="27"/>
        <v>0</v>
      </c>
      <c r="O388" s="9">
        <f t="shared" si="28"/>
        <v>0</v>
      </c>
      <c r="P388" s="9">
        <f t="shared" si="29"/>
        <v>0</v>
      </c>
    </row>
    <row r="389" spans="11:16" ht="49" thickTop="1" thickBot="1" x14ac:dyDescent="0.6">
      <c r="K389" s="8">
        <v>382</v>
      </c>
      <c r="L389" s="9">
        <f t="shared" si="25"/>
        <v>0</v>
      </c>
      <c r="M389" s="8">
        <f t="shared" si="26"/>
        <v>0</v>
      </c>
      <c r="N389" s="9">
        <f t="shared" si="27"/>
        <v>0</v>
      </c>
      <c r="O389" s="9">
        <f t="shared" si="28"/>
        <v>0</v>
      </c>
      <c r="P389" s="9">
        <f t="shared" si="29"/>
        <v>0</v>
      </c>
    </row>
    <row r="390" spans="11:16" ht="49" thickTop="1" thickBot="1" x14ac:dyDescent="0.6">
      <c r="K390" s="8">
        <v>383</v>
      </c>
      <c r="L390" s="9">
        <f t="shared" si="25"/>
        <v>0</v>
      </c>
      <c r="M390" s="8">
        <f t="shared" si="26"/>
        <v>0</v>
      </c>
      <c r="N390" s="9">
        <f t="shared" si="27"/>
        <v>0</v>
      </c>
      <c r="O390" s="9">
        <f t="shared" si="28"/>
        <v>0</v>
      </c>
      <c r="P390" s="9">
        <f t="shared" si="29"/>
        <v>0</v>
      </c>
    </row>
    <row r="391" spans="11:16" ht="49" thickTop="1" thickBot="1" x14ac:dyDescent="0.6">
      <c r="K391" s="8">
        <v>384</v>
      </c>
      <c r="L391" s="9">
        <f t="shared" si="25"/>
        <v>0</v>
      </c>
      <c r="M391" s="8">
        <f t="shared" si="26"/>
        <v>0</v>
      </c>
      <c r="N391" s="9">
        <f t="shared" si="27"/>
        <v>0</v>
      </c>
      <c r="O391" s="9">
        <f t="shared" si="28"/>
        <v>0</v>
      </c>
      <c r="P391" s="9">
        <f t="shared" si="29"/>
        <v>0</v>
      </c>
    </row>
    <row r="392" spans="11:16" ht="49" thickTop="1" thickBot="1" x14ac:dyDescent="0.6">
      <c r="K392" s="8">
        <v>385</v>
      </c>
      <c r="L392" s="9">
        <f t="shared" si="25"/>
        <v>0</v>
      </c>
      <c r="M392" s="8">
        <f t="shared" si="26"/>
        <v>0</v>
      </c>
      <c r="N392" s="9">
        <f t="shared" si="27"/>
        <v>0</v>
      </c>
      <c r="O392" s="9">
        <f t="shared" si="28"/>
        <v>0</v>
      </c>
      <c r="P392" s="9">
        <f t="shared" si="29"/>
        <v>0</v>
      </c>
    </row>
    <row r="393" spans="11:16" ht="49" thickTop="1" thickBot="1" x14ac:dyDescent="0.6">
      <c r="K393" s="8">
        <v>386</v>
      </c>
      <c r="L393" s="9">
        <f t="shared" si="25"/>
        <v>0</v>
      </c>
      <c r="M393" s="8">
        <f t="shared" si="26"/>
        <v>0</v>
      </c>
      <c r="N393" s="9">
        <f t="shared" si="27"/>
        <v>0</v>
      </c>
      <c r="O393" s="9">
        <f t="shared" si="28"/>
        <v>0</v>
      </c>
      <c r="P393" s="9">
        <f t="shared" si="29"/>
        <v>0</v>
      </c>
    </row>
    <row r="394" spans="11:16" ht="49" thickTop="1" thickBot="1" x14ac:dyDescent="0.6">
      <c r="K394" s="8">
        <v>387</v>
      </c>
      <c r="L394" s="9">
        <f t="shared" ref="L394:L457" si="30">P393</f>
        <v>0</v>
      </c>
      <c r="M394" s="8">
        <f t="shared" ref="M394:M457" si="31">M393</f>
        <v>0</v>
      </c>
      <c r="N394" s="9">
        <f t="shared" ref="N394:N457" si="32">L394+M394</f>
        <v>0</v>
      </c>
      <c r="O394" s="9">
        <f t="shared" ref="O394:O457" si="33">N394*NOMINAL($O$6,12)/12</f>
        <v>0</v>
      </c>
      <c r="P394" s="9">
        <f t="shared" ref="P394:P457" si="34">N394+O394</f>
        <v>0</v>
      </c>
    </row>
    <row r="395" spans="11:16" ht="49" thickTop="1" thickBot="1" x14ac:dyDescent="0.6">
      <c r="K395" s="8">
        <v>388</v>
      </c>
      <c r="L395" s="9">
        <f t="shared" si="30"/>
        <v>0</v>
      </c>
      <c r="M395" s="8">
        <f t="shared" si="31"/>
        <v>0</v>
      </c>
      <c r="N395" s="9">
        <f t="shared" si="32"/>
        <v>0</v>
      </c>
      <c r="O395" s="9">
        <f t="shared" si="33"/>
        <v>0</v>
      </c>
      <c r="P395" s="9">
        <f t="shared" si="34"/>
        <v>0</v>
      </c>
    </row>
    <row r="396" spans="11:16" ht="49" thickTop="1" thickBot="1" x14ac:dyDescent="0.6">
      <c r="K396" s="8">
        <v>389</v>
      </c>
      <c r="L396" s="9">
        <f t="shared" si="30"/>
        <v>0</v>
      </c>
      <c r="M396" s="8">
        <f t="shared" si="31"/>
        <v>0</v>
      </c>
      <c r="N396" s="9">
        <f t="shared" si="32"/>
        <v>0</v>
      </c>
      <c r="O396" s="9">
        <f t="shared" si="33"/>
        <v>0</v>
      </c>
      <c r="P396" s="9">
        <f t="shared" si="34"/>
        <v>0</v>
      </c>
    </row>
    <row r="397" spans="11:16" ht="49" thickTop="1" thickBot="1" x14ac:dyDescent="0.6">
      <c r="K397" s="8">
        <v>390</v>
      </c>
      <c r="L397" s="9">
        <f t="shared" si="30"/>
        <v>0</v>
      </c>
      <c r="M397" s="8">
        <f t="shared" si="31"/>
        <v>0</v>
      </c>
      <c r="N397" s="9">
        <f t="shared" si="32"/>
        <v>0</v>
      </c>
      <c r="O397" s="9">
        <f t="shared" si="33"/>
        <v>0</v>
      </c>
      <c r="P397" s="9">
        <f t="shared" si="34"/>
        <v>0</v>
      </c>
    </row>
    <row r="398" spans="11:16" ht="49" thickTop="1" thickBot="1" x14ac:dyDescent="0.6">
      <c r="K398" s="8">
        <v>391</v>
      </c>
      <c r="L398" s="9">
        <f t="shared" si="30"/>
        <v>0</v>
      </c>
      <c r="M398" s="8">
        <f t="shared" si="31"/>
        <v>0</v>
      </c>
      <c r="N398" s="9">
        <f t="shared" si="32"/>
        <v>0</v>
      </c>
      <c r="O398" s="9">
        <f t="shared" si="33"/>
        <v>0</v>
      </c>
      <c r="P398" s="9">
        <f t="shared" si="34"/>
        <v>0</v>
      </c>
    </row>
    <row r="399" spans="11:16" ht="49" thickTop="1" thickBot="1" x14ac:dyDescent="0.6">
      <c r="K399" s="8">
        <v>392</v>
      </c>
      <c r="L399" s="9">
        <f t="shared" si="30"/>
        <v>0</v>
      </c>
      <c r="M399" s="8">
        <f t="shared" si="31"/>
        <v>0</v>
      </c>
      <c r="N399" s="9">
        <f t="shared" si="32"/>
        <v>0</v>
      </c>
      <c r="O399" s="9">
        <f t="shared" si="33"/>
        <v>0</v>
      </c>
      <c r="P399" s="9">
        <f t="shared" si="34"/>
        <v>0</v>
      </c>
    </row>
    <row r="400" spans="11:16" ht="49" thickTop="1" thickBot="1" x14ac:dyDescent="0.6">
      <c r="K400" s="8">
        <v>393</v>
      </c>
      <c r="L400" s="9">
        <f t="shared" si="30"/>
        <v>0</v>
      </c>
      <c r="M400" s="8">
        <f t="shared" si="31"/>
        <v>0</v>
      </c>
      <c r="N400" s="9">
        <f t="shared" si="32"/>
        <v>0</v>
      </c>
      <c r="O400" s="9">
        <f t="shared" si="33"/>
        <v>0</v>
      </c>
      <c r="P400" s="9">
        <f t="shared" si="34"/>
        <v>0</v>
      </c>
    </row>
    <row r="401" spans="11:16" ht="49" thickTop="1" thickBot="1" x14ac:dyDescent="0.6">
      <c r="K401" s="8">
        <v>394</v>
      </c>
      <c r="L401" s="9">
        <f t="shared" si="30"/>
        <v>0</v>
      </c>
      <c r="M401" s="8">
        <f t="shared" si="31"/>
        <v>0</v>
      </c>
      <c r="N401" s="9">
        <f t="shared" si="32"/>
        <v>0</v>
      </c>
      <c r="O401" s="9">
        <f t="shared" si="33"/>
        <v>0</v>
      </c>
      <c r="P401" s="9">
        <f t="shared" si="34"/>
        <v>0</v>
      </c>
    </row>
    <row r="402" spans="11:16" ht="49" thickTop="1" thickBot="1" x14ac:dyDescent="0.6">
      <c r="K402" s="8">
        <v>395</v>
      </c>
      <c r="L402" s="9">
        <f t="shared" si="30"/>
        <v>0</v>
      </c>
      <c r="M402" s="8">
        <f t="shared" si="31"/>
        <v>0</v>
      </c>
      <c r="N402" s="9">
        <f t="shared" si="32"/>
        <v>0</v>
      </c>
      <c r="O402" s="9">
        <f t="shared" si="33"/>
        <v>0</v>
      </c>
      <c r="P402" s="9">
        <f t="shared" si="34"/>
        <v>0</v>
      </c>
    </row>
    <row r="403" spans="11:16" ht="49" thickTop="1" thickBot="1" x14ac:dyDescent="0.6">
      <c r="K403" s="8">
        <v>396</v>
      </c>
      <c r="L403" s="9">
        <f t="shared" si="30"/>
        <v>0</v>
      </c>
      <c r="M403" s="8">
        <f t="shared" si="31"/>
        <v>0</v>
      </c>
      <c r="N403" s="9">
        <f t="shared" si="32"/>
        <v>0</v>
      </c>
      <c r="O403" s="9">
        <f t="shared" si="33"/>
        <v>0</v>
      </c>
      <c r="P403" s="9">
        <f t="shared" si="34"/>
        <v>0</v>
      </c>
    </row>
    <row r="404" spans="11:16" ht="49" thickTop="1" thickBot="1" x14ac:dyDescent="0.6">
      <c r="K404" s="8">
        <v>397</v>
      </c>
      <c r="L404" s="9">
        <f t="shared" si="30"/>
        <v>0</v>
      </c>
      <c r="M404" s="8">
        <f t="shared" si="31"/>
        <v>0</v>
      </c>
      <c r="N404" s="9">
        <f t="shared" si="32"/>
        <v>0</v>
      </c>
      <c r="O404" s="9">
        <f t="shared" si="33"/>
        <v>0</v>
      </c>
      <c r="P404" s="9">
        <f t="shared" si="34"/>
        <v>0</v>
      </c>
    </row>
    <row r="405" spans="11:16" ht="49" thickTop="1" thickBot="1" x14ac:dyDescent="0.6">
      <c r="K405" s="8">
        <v>398</v>
      </c>
      <c r="L405" s="9">
        <f t="shared" si="30"/>
        <v>0</v>
      </c>
      <c r="M405" s="8">
        <f t="shared" si="31"/>
        <v>0</v>
      </c>
      <c r="N405" s="9">
        <f t="shared" si="32"/>
        <v>0</v>
      </c>
      <c r="O405" s="9">
        <f t="shared" si="33"/>
        <v>0</v>
      </c>
      <c r="P405" s="9">
        <f t="shared" si="34"/>
        <v>0</v>
      </c>
    </row>
    <row r="406" spans="11:16" ht="49" thickTop="1" thickBot="1" x14ac:dyDescent="0.6">
      <c r="K406" s="8">
        <v>399</v>
      </c>
      <c r="L406" s="9">
        <f t="shared" si="30"/>
        <v>0</v>
      </c>
      <c r="M406" s="8">
        <f t="shared" si="31"/>
        <v>0</v>
      </c>
      <c r="N406" s="9">
        <f t="shared" si="32"/>
        <v>0</v>
      </c>
      <c r="O406" s="9">
        <f t="shared" si="33"/>
        <v>0</v>
      </c>
      <c r="P406" s="9">
        <f t="shared" si="34"/>
        <v>0</v>
      </c>
    </row>
    <row r="407" spans="11:16" ht="49" thickTop="1" thickBot="1" x14ac:dyDescent="0.6">
      <c r="K407" s="8">
        <v>400</v>
      </c>
      <c r="L407" s="9">
        <f t="shared" si="30"/>
        <v>0</v>
      </c>
      <c r="M407" s="8">
        <f t="shared" si="31"/>
        <v>0</v>
      </c>
      <c r="N407" s="9">
        <f t="shared" si="32"/>
        <v>0</v>
      </c>
      <c r="O407" s="9">
        <f t="shared" si="33"/>
        <v>0</v>
      </c>
      <c r="P407" s="9">
        <f t="shared" si="34"/>
        <v>0</v>
      </c>
    </row>
    <row r="408" spans="11:16" ht="49" thickTop="1" thickBot="1" x14ac:dyDescent="0.6">
      <c r="K408" s="8">
        <v>401</v>
      </c>
      <c r="L408" s="9">
        <f t="shared" si="30"/>
        <v>0</v>
      </c>
      <c r="M408" s="8">
        <f t="shared" si="31"/>
        <v>0</v>
      </c>
      <c r="N408" s="9">
        <f t="shared" si="32"/>
        <v>0</v>
      </c>
      <c r="O408" s="9">
        <f t="shared" si="33"/>
        <v>0</v>
      </c>
      <c r="P408" s="9">
        <f t="shared" si="34"/>
        <v>0</v>
      </c>
    </row>
    <row r="409" spans="11:16" ht="49" thickTop="1" thickBot="1" x14ac:dyDescent="0.6">
      <c r="K409" s="8">
        <v>402</v>
      </c>
      <c r="L409" s="9">
        <f t="shared" si="30"/>
        <v>0</v>
      </c>
      <c r="M409" s="8">
        <f t="shared" si="31"/>
        <v>0</v>
      </c>
      <c r="N409" s="9">
        <f t="shared" si="32"/>
        <v>0</v>
      </c>
      <c r="O409" s="9">
        <f t="shared" si="33"/>
        <v>0</v>
      </c>
      <c r="P409" s="9">
        <f t="shared" si="34"/>
        <v>0</v>
      </c>
    </row>
    <row r="410" spans="11:16" ht="49" thickTop="1" thickBot="1" x14ac:dyDescent="0.6">
      <c r="K410" s="8">
        <v>403</v>
      </c>
      <c r="L410" s="9">
        <f t="shared" si="30"/>
        <v>0</v>
      </c>
      <c r="M410" s="8">
        <f t="shared" si="31"/>
        <v>0</v>
      </c>
      <c r="N410" s="9">
        <f t="shared" si="32"/>
        <v>0</v>
      </c>
      <c r="O410" s="9">
        <f t="shared" si="33"/>
        <v>0</v>
      </c>
      <c r="P410" s="9">
        <f t="shared" si="34"/>
        <v>0</v>
      </c>
    </row>
    <row r="411" spans="11:16" ht="49" thickTop="1" thickBot="1" x14ac:dyDescent="0.6">
      <c r="K411" s="8">
        <v>404</v>
      </c>
      <c r="L411" s="9">
        <f t="shared" si="30"/>
        <v>0</v>
      </c>
      <c r="M411" s="8">
        <f t="shared" si="31"/>
        <v>0</v>
      </c>
      <c r="N411" s="9">
        <f t="shared" si="32"/>
        <v>0</v>
      </c>
      <c r="O411" s="9">
        <f t="shared" si="33"/>
        <v>0</v>
      </c>
      <c r="P411" s="9">
        <f t="shared" si="34"/>
        <v>0</v>
      </c>
    </row>
    <row r="412" spans="11:16" ht="49" thickTop="1" thickBot="1" x14ac:dyDescent="0.6">
      <c r="K412" s="8">
        <v>405</v>
      </c>
      <c r="L412" s="9">
        <f t="shared" si="30"/>
        <v>0</v>
      </c>
      <c r="M412" s="8">
        <f t="shared" si="31"/>
        <v>0</v>
      </c>
      <c r="N412" s="9">
        <f t="shared" si="32"/>
        <v>0</v>
      </c>
      <c r="O412" s="9">
        <f t="shared" si="33"/>
        <v>0</v>
      </c>
      <c r="P412" s="9">
        <f t="shared" si="34"/>
        <v>0</v>
      </c>
    </row>
    <row r="413" spans="11:16" ht="49" thickTop="1" thickBot="1" x14ac:dyDescent="0.6">
      <c r="K413" s="8">
        <v>406</v>
      </c>
      <c r="L413" s="9">
        <f t="shared" si="30"/>
        <v>0</v>
      </c>
      <c r="M413" s="8">
        <f t="shared" si="31"/>
        <v>0</v>
      </c>
      <c r="N413" s="9">
        <f t="shared" si="32"/>
        <v>0</v>
      </c>
      <c r="O413" s="9">
        <f t="shared" si="33"/>
        <v>0</v>
      </c>
      <c r="P413" s="9">
        <f t="shared" si="34"/>
        <v>0</v>
      </c>
    </row>
    <row r="414" spans="11:16" ht="49" thickTop="1" thickBot="1" x14ac:dyDescent="0.6">
      <c r="K414" s="8">
        <v>407</v>
      </c>
      <c r="L414" s="9">
        <f t="shared" si="30"/>
        <v>0</v>
      </c>
      <c r="M414" s="8">
        <f t="shared" si="31"/>
        <v>0</v>
      </c>
      <c r="N414" s="9">
        <f t="shared" si="32"/>
        <v>0</v>
      </c>
      <c r="O414" s="9">
        <f t="shared" si="33"/>
        <v>0</v>
      </c>
      <c r="P414" s="9">
        <f t="shared" si="34"/>
        <v>0</v>
      </c>
    </row>
    <row r="415" spans="11:16" ht="49" thickTop="1" thickBot="1" x14ac:dyDescent="0.6">
      <c r="K415" s="8">
        <v>408</v>
      </c>
      <c r="L415" s="9">
        <f t="shared" si="30"/>
        <v>0</v>
      </c>
      <c r="M415" s="8">
        <f t="shared" si="31"/>
        <v>0</v>
      </c>
      <c r="N415" s="9">
        <f t="shared" si="32"/>
        <v>0</v>
      </c>
      <c r="O415" s="9">
        <f t="shared" si="33"/>
        <v>0</v>
      </c>
      <c r="P415" s="9">
        <f t="shared" si="34"/>
        <v>0</v>
      </c>
    </row>
    <row r="416" spans="11:16" ht="49" thickTop="1" thickBot="1" x14ac:dyDescent="0.6">
      <c r="K416" s="8">
        <v>409</v>
      </c>
      <c r="L416" s="9">
        <f t="shared" si="30"/>
        <v>0</v>
      </c>
      <c r="M416" s="8">
        <f t="shared" si="31"/>
        <v>0</v>
      </c>
      <c r="N416" s="9">
        <f t="shared" si="32"/>
        <v>0</v>
      </c>
      <c r="O416" s="9">
        <f t="shared" si="33"/>
        <v>0</v>
      </c>
      <c r="P416" s="9">
        <f t="shared" si="34"/>
        <v>0</v>
      </c>
    </row>
    <row r="417" spans="11:16" ht="49" thickTop="1" thickBot="1" x14ac:dyDescent="0.6">
      <c r="K417" s="8">
        <v>410</v>
      </c>
      <c r="L417" s="9">
        <f t="shared" si="30"/>
        <v>0</v>
      </c>
      <c r="M417" s="8">
        <f t="shared" si="31"/>
        <v>0</v>
      </c>
      <c r="N417" s="9">
        <f t="shared" si="32"/>
        <v>0</v>
      </c>
      <c r="O417" s="9">
        <f t="shared" si="33"/>
        <v>0</v>
      </c>
      <c r="P417" s="9">
        <f t="shared" si="34"/>
        <v>0</v>
      </c>
    </row>
    <row r="418" spans="11:16" ht="49" thickTop="1" thickBot="1" x14ac:dyDescent="0.6">
      <c r="K418" s="8">
        <v>411</v>
      </c>
      <c r="L418" s="9">
        <f t="shared" si="30"/>
        <v>0</v>
      </c>
      <c r="M418" s="8">
        <f t="shared" si="31"/>
        <v>0</v>
      </c>
      <c r="N418" s="9">
        <f t="shared" si="32"/>
        <v>0</v>
      </c>
      <c r="O418" s="9">
        <f t="shared" si="33"/>
        <v>0</v>
      </c>
      <c r="P418" s="9">
        <f t="shared" si="34"/>
        <v>0</v>
      </c>
    </row>
    <row r="419" spans="11:16" ht="49" thickTop="1" thickBot="1" x14ac:dyDescent="0.6">
      <c r="K419" s="8">
        <v>412</v>
      </c>
      <c r="L419" s="9">
        <f t="shared" si="30"/>
        <v>0</v>
      </c>
      <c r="M419" s="8">
        <f t="shared" si="31"/>
        <v>0</v>
      </c>
      <c r="N419" s="9">
        <f t="shared" si="32"/>
        <v>0</v>
      </c>
      <c r="O419" s="9">
        <f t="shared" si="33"/>
        <v>0</v>
      </c>
      <c r="P419" s="9">
        <f t="shared" si="34"/>
        <v>0</v>
      </c>
    </row>
    <row r="420" spans="11:16" ht="49" thickTop="1" thickBot="1" x14ac:dyDescent="0.6">
      <c r="K420" s="8">
        <v>413</v>
      </c>
      <c r="L420" s="9">
        <f t="shared" si="30"/>
        <v>0</v>
      </c>
      <c r="M420" s="8">
        <f t="shared" si="31"/>
        <v>0</v>
      </c>
      <c r="N420" s="9">
        <f t="shared" si="32"/>
        <v>0</v>
      </c>
      <c r="O420" s="9">
        <f t="shared" si="33"/>
        <v>0</v>
      </c>
      <c r="P420" s="9">
        <f t="shared" si="34"/>
        <v>0</v>
      </c>
    </row>
    <row r="421" spans="11:16" ht="49" thickTop="1" thickBot="1" x14ac:dyDescent="0.6">
      <c r="K421" s="8">
        <v>414</v>
      </c>
      <c r="L421" s="9">
        <f t="shared" si="30"/>
        <v>0</v>
      </c>
      <c r="M421" s="8">
        <f t="shared" si="31"/>
        <v>0</v>
      </c>
      <c r="N421" s="9">
        <f t="shared" si="32"/>
        <v>0</v>
      </c>
      <c r="O421" s="9">
        <f t="shared" si="33"/>
        <v>0</v>
      </c>
      <c r="P421" s="9">
        <f t="shared" si="34"/>
        <v>0</v>
      </c>
    </row>
    <row r="422" spans="11:16" ht="49" thickTop="1" thickBot="1" x14ac:dyDescent="0.6">
      <c r="K422" s="8">
        <v>415</v>
      </c>
      <c r="L422" s="9">
        <f t="shared" si="30"/>
        <v>0</v>
      </c>
      <c r="M422" s="8">
        <f t="shared" si="31"/>
        <v>0</v>
      </c>
      <c r="N422" s="9">
        <f t="shared" si="32"/>
        <v>0</v>
      </c>
      <c r="O422" s="9">
        <f t="shared" si="33"/>
        <v>0</v>
      </c>
      <c r="P422" s="9">
        <f t="shared" si="34"/>
        <v>0</v>
      </c>
    </row>
    <row r="423" spans="11:16" ht="49" thickTop="1" thickBot="1" x14ac:dyDescent="0.6">
      <c r="K423" s="8">
        <v>416</v>
      </c>
      <c r="L423" s="9">
        <f t="shared" si="30"/>
        <v>0</v>
      </c>
      <c r="M423" s="8">
        <f t="shared" si="31"/>
        <v>0</v>
      </c>
      <c r="N423" s="9">
        <f t="shared" si="32"/>
        <v>0</v>
      </c>
      <c r="O423" s="9">
        <f t="shared" si="33"/>
        <v>0</v>
      </c>
      <c r="P423" s="9">
        <f t="shared" si="34"/>
        <v>0</v>
      </c>
    </row>
    <row r="424" spans="11:16" ht="49" thickTop="1" thickBot="1" x14ac:dyDescent="0.6">
      <c r="K424" s="8">
        <v>417</v>
      </c>
      <c r="L424" s="9">
        <f t="shared" si="30"/>
        <v>0</v>
      </c>
      <c r="M424" s="8">
        <f t="shared" si="31"/>
        <v>0</v>
      </c>
      <c r="N424" s="9">
        <f t="shared" si="32"/>
        <v>0</v>
      </c>
      <c r="O424" s="9">
        <f t="shared" si="33"/>
        <v>0</v>
      </c>
      <c r="P424" s="9">
        <f t="shared" si="34"/>
        <v>0</v>
      </c>
    </row>
    <row r="425" spans="11:16" ht="49" thickTop="1" thickBot="1" x14ac:dyDescent="0.6">
      <c r="K425" s="8">
        <v>418</v>
      </c>
      <c r="L425" s="9">
        <f t="shared" si="30"/>
        <v>0</v>
      </c>
      <c r="M425" s="8">
        <f t="shared" si="31"/>
        <v>0</v>
      </c>
      <c r="N425" s="9">
        <f t="shared" si="32"/>
        <v>0</v>
      </c>
      <c r="O425" s="9">
        <f t="shared" si="33"/>
        <v>0</v>
      </c>
      <c r="P425" s="9">
        <f t="shared" si="34"/>
        <v>0</v>
      </c>
    </row>
    <row r="426" spans="11:16" ht="49" thickTop="1" thickBot="1" x14ac:dyDescent="0.6">
      <c r="K426" s="8">
        <v>419</v>
      </c>
      <c r="L426" s="9">
        <f t="shared" si="30"/>
        <v>0</v>
      </c>
      <c r="M426" s="8">
        <f t="shared" si="31"/>
        <v>0</v>
      </c>
      <c r="N426" s="9">
        <f t="shared" si="32"/>
        <v>0</v>
      </c>
      <c r="O426" s="9">
        <f t="shared" si="33"/>
        <v>0</v>
      </c>
      <c r="P426" s="9">
        <f t="shared" si="34"/>
        <v>0</v>
      </c>
    </row>
    <row r="427" spans="11:16" ht="49" thickTop="1" thickBot="1" x14ac:dyDescent="0.6">
      <c r="K427" s="8">
        <v>420</v>
      </c>
      <c r="L427" s="9">
        <f t="shared" si="30"/>
        <v>0</v>
      </c>
      <c r="M427" s="8">
        <f t="shared" si="31"/>
        <v>0</v>
      </c>
      <c r="N427" s="9">
        <f t="shared" si="32"/>
        <v>0</v>
      </c>
      <c r="O427" s="9">
        <f t="shared" si="33"/>
        <v>0</v>
      </c>
      <c r="P427" s="9">
        <f t="shared" si="34"/>
        <v>0</v>
      </c>
    </row>
    <row r="428" spans="11:16" ht="49" thickTop="1" thickBot="1" x14ac:dyDescent="0.6">
      <c r="K428" s="8">
        <v>421</v>
      </c>
      <c r="L428" s="9">
        <f t="shared" si="30"/>
        <v>0</v>
      </c>
      <c r="M428" s="8">
        <f t="shared" si="31"/>
        <v>0</v>
      </c>
      <c r="N428" s="9">
        <f t="shared" si="32"/>
        <v>0</v>
      </c>
      <c r="O428" s="9">
        <f t="shared" si="33"/>
        <v>0</v>
      </c>
      <c r="P428" s="9">
        <f t="shared" si="34"/>
        <v>0</v>
      </c>
    </row>
    <row r="429" spans="11:16" ht="49" thickTop="1" thickBot="1" x14ac:dyDescent="0.6">
      <c r="K429" s="8">
        <v>422</v>
      </c>
      <c r="L429" s="9">
        <f t="shared" si="30"/>
        <v>0</v>
      </c>
      <c r="M429" s="8">
        <f t="shared" si="31"/>
        <v>0</v>
      </c>
      <c r="N429" s="9">
        <f t="shared" si="32"/>
        <v>0</v>
      </c>
      <c r="O429" s="9">
        <f t="shared" si="33"/>
        <v>0</v>
      </c>
      <c r="P429" s="9">
        <f t="shared" si="34"/>
        <v>0</v>
      </c>
    </row>
    <row r="430" spans="11:16" ht="49" thickTop="1" thickBot="1" x14ac:dyDescent="0.6">
      <c r="K430" s="8">
        <v>423</v>
      </c>
      <c r="L430" s="9">
        <f t="shared" si="30"/>
        <v>0</v>
      </c>
      <c r="M430" s="8">
        <f t="shared" si="31"/>
        <v>0</v>
      </c>
      <c r="N430" s="9">
        <f t="shared" si="32"/>
        <v>0</v>
      </c>
      <c r="O430" s="9">
        <f t="shared" si="33"/>
        <v>0</v>
      </c>
      <c r="P430" s="9">
        <f t="shared" si="34"/>
        <v>0</v>
      </c>
    </row>
    <row r="431" spans="11:16" ht="49" thickTop="1" thickBot="1" x14ac:dyDescent="0.6">
      <c r="K431" s="8">
        <v>424</v>
      </c>
      <c r="L431" s="9">
        <f t="shared" si="30"/>
        <v>0</v>
      </c>
      <c r="M431" s="8">
        <f t="shared" si="31"/>
        <v>0</v>
      </c>
      <c r="N431" s="9">
        <f t="shared" si="32"/>
        <v>0</v>
      </c>
      <c r="O431" s="9">
        <f t="shared" si="33"/>
        <v>0</v>
      </c>
      <c r="P431" s="9">
        <f t="shared" si="34"/>
        <v>0</v>
      </c>
    </row>
    <row r="432" spans="11:16" ht="49" thickTop="1" thickBot="1" x14ac:dyDescent="0.6">
      <c r="K432" s="8">
        <v>425</v>
      </c>
      <c r="L432" s="9">
        <f t="shared" si="30"/>
        <v>0</v>
      </c>
      <c r="M432" s="8">
        <f t="shared" si="31"/>
        <v>0</v>
      </c>
      <c r="N432" s="9">
        <f t="shared" si="32"/>
        <v>0</v>
      </c>
      <c r="O432" s="9">
        <f t="shared" si="33"/>
        <v>0</v>
      </c>
      <c r="P432" s="9">
        <f t="shared" si="34"/>
        <v>0</v>
      </c>
    </row>
    <row r="433" spans="11:16" ht="49" thickTop="1" thickBot="1" x14ac:dyDescent="0.6">
      <c r="K433" s="8">
        <v>426</v>
      </c>
      <c r="L433" s="9">
        <f t="shared" si="30"/>
        <v>0</v>
      </c>
      <c r="M433" s="8">
        <f t="shared" si="31"/>
        <v>0</v>
      </c>
      <c r="N433" s="9">
        <f t="shared" si="32"/>
        <v>0</v>
      </c>
      <c r="O433" s="9">
        <f t="shared" si="33"/>
        <v>0</v>
      </c>
      <c r="P433" s="9">
        <f t="shared" si="34"/>
        <v>0</v>
      </c>
    </row>
    <row r="434" spans="11:16" ht="49" thickTop="1" thickBot="1" x14ac:dyDescent="0.6">
      <c r="K434" s="8">
        <v>427</v>
      </c>
      <c r="L434" s="9">
        <f t="shared" si="30"/>
        <v>0</v>
      </c>
      <c r="M434" s="8">
        <f t="shared" si="31"/>
        <v>0</v>
      </c>
      <c r="N434" s="9">
        <f t="shared" si="32"/>
        <v>0</v>
      </c>
      <c r="O434" s="9">
        <f t="shared" si="33"/>
        <v>0</v>
      </c>
      <c r="P434" s="9">
        <f t="shared" si="34"/>
        <v>0</v>
      </c>
    </row>
    <row r="435" spans="11:16" ht="49" thickTop="1" thickBot="1" x14ac:dyDescent="0.6">
      <c r="K435" s="8">
        <v>428</v>
      </c>
      <c r="L435" s="9">
        <f t="shared" si="30"/>
        <v>0</v>
      </c>
      <c r="M435" s="8">
        <f t="shared" si="31"/>
        <v>0</v>
      </c>
      <c r="N435" s="9">
        <f t="shared" si="32"/>
        <v>0</v>
      </c>
      <c r="O435" s="9">
        <f t="shared" si="33"/>
        <v>0</v>
      </c>
      <c r="P435" s="9">
        <f t="shared" si="34"/>
        <v>0</v>
      </c>
    </row>
    <row r="436" spans="11:16" ht="49" thickTop="1" thickBot="1" x14ac:dyDescent="0.6">
      <c r="K436" s="8">
        <v>429</v>
      </c>
      <c r="L436" s="9">
        <f t="shared" si="30"/>
        <v>0</v>
      </c>
      <c r="M436" s="8">
        <f t="shared" si="31"/>
        <v>0</v>
      </c>
      <c r="N436" s="9">
        <f t="shared" si="32"/>
        <v>0</v>
      </c>
      <c r="O436" s="9">
        <f t="shared" si="33"/>
        <v>0</v>
      </c>
      <c r="P436" s="9">
        <f t="shared" si="34"/>
        <v>0</v>
      </c>
    </row>
    <row r="437" spans="11:16" ht="49" thickTop="1" thickBot="1" x14ac:dyDescent="0.6">
      <c r="K437" s="8">
        <v>430</v>
      </c>
      <c r="L437" s="9">
        <f t="shared" si="30"/>
        <v>0</v>
      </c>
      <c r="M437" s="8">
        <f t="shared" si="31"/>
        <v>0</v>
      </c>
      <c r="N437" s="9">
        <f t="shared" si="32"/>
        <v>0</v>
      </c>
      <c r="O437" s="9">
        <f t="shared" si="33"/>
        <v>0</v>
      </c>
      <c r="P437" s="9">
        <f t="shared" si="34"/>
        <v>0</v>
      </c>
    </row>
    <row r="438" spans="11:16" ht="49" thickTop="1" thickBot="1" x14ac:dyDescent="0.6">
      <c r="K438" s="8">
        <v>431</v>
      </c>
      <c r="L438" s="9">
        <f t="shared" si="30"/>
        <v>0</v>
      </c>
      <c r="M438" s="8">
        <f t="shared" si="31"/>
        <v>0</v>
      </c>
      <c r="N438" s="9">
        <f t="shared" si="32"/>
        <v>0</v>
      </c>
      <c r="O438" s="9">
        <f t="shared" si="33"/>
        <v>0</v>
      </c>
      <c r="P438" s="9">
        <f t="shared" si="34"/>
        <v>0</v>
      </c>
    </row>
    <row r="439" spans="11:16" ht="49" thickTop="1" thickBot="1" x14ac:dyDescent="0.6">
      <c r="K439" s="8">
        <v>432</v>
      </c>
      <c r="L439" s="9">
        <f t="shared" si="30"/>
        <v>0</v>
      </c>
      <c r="M439" s="8">
        <f t="shared" si="31"/>
        <v>0</v>
      </c>
      <c r="N439" s="9">
        <f t="shared" si="32"/>
        <v>0</v>
      </c>
      <c r="O439" s="9">
        <f t="shared" si="33"/>
        <v>0</v>
      </c>
      <c r="P439" s="9">
        <f t="shared" si="34"/>
        <v>0</v>
      </c>
    </row>
    <row r="440" spans="11:16" ht="49" thickTop="1" thickBot="1" x14ac:dyDescent="0.6">
      <c r="K440" s="8">
        <v>433</v>
      </c>
      <c r="L440" s="9">
        <f t="shared" si="30"/>
        <v>0</v>
      </c>
      <c r="M440" s="8">
        <f t="shared" si="31"/>
        <v>0</v>
      </c>
      <c r="N440" s="9">
        <f t="shared" si="32"/>
        <v>0</v>
      </c>
      <c r="O440" s="9">
        <f t="shared" si="33"/>
        <v>0</v>
      </c>
      <c r="P440" s="9">
        <f t="shared" si="34"/>
        <v>0</v>
      </c>
    </row>
    <row r="441" spans="11:16" ht="49" thickTop="1" thickBot="1" x14ac:dyDescent="0.6">
      <c r="K441" s="8">
        <v>434</v>
      </c>
      <c r="L441" s="9">
        <f t="shared" si="30"/>
        <v>0</v>
      </c>
      <c r="M441" s="8">
        <f t="shared" si="31"/>
        <v>0</v>
      </c>
      <c r="N441" s="9">
        <f t="shared" si="32"/>
        <v>0</v>
      </c>
      <c r="O441" s="9">
        <f t="shared" si="33"/>
        <v>0</v>
      </c>
      <c r="P441" s="9">
        <f t="shared" si="34"/>
        <v>0</v>
      </c>
    </row>
    <row r="442" spans="11:16" ht="49" thickTop="1" thickBot="1" x14ac:dyDescent="0.6">
      <c r="K442" s="8">
        <v>435</v>
      </c>
      <c r="L442" s="9">
        <f t="shared" si="30"/>
        <v>0</v>
      </c>
      <c r="M442" s="8">
        <f t="shared" si="31"/>
        <v>0</v>
      </c>
      <c r="N442" s="9">
        <f t="shared" si="32"/>
        <v>0</v>
      </c>
      <c r="O442" s="9">
        <f t="shared" si="33"/>
        <v>0</v>
      </c>
      <c r="P442" s="9">
        <f t="shared" si="34"/>
        <v>0</v>
      </c>
    </row>
    <row r="443" spans="11:16" ht="49" thickTop="1" thickBot="1" x14ac:dyDescent="0.6">
      <c r="K443" s="8">
        <v>436</v>
      </c>
      <c r="L443" s="9">
        <f t="shared" si="30"/>
        <v>0</v>
      </c>
      <c r="M443" s="8">
        <f t="shared" si="31"/>
        <v>0</v>
      </c>
      <c r="N443" s="9">
        <f t="shared" si="32"/>
        <v>0</v>
      </c>
      <c r="O443" s="9">
        <f t="shared" si="33"/>
        <v>0</v>
      </c>
      <c r="P443" s="9">
        <f t="shared" si="34"/>
        <v>0</v>
      </c>
    </row>
    <row r="444" spans="11:16" ht="49" thickTop="1" thickBot="1" x14ac:dyDescent="0.6">
      <c r="K444" s="8">
        <v>437</v>
      </c>
      <c r="L444" s="9">
        <f t="shared" si="30"/>
        <v>0</v>
      </c>
      <c r="M444" s="8">
        <f t="shared" si="31"/>
        <v>0</v>
      </c>
      <c r="N444" s="9">
        <f t="shared" si="32"/>
        <v>0</v>
      </c>
      <c r="O444" s="9">
        <f t="shared" si="33"/>
        <v>0</v>
      </c>
      <c r="P444" s="9">
        <f t="shared" si="34"/>
        <v>0</v>
      </c>
    </row>
    <row r="445" spans="11:16" ht="49" thickTop="1" thickBot="1" x14ac:dyDescent="0.6">
      <c r="K445" s="8">
        <v>438</v>
      </c>
      <c r="L445" s="9">
        <f t="shared" si="30"/>
        <v>0</v>
      </c>
      <c r="M445" s="8">
        <f t="shared" si="31"/>
        <v>0</v>
      </c>
      <c r="N445" s="9">
        <f t="shared" si="32"/>
        <v>0</v>
      </c>
      <c r="O445" s="9">
        <f t="shared" si="33"/>
        <v>0</v>
      </c>
      <c r="P445" s="9">
        <f t="shared" si="34"/>
        <v>0</v>
      </c>
    </row>
    <row r="446" spans="11:16" ht="49" thickTop="1" thickBot="1" x14ac:dyDescent="0.6">
      <c r="K446" s="8">
        <v>439</v>
      </c>
      <c r="L446" s="9">
        <f t="shared" si="30"/>
        <v>0</v>
      </c>
      <c r="M446" s="8">
        <f t="shared" si="31"/>
        <v>0</v>
      </c>
      <c r="N446" s="9">
        <f t="shared" si="32"/>
        <v>0</v>
      </c>
      <c r="O446" s="9">
        <f t="shared" si="33"/>
        <v>0</v>
      </c>
      <c r="P446" s="9">
        <f t="shared" si="34"/>
        <v>0</v>
      </c>
    </row>
    <row r="447" spans="11:16" ht="49" thickTop="1" thickBot="1" x14ac:dyDescent="0.6">
      <c r="K447" s="8">
        <v>440</v>
      </c>
      <c r="L447" s="9">
        <f t="shared" si="30"/>
        <v>0</v>
      </c>
      <c r="M447" s="8">
        <f t="shared" si="31"/>
        <v>0</v>
      </c>
      <c r="N447" s="9">
        <f t="shared" si="32"/>
        <v>0</v>
      </c>
      <c r="O447" s="9">
        <f t="shared" si="33"/>
        <v>0</v>
      </c>
      <c r="P447" s="9">
        <f t="shared" si="34"/>
        <v>0</v>
      </c>
    </row>
    <row r="448" spans="11:16" ht="49" thickTop="1" thickBot="1" x14ac:dyDescent="0.6">
      <c r="K448" s="8">
        <v>441</v>
      </c>
      <c r="L448" s="9">
        <f t="shared" si="30"/>
        <v>0</v>
      </c>
      <c r="M448" s="8">
        <f t="shared" si="31"/>
        <v>0</v>
      </c>
      <c r="N448" s="9">
        <f t="shared" si="32"/>
        <v>0</v>
      </c>
      <c r="O448" s="9">
        <f t="shared" si="33"/>
        <v>0</v>
      </c>
      <c r="P448" s="9">
        <f t="shared" si="34"/>
        <v>0</v>
      </c>
    </row>
    <row r="449" spans="11:16" ht="49" thickTop="1" thickBot="1" x14ac:dyDescent="0.6">
      <c r="K449" s="8">
        <v>442</v>
      </c>
      <c r="L449" s="9">
        <f t="shared" si="30"/>
        <v>0</v>
      </c>
      <c r="M449" s="8">
        <f t="shared" si="31"/>
        <v>0</v>
      </c>
      <c r="N449" s="9">
        <f t="shared" si="32"/>
        <v>0</v>
      </c>
      <c r="O449" s="9">
        <f t="shared" si="33"/>
        <v>0</v>
      </c>
      <c r="P449" s="9">
        <f t="shared" si="34"/>
        <v>0</v>
      </c>
    </row>
    <row r="450" spans="11:16" ht="49" thickTop="1" thickBot="1" x14ac:dyDescent="0.6">
      <c r="K450" s="8">
        <v>443</v>
      </c>
      <c r="L450" s="9">
        <f t="shared" si="30"/>
        <v>0</v>
      </c>
      <c r="M450" s="8">
        <f t="shared" si="31"/>
        <v>0</v>
      </c>
      <c r="N450" s="9">
        <f t="shared" si="32"/>
        <v>0</v>
      </c>
      <c r="O450" s="9">
        <f t="shared" si="33"/>
        <v>0</v>
      </c>
      <c r="P450" s="9">
        <f t="shared" si="34"/>
        <v>0</v>
      </c>
    </row>
    <row r="451" spans="11:16" ht="49" thickTop="1" thickBot="1" x14ac:dyDescent="0.6">
      <c r="K451" s="8">
        <v>444</v>
      </c>
      <c r="L451" s="9">
        <f t="shared" si="30"/>
        <v>0</v>
      </c>
      <c r="M451" s="8">
        <f t="shared" si="31"/>
        <v>0</v>
      </c>
      <c r="N451" s="9">
        <f t="shared" si="32"/>
        <v>0</v>
      </c>
      <c r="O451" s="9">
        <f t="shared" si="33"/>
        <v>0</v>
      </c>
      <c r="P451" s="9">
        <f t="shared" si="34"/>
        <v>0</v>
      </c>
    </row>
    <row r="452" spans="11:16" ht="49" thickTop="1" thickBot="1" x14ac:dyDescent="0.6">
      <c r="K452" s="8">
        <v>445</v>
      </c>
      <c r="L452" s="9">
        <f t="shared" si="30"/>
        <v>0</v>
      </c>
      <c r="M452" s="8">
        <f t="shared" si="31"/>
        <v>0</v>
      </c>
      <c r="N452" s="9">
        <f t="shared" si="32"/>
        <v>0</v>
      </c>
      <c r="O452" s="9">
        <f t="shared" si="33"/>
        <v>0</v>
      </c>
      <c r="P452" s="9">
        <f t="shared" si="34"/>
        <v>0</v>
      </c>
    </row>
    <row r="453" spans="11:16" ht="49" thickTop="1" thickBot="1" x14ac:dyDescent="0.6">
      <c r="K453" s="8">
        <v>446</v>
      </c>
      <c r="L453" s="9">
        <f t="shared" si="30"/>
        <v>0</v>
      </c>
      <c r="M453" s="8">
        <f t="shared" si="31"/>
        <v>0</v>
      </c>
      <c r="N453" s="9">
        <f t="shared" si="32"/>
        <v>0</v>
      </c>
      <c r="O453" s="9">
        <f t="shared" si="33"/>
        <v>0</v>
      </c>
      <c r="P453" s="9">
        <f t="shared" si="34"/>
        <v>0</v>
      </c>
    </row>
    <row r="454" spans="11:16" ht="49" thickTop="1" thickBot="1" x14ac:dyDescent="0.6">
      <c r="K454" s="8">
        <v>447</v>
      </c>
      <c r="L454" s="9">
        <f t="shared" si="30"/>
        <v>0</v>
      </c>
      <c r="M454" s="8">
        <f t="shared" si="31"/>
        <v>0</v>
      </c>
      <c r="N454" s="9">
        <f t="shared" si="32"/>
        <v>0</v>
      </c>
      <c r="O454" s="9">
        <f t="shared" si="33"/>
        <v>0</v>
      </c>
      <c r="P454" s="9">
        <f t="shared" si="34"/>
        <v>0</v>
      </c>
    </row>
    <row r="455" spans="11:16" ht="49" thickTop="1" thickBot="1" x14ac:dyDescent="0.6">
      <c r="K455" s="8">
        <v>448</v>
      </c>
      <c r="L455" s="9">
        <f t="shared" si="30"/>
        <v>0</v>
      </c>
      <c r="M455" s="8">
        <f t="shared" si="31"/>
        <v>0</v>
      </c>
      <c r="N455" s="9">
        <f t="shared" si="32"/>
        <v>0</v>
      </c>
      <c r="O455" s="9">
        <f t="shared" si="33"/>
        <v>0</v>
      </c>
      <c r="P455" s="9">
        <f t="shared" si="34"/>
        <v>0</v>
      </c>
    </row>
    <row r="456" spans="11:16" ht="49" thickTop="1" thickBot="1" x14ac:dyDescent="0.6">
      <c r="K456" s="8">
        <v>449</v>
      </c>
      <c r="L456" s="9">
        <f t="shared" si="30"/>
        <v>0</v>
      </c>
      <c r="M456" s="8">
        <f t="shared" si="31"/>
        <v>0</v>
      </c>
      <c r="N456" s="9">
        <f t="shared" si="32"/>
        <v>0</v>
      </c>
      <c r="O456" s="9">
        <f t="shared" si="33"/>
        <v>0</v>
      </c>
      <c r="P456" s="9">
        <f t="shared" si="34"/>
        <v>0</v>
      </c>
    </row>
    <row r="457" spans="11:16" ht="49" thickTop="1" thickBot="1" x14ac:dyDescent="0.6">
      <c r="K457" s="8">
        <v>450</v>
      </c>
      <c r="L457" s="9">
        <f t="shared" si="30"/>
        <v>0</v>
      </c>
      <c r="M457" s="8">
        <f t="shared" si="31"/>
        <v>0</v>
      </c>
      <c r="N457" s="9">
        <f t="shared" si="32"/>
        <v>0</v>
      </c>
      <c r="O457" s="9">
        <f t="shared" si="33"/>
        <v>0</v>
      </c>
      <c r="P457" s="9">
        <f t="shared" si="34"/>
        <v>0</v>
      </c>
    </row>
    <row r="458" spans="11:16" ht="49" thickTop="1" thickBot="1" x14ac:dyDescent="0.6">
      <c r="K458" s="8">
        <v>451</v>
      </c>
      <c r="L458" s="9">
        <f t="shared" ref="L458:L521" si="35">P457</f>
        <v>0</v>
      </c>
      <c r="M458" s="8">
        <f t="shared" ref="M458:M521" si="36">M457</f>
        <v>0</v>
      </c>
      <c r="N458" s="9">
        <f t="shared" ref="N458:N521" si="37">L458+M458</f>
        <v>0</v>
      </c>
      <c r="O458" s="9">
        <f t="shared" ref="O458:O521" si="38">N458*NOMINAL($O$6,12)/12</f>
        <v>0</v>
      </c>
      <c r="P458" s="9">
        <f t="shared" ref="P458:P521" si="39">N458+O458</f>
        <v>0</v>
      </c>
    </row>
    <row r="459" spans="11:16" ht="49" thickTop="1" thickBot="1" x14ac:dyDescent="0.6">
      <c r="K459" s="8">
        <v>452</v>
      </c>
      <c r="L459" s="9">
        <f t="shared" si="35"/>
        <v>0</v>
      </c>
      <c r="M459" s="8">
        <f t="shared" si="36"/>
        <v>0</v>
      </c>
      <c r="N459" s="9">
        <f t="shared" si="37"/>
        <v>0</v>
      </c>
      <c r="O459" s="9">
        <f t="shared" si="38"/>
        <v>0</v>
      </c>
      <c r="P459" s="9">
        <f t="shared" si="39"/>
        <v>0</v>
      </c>
    </row>
    <row r="460" spans="11:16" ht="49" thickTop="1" thickBot="1" x14ac:dyDescent="0.6">
      <c r="K460" s="8">
        <v>453</v>
      </c>
      <c r="L460" s="9">
        <f t="shared" si="35"/>
        <v>0</v>
      </c>
      <c r="M460" s="8">
        <f t="shared" si="36"/>
        <v>0</v>
      </c>
      <c r="N460" s="9">
        <f t="shared" si="37"/>
        <v>0</v>
      </c>
      <c r="O460" s="9">
        <f t="shared" si="38"/>
        <v>0</v>
      </c>
      <c r="P460" s="9">
        <f t="shared" si="39"/>
        <v>0</v>
      </c>
    </row>
    <row r="461" spans="11:16" ht="49" thickTop="1" thickBot="1" x14ac:dyDescent="0.6">
      <c r="K461" s="8">
        <v>454</v>
      </c>
      <c r="L461" s="9">
        <f t="shared" si="35"/>
        <v>0</v>
      </c>
      <c r="M461" s="8">
        <f t="shared" si="36"/>
        <v>0</v>
      </c>
      <c r="N461" s="9">
        <f t="shared" si="37"/>
        <v>0</v>
      </c>
      <c r="O461" s="9">
        <f t="shared" si="38"/>
        <v>0</v>
      </c>
      <c r="P461" s="9">
        <f t="shared" si="39"/>
        <v>0</v>
      </c>
    </row>
    <row r="462" spans="11:16" ht="49" thickTop="1" thickBot="1" x14ac:dyDescent="0.6">
      <c r="K462" s="8">
        <v>455</v>
      </c>
      <c r="L462" s="9">
        <f t="shared" si="35"/>
        <v>0</v>
      </c>
      <c r="M462" s="8">
        <f t="shared" si="36"/>
        <v>0</v>
      </c>
      <c r="N462" s="9">
        <f t="shared" si="37"/>
        <v>0</v>
      </c>
      <c r="O462" s="9">
        <f t="shared" si="38"/>
        <v>0</v>
      </c>
      <c r="P462" s="9">
        <f t="shared" si="39"/>
        <v>0</v>
      </c>
    </row>
    <row r="463" spans="11:16" ht="49" thickTop="1" thickBot="1" x14ac:dyDescent="0.6">
      <c r="K463" s="8">
        <v>456</v>
      </c>
      <c r="L463" s="9">
        <f t="shared" si="35"/>
        <v>0</v>
      </c>
      <c r="M463" s="8">
        <f t="shared" si="36"/>
        <v>0</v>
      </c>
      <c r="N463" s="9">
        <f t="shared" si="37"/>
        <v>0</v>
      </c>
      <c r="O463" s="9">
        <f t="shared" si="38"/>
        <v>0</v>
      </c>
      <c r="P463" s="9">
        <f t="shared" si="39"/>
        <v>0</v>
      </c>
    </row>
    <row r="464" spans="11:16" ht="49" thickTop="1" thickBot="1" x14ac:dyDescent="0.6">
      <c r="K464" s="8">
        <v>457</v>
      </c>
      <c r="L464" s="9">
        <f t="shared" si="35"/>
        <v>0</v>
      </c>
      <c r="M464" s="8">
        <f t="shared" si="36"/>
        <v>0</v>
      </c>
      <c r="N464" s="9">
        <f t="shared" si="37"/>
        <v>0</v>
      </c>
      <c r="O464" s="9">
        <f t="shared" si="38"/>
        <v>0</v>
      </c>
      <c r="P464" s="9">
        <f t="shared" si="39"/>
        <v>0</v>
      </c>
    </row>
    <row r="465" spans="11:16" ht="49" thickTop="1" thickBot="1" x14ac:dyDescent="0.6">
      <c r="K465" s="8">
        <v>458</v>
      </c>
      <c r="L465" s="9">
        <f t="shared" si="35"/>
        <v>0</v>
      </c>
      <c r="M465" s="8">
        <f t="shared" si="36"/>
        <v>0</v>
      </c>
      <c r="N465" s="9">
        <f t="shared" si="37"/>
        <v>0</v>
      </c>
      <c r="O465" s="9">
        <f t="shared" si="38"/>
        <v>0</v>
      </c>
      <c r="P465" s="9">
        <f t="shared" si="39"/>
        <v>0</v>
      </c>
    </row>
    <row r="466" spans="11:16" ht="49" thickTop="1" thickBot="1" x14ac:dyDescent="0.6">
      <c r="K466" s="8">
        <v>459</v>
      </c>
      <c r="L466" s="9">
        <f t="shared" si="35"/>
        <v>0</v>
      </c>
      <c r="M466" s="8">
        <f t="shared" si="36"/>
        <v>0</v>
      </c>
      <c r="N466" s="9">
        <f t="shared" si="37"/>
        <v>0</v>
      </c>
      <c r="O466" s="9">
        <f t="shared" si="38"/>
        <v>0</v>
      </c>
      <c r="P466" s="9">
        <f t="shared" si="39"/>
        <v>0</v>
      </c>
    </row>
    <row r="467" spans="11:16" ht="49" thickTop="1" thickBot="1" x14ac:dyDescent="0.6">
      <c r="K467" s="8">
        <v>460</v>
      </c>
      <c r="L467" s="9">
        <f t="shared" si="35"/>
        <v>0</v>
      </c>
      <c r="M467" s="8">
        <f t="shared" si="36"/>
        <v>0</v>
      </c>
      <c r="N467" s="9">
        <f t="shared" si="37"/>
        <v>0</v>
      </c>
      <c r="O467" s="9">
        <f t="shared" si="38"/>
        <v>0</v>
      </c>
      <c r="P467" s="9">
        <f t="shared" si="39"/>
        <v>0</v>
      </c>
    </row>
    <row r="468" spans="11:16" ht="49" thickTop="1" thickBot="1" x14ac:dyDescent="0.6">
      <c r="K468" s="8">
        <v>461</v>
      </c>
      <c r="L468" s="9">
        <f t="shared" si="35"/>
        <v>0</v>
      </c>
      <c r="M468" s="8">
        <f t="shared" si="36"/>
        <v>0</v>
      </c>
      <c r="N468" s="9">
        <f t="shared" si="37"/>
        <v>0</v>
      </c>
      <c r="O468" s="9">
        <f t="shared" si="38"/>
        <v>0</v>
      </c>
      <c r="P468" s="9">
        <f t="shared" si="39"/>
        <v>0</v>
      </c>
    </row>
    <row r="469" spans="11:16" ht="49" thickTop="1" thickBot="1" x14ac:dyDescent="0.6">
      <c r="K469" s="8">
        <v>462</v>
      </c>
      <c r="L469" s="9">
        <f t="shared" si="35"/>
        <v>0</v>
      </c>
      <c r="M469" s="8">
        <f t="shared" si="36"/>
        <v>0</v>
      </c>
      <c r="N469" s="9">
        <f t="shared" si="37"/>
        <v>0</v>
      </c>
      <c r="O469" s="9">
        <f t="shared" si="38"/>
        <v>0</v>
      </c>
      <c r="P469" s="9">
        <f t="shared" si="39"/>
        <v>0</v>
      </c>
    </row>
    <row r="470" spans="11:16" ht="49" thickTop="1" thickBot="1" x14ac:dyDescent="0.6">
      <c r="K470" s="8">
        <v>463</v>
      </c>
      <c r="L470" s="9">
        <f t="shared" si="35"/>
        <v>0</v>
      </c>
      <c r="M470" s="8">
        <f t="shared" si="36"/>
        <v>0</v>
      </c>
      <c r="N470" s="9">
        <f t="shared" si="37"/>
        <v>0</v>
      </c>
      <c r="O470" s="9">
        <f t="shared" si="38"/>
        <v>0</v>
      </c>
      <c r="P470" s="9">
        <f t="shared" si="39"/>
        <v>0</v>
      </c>
    </row>
    <row r="471" spans="11:16" ht="49" thickTop="1" thickBot="1" x14ac:dyDescent="0.6">
      <c r="K471" s="8">
        <v>464</v>
      </c>
      <c r="L471" s="9">
        <f t="shared" si="35"/>
        <v>0</v>
      </c>
      <c r="M471" s="8">
        <f t="shared" si="36"/>
        <v>0</v>
      </c>
      <c r="N471" s="9">
        <f t="shared" si="37"/>
        <v>0</v>
      </c>
      <c r="O471" s="9">
        <f t="shared" si="38"/>
        <v>0</v>
      </c>
      <c r="P471" s="9">
        <f t="shared" si="39"/>
        <v>0</v>
      </c>
    </row>
    <row r="472" spans="11:16" ht="49" thickTop="1" thickBot="1" x14ac:dyDescent="0.6">
      <c r="K472" s="8">
        <v>465</v>
      </c>
      <c r="L472" s="9">
        <f t="shared" si="35"/>
        <v>0</v>
      </c>
      <c r="M472" s="8">
        <f t="shared" si="36"/>
        <v>0</v>
      </c>
      <c r="N472" s="9">
        <f t="shared" si="37"/>
        <v>0</v>
      </c>
      <c r="O472" s="9">
        <f t="shared" si="38"/>
        <v>0</v>
      </c>
      <c r="P472" s="9">
        <f t="shared" si="39"/>
        <v>0</v>
      </c>
    </row>
    <row r="473" spans="11:16" ht="49" thickTop="1" thickBot="1" x14ac:dyDescent="0.6">
      <c r="K473" s="8">
        <v>466</v>
      </c>
      <c r="L473" s="9">
        <f t="shared" si="35"/>
        <v>0</v>
      </c>
      <c r="M473" s="8">
        <f t="shared" si="36"/>
        <v>0</v>
      </c>
      <c r="N473" s="9">
        <f t="shared" si="37"/>
        <v>0</v>
      </c>
      <c r="O473" s="9">
        <f t="shared" si="38"/>
        <v>0</v>
      </c>
      <c r="P473" s="9">
        <f t="shared" si="39"/>
        <v>0</v>
      </c>
    </row>
    <row r="474" spans="11:16" ht="49" thickTop="1" thickBot="1" x14ac:dyDescent="0.6">
      <c r="K474" s="8">
        <v>467</v>
      </c>
      <c r="L474" s="9">
        <f t="shared" si="35"/>
        <v>0</v>
      </c>
      <c r="M474" s="8">
        <f t="shared" si="36"/>
        <v>0</v>
      </c>
      <c r="N474" s="9">
        <f t="shared" si="37"/>
        <v>0</v>
      </c>
      <c r="O474" s="9">
        <f t="shared" si="38"/>
        <v>0</v>
      </c>
      <c r="P474" s="9">
        <f t="shared" si="39"/>
        <v>0</v>
      </c>
    </row>
    <row r="475" spans="11:16" ht="49" thickTop="1" thickBot="1" x14ac:dyDescent="0.6">
      <c r="K475" s="8">
        <v>468</v>
      </c>
      <c r="L475" s="9">
        <f t="shared" si="35"/>
        <v>0</v>
      </c>
      <c r="M475" s="8">
        <f t="shared" si="36"/>
        <v>0</v>
      </c>
      <c r="N475" s="9">
        <f t="shared" si="37"/>
        <v>0</v>
      </c>
      <c r="O475" s="9">
        <f t="shared" si="38"/>
        <v>0</v>
      </c>
      <c r="P475" s="9">
        <f t="shared" si="39"/>
        <v>0</v>
      </c>
    </row>
    <row r="476" spans="11:16" ht="49" thickTop="1" thickBot="1" x14ac:dyDescent="0.6">
      <c r="K476" s="8">
        <v>469</v>
      </c>
      <c r="L476" s="9">
        <f t="shared" si="35"/>
        <v>0</v>
      </c>
      <c r="M476" s="8">
        <f t="shared" si="36"/>
        <v>0</v>
      </c>
      <c r="N476" s="9">
        <f t="shared" si="37"/>
        <v>0</v>
      </c>
      <c r="O476" s="9">
        <f t="shared" si="38"/>
        <v>0</v>
      </c>
      <c r="P476" s="9">
        <f t="shared" si="39"/>
        <v>0</v>
      </c>
    </row>
    <row r="477" spans="11:16" ht="49" thickTop="1" thickBot="1" x14ac:dyDescent="0.6">
      <c r="K477" s="8">
        <v>470</v>
      </c>
      <c r="L477" s="9">
        <f t="shared" si="35"/>
        <v>0</v>
      </c>
      <c r="M477" s="8">
        <f t="shared" si="36"/>
        <v>0</v>
      </c>
      <c r="N477" s="9">
        <f t="shared" si="37"/>
        <v>0</v>
      </c>
      <c r="O477" s="9">
        <f t="shared" si="38"/>
        <v>0</v>
      </c>
      <c r="P477" s="9">
        <f t="shared" si="39"/>
        <v>0</v>
      </c>
    </row>
    <row r="478" spans="11:16" ht="49" thickTop="1" thickBot="1" x14ac:dyDescent="0.6">
      <c r="K478" s="8">
        <v>471</v>
      </c>
      <c r="L478" s="9">
        <f t="shared" si="35"/>
        <v>0</v>
      </c>
      <c r="M478" s="8">
        <f t="shared" si="36"/>
        <v>0</v>
      </c>
      <c r="N478" s="9">
        <f t="shared" si="37"/>
        <v>0</v>
      </c>
      <c r="O478" s="9">
        <f t="shared" si="38"/>
        <v>0</v>
      </c>
      <c r="P478" s="9">
        <f t="shared" si="39"/>
        <v>0</v>
      </c>
    </row>
    <row r="479" spans="11:16" ht="49" thickTop="1" thickBot="1" x14ac:dyDescent="0.6">
      <c r="K479" s="8">
        <v>472</v>
      </c>
      <c r="L479" s="9">
        <f t="shared" si="35"/>
        <v>0</v>
      </c>
      <c r="M479" s="8">
        <f t="shared" si="36"/>
        <v>0</v>
      </c>
      <c r="N479" s="9">
        <f t="shared" si="37"/>
        <v>0</v>
      </c>
      <c r="O479" s="9">
        <f t="shared" si="38"/>
        <v>0</v>
      </c>
      <c r="P479" s="9">
        <f t="shared" si="39"/>
        <v>0</v>
      </c>
    </row>
    <row r="480" spans="11:16" ht="49" thickTop="1" thickBot="1" x14ac:dyDescent="0.6">
      <c r="K480" s="8">
        <v>473</v>
      </c>
      <c r="L480" s="9">
        <f t="shared" si="35"/>
        <v>0</v>
      </c>
      <c r="M480" s="8">
        <f t="shared" si="36"/>
        <v>0</v>
      </c>
      <c r="N480" s="9">
        <f t="shared" si="37"/>
        <v>0</v>
      </c>
      <c r="O480" s="9">
        <f t="shared" si="38"/>
        <v>0</v>
      </c>
      <c r="P480" s="9">
        <f t="shared" si="39"/>
        <v>0</v>
      </c>
    </row>
    <row r="481" spans="11:16" ht="49" thickTop="1" thickBot="1" x14ac:dyDescent="0.6">
      <c r="K481" s="8">
        <v>474</v>
      </c>
      <c r="L481" s="9">
        <f t="shared" si="35"/>
        <v>0</v>
      </c>
      <c r="M481" s="8">
        <f t="shared" si="36"/>
        <v>0</v>
      </c>
      <c r="N481" s="9">
        <f t="shared" si="37"/>
        <v>0</v>
      </c>
      <c r="O481" s="9">
        <f t="shared" si="38"/>
        <v>0</v>
      </c>
      <c r="P481" s="9">
        <f t="shared" si="39"/>
        <v>0</v>
      </c>
    </row>
    <row r="482" spans="11:16" ht="49" thickTop="1" thickBot="1" x14ac:dyDescent="0.6">
      <c r="K482" s="8">
        <v>475</v>
      </c>
      <c r="L482" s="9">
        <f t="shared" si="35"/>
        <v>0</v>
      </c>
      <c r="M482" s="8">
        <f t="shared" si="36"/>
        <v>0</v>
      </c>
      <c r="N482" s="9">
        <f t="shared" si="37"/>
        <v>0</v>
      </c>
      <c r="O482" s="9">
        <f t="shared" si="38"/>
        <v>0</v>
      </c>
      <c r="P482" s="9">
        <f t="shared" si="39"/>
        <v>0</v>
      </c>
    </row>
    <row r="483" spans="11:16" ht="49" thickTop="1" thickBot="1" x14ac:dyDescent="0.6">
      <c r="K483" s="8">
        <v>476</v>
      </c>
      <c r="L483" s="9">
        <f t="shared" si="35"/>
        <v>0</v>
      </c>
      <c r="M483" s="8">
        <f t="shared" si="36"/>
        <v>0</v>
      </c>
      <c r="N483" s="9">
        <f t="shared" si="37"/>
        <v>0</v>
      </c>
      <c r="O483" s="9">
        <f t="shared" si="38"/>
        <v>0</v>
      </c>
      <c r="P483" s="9">
        <f t="shared" si="39"/>
        <v>0</v>
      </c>
    </row>
    <row r="484" spans="11:16" ht="49" thickTop="1" thickBot="1" x14ac:dyDescent="0.6">
      <c r="K484" s="8">
        <v>477</v>
      </c>
      <c r="L484" s="9">
        <f t="shared" si="35"/>
        <v>0</v>
      </c>
      <c r="M484" s="8">
        <f t="shared" si="36"/>
        <v>0</v>
      </c>
      <c r="N484" s="9">
        <f t="shared" si="37"/>
        <v>0</v>
      </c>
      <c r="O484" s="9">
        <f t="shared" si="38"/>
        <v>0</v>
      </c>
      <c r="P484" s="9">
        <f t="shared" si="39"/>
        <v>0</v>
      </c>
    </row>
    <row r="485" spans="11:16" ht="49" thickTop="1" thickBot="1" x14ac:dyDescent="0.6">
      <c r="K485" s="8">
        <v>478</v>
      </c>
      <c r="L485" s="9">
        <f t="shared" si="35"/>
        <v>0</v>
      </c>
      <c r="M485" s="8">
        <f t="shared" si="36"/>
        <v>0</v>
      </c>
      <c r="N485" s="9">
        <f t="shared" si="37"/>
        <v>0</v>
      </c>
      <c r="O485" s="9">
        <f t="shared" si="38"/>
        <v>0</v>
      </c>
      <c r="P485" s="9">
        <f t="shared" si="39"/>
        <v>0</v>
      </c>
    </row>
    <row r="486" spans="11:16" ht="49" thickTop="1" thickBot="1" x14ac:dyDescent="0.6">
      <c r="K486" s="8">
        <v>479</v>
      </c>
      <c r="L486" s="9">
        <f t="shared" si="35"/>
        <v>0</v>
      </c>
      <c r="M486" s="8">
        <f t="shared" si="36"/>
        <v>0</v>
      </c>
      <c r="N486" s="9">
        <f t="shared" si="37"/>
        <v>0</v>
      </c>
      <c r="O486" s="9">
        <f t="shared" si="38"/>
        <v>0</v>
      </c>
      <c r="P486" s="9">
        <f t="shared" si="39"/>
        <v>0</v>
      </c>
    </row>
    <row r="487" spans="11:16" ht="49" thickTop="1" thickBot="1" x14ac:dyDescent="0.6">
      <c r="K487" s="8">
        <v>480</v>
      </c>
      <c r="L487" s="9">
        <f t="shared" si="35"/>
        <v>0</v>
      </c>
      <c r="M487" s="8">
        <f t="shared" si="36"/>
        <v>0</v>
      </c>
      <c r="N487" s="9">
        <f t="shared" si="37"/>
        <v>0</v>
      </c>
      <c r="O487" s="9">
        <f t="shared" si="38"/>
        <v>0</v>
      </c>
      <c r="P487" s="9">
        <f t="shared" si="39"/>
        <v>0</v>
      </c>
    </row>
    <row r="488" spans="11:16" ht="49" thickTop="1" thickBot="1" x14ac:dyDescent="0.6">
      <c r="K488" s="8">
        <v>481</v>
      </c>
      <c r="L488" s="9">
        <f t="shared" si="35"/>
        <v>0</v>
      </c>
      <c r="M488" s="8">
        <f t="shared" si="36"/>
        <v>0</v>
      </c>
      <c r="N488" s="9">
        <f t="shared" si="37"/>
        <v>0</v>
      </c>
      <c r="O488" s="9">
        <f t="shared" si="38"/>
        <v>0</v>
      </c>
      <c r="P488" s="9">
        <f t="shared" si="39"/>
        <v>0</v>
      </c>
    </row>
    <row r="489" spans="11:16" ht="49" thickTop="1" thickBot="1" x14ac:dyDescent="0.6">
      <c r="K489" s="8">
        <v>482</v>
      </c>
      <c r="L489" s="9">
        <f t="shared" si="35"/>
        <v>0</v>
      </c>
      <c r="M489" s="8">
        <f t="shared" si="36"/>
        <v>0</v>
      </c>
      <c r="N489" s="9">
        <f t="shared" si="37"/>
        <v>0</v>
      </c>
      <c r="O489" s="9">
        <f t="shared" si="38"/>
        <v>0</v>
      </c>
      <c r="P489" s="9">
        <f t="shared" si="39"/>
        <v>0</v>
      </c>
    </row>
    <row r="490" spans="11:16" ht="49" thickTop="1" thickBot="1" x14ac:dyDescent="0.6">
      <c r="K490" s="8">
        <v>483</v>
      </c>
      <c r="L490" s="9">
        <f t="shared" si="35"/>
        <v>0</v>
      </c>
      <c r="M490" s="8">
        <f t="shared" si="36"/>
        <v>0</v>
      </c>
      <c r="N490" s="9">
        <f t="shared" si="37"/>
        <v>0</v>
      </c>
      <c r="O490" s="9">
        <f t="shared" si="38"/>
        <v>0</v>
      </c>
      <c r="P490" s="9">
        <f t="shared" si="39"/>
        <v>0</v>
      </c>
    </row>
    <row r="491" spans="11:16" ht="49" thickTop="1" thickBot="1" x14ac:dyDescent="0.6">
      <c r="K491" s="8">
        <v>484</v>
      </c>
      <c r="L491" s="9">
        <f t="shared" si="35"/>
        <v>0</v>
      </c>
      <c r="M491" s="8">
        <f t="shared" si="36"/>
        <v>0</v>
      </c>
      <c r="N491" s="9">
        <f t="shared" si="37"/>
        <v>0</v>
      </c>
      <c r="O491" s="9">
        <f t="shared" si="38"/>
        <v>0</v>
      </c>
      <c r="P491" s="9">
        <f t="shared" si="39"/>
        <v>0</v>
      </c>
    </row>
    <row r="492" spans="11:16" ht="49" thickTop="1" thickBot="1" x14ac:dyDescent="0.6">
      <c r="K492" s="8">
        <v>485</v>
      </c>
      <c r="L492" s="9">
        <f t="shared" si="35"/>
        <v>0</v>
      </c>
      <c r="M492" s="8">
        <f t="shared" si="36"/>
        <v>0</v>
      </c>
      <c r="N492" s="9">
        <f t="shared" si="37"/>
        <v>0</v>
      </c>
      <c r="O492" s="9">
        <f t="shared" si="38"/>
        <v>0</v>
      </c>
      <c r="P492" s="9">
        <f t="shared" si="39"/>
        <v>0</v>
      </c>
    </row>
    <row r="493" spans="11:16" ht="49" thickTop="1" thickBot="1" x14ac:dyDescent="0.6">
      <c r="K493" s="8">
        <v>486</v>
      </c>
      <c r="L493" s="9">
        <f t="shared" si="35"/>
        <v>0</v>
      </c>
      <c r="M493" s="8">
        <f t="shared" si="36"/>
        <v>0</v>
      </c>
      <c r="N493" s="9">
        <f t="shared" si="37"/>
        <v>0</v>
      </c>
      <c r="O493" s="9">
        <f t="shared" si="38"/>
        <v>0</v>
      </c>
      <c r="P493" s="9">
        <f t="shared" si="39"/>
        <v>0</v>
      </c>
    </row>
    <row r="494" spans="11:16" ht="49" thickTop="1" thickBot="1" x14ac:dyDescent="0.6">
      <c r="K494" s="8">
        <v>487</v>
      </c>
      <c r="L494" s="9">
        <f t="shared" si="35"/>
        <v>0</v>
      </c>
      <c r="M494" s="8">
        <f t="shared" si="36"/>
        <v>0</v>
      </c>
      <c r="N494" s="9">
        <f t="shared" si="37"/>
        <v>0</v>
      </c>
      <c r="O494" s="9">
        <f t="shared" si="38"/>
        <v>0</v>
      </c>
      <c r="P494" s="9">
        <f t="shared" si="39"/>
        <v>0</v>
      </c>
    </row>
    <row r="495" spans="11:16" ht="49" thickTop="1" thickBot="1" x14ac:dyDescent="0.6">
      <c r="K495" s="8">
        <v>488</v>
      </c>
      <c r="L495" s="9">
        <f t="shared" si="35"/>
        <v>0</v>
      </c>
      <c r="M495" s="8">
        <f t="shared" si="36"/>
        <v>0</v>
      </c>
      <c r="N495" s="9">
        <f t="shared" si="37"/>
        <v>0</v>
      </c>
      <c r="O495" s="9">
        <f t="shared" si="38"/>
        <v>0</v>
      </c>
      <c r="P495" s="9">
        <f t="shared" si="39"/>
        <v>0</v>
      </c>
    </row>
    <row r="496" spans="11:16" ht="49" thickTop="1" thickBot="1" x14ac:dyDescent="0.6">
      <c r="K496" s="8">
        <v>489</v>
      </c>
      <c r="L496" s="9">
        <f t="shared" si="35"/>
        <v>0</v>
      </c>
      <c r="M496" s="8">
        <f t="shared" si="36"/>
        <v>0</v>
      </c>
      <c r="N496" s="9">
        <f t="shared" si="37"/>
        <v>0</v>
      </c>
      <c r="O496" s="9">
        <f t="shared" si="38"/>
        <v>0</v>
      </c>
      <c r="P496" s="9">
        <f t="shared" si="39"/>
        <v>0</v>
      </c>
    </row>
    <row r="497" spans="11:16" ht="49" thickTop="1" thickBot="1" x14ac:dyDescent="0.6">
      <c r="K497" s="8">
        <v>490</v>
      </c>
      <c r="L497" s="9">
        <f t="shared" si="35"/>
        <v>0</v>
      </c>
      <c r="M497" s="8">
        <f t="shared" si="36"/>
        <v>0</v>
      </c>
      <c r="N497" s="9">
        <f t="shared" si="37"/>
        <v>0</v>
      </c>
      <c r="O497" s="9">
        <f t="shared" si="38"/>
        <v>0</v>
      </c>
      <c r="P497" s="9">
        <f t="shared" si="39"/>
        <v>0</v>
      </c>
    </row>
    <row r="498" spans="11:16" ht="49" thickTop="1" thickBot="1" x14ac:dyDescent="0.6">
      <c r="K498" s="8">
        <v>491</v>
      </c>
      <c r="L498" s="9">
        <f t="shared" si="35"/>
        <v>0</v>
      </c>
      <c r="M498" s="8">
        <f t="shared" si="36"/>
        <v>0</v>
      </c>
      <c r="N498" s="9">
        <f t="shared" si="37"/>
        <v>0</v>
      </c>
      <c r="O498" s="9">
        <f t="shared" si="38"/>
        <v>0</v>
      </c>
      <c r="P498" s="9">
        <f t="shared" si="39"/>
        <v>0</v>
      </c>
    </row>
    <row r="499" spans="11:16" ht="49" thickTop="1" thickBot="1" x14ac:dyDescent="0.6">
      <c r="K499" s="8">
        <v>492</v>
      </c>
      <c r="L499" s="9">
        <f t="shared" si="35"/>
        <v>0</v>
      </c>
      <c r="M499" s="8">
        <f t="shared" si="36"/>
        <v>0</v>
      </c>
      <c r="N499" s="9">
        <f t="shared" si="37"/>
        <v>0</v>
      </c>
      <c r="O499" s="9">
        <f t="shared" si="38"/>
        <v>0</v>
      </c>
      <c r="P499" s="9">
        <f t="shared" si="39"/>
        <v>0</v>
      </c>
    </row>
    <row r="500" spans="11:16" ht="49" thickTop="1" thickBot="1" x14ac:dyDescent="0.6">
      <c r="K500" s="8">
        <v>493</v>
      </c>
      <c r="L500" s="9">
        <f t="shared" si="35"/>
        <v>0</v>
      </c>
      <c r="M500" s="8">
        <f t="shared" si="36"/>
        <v>0</v>
      </c>
      <c r="N500" s="9">
        <f t="shared" si="37"/>
        <v>0</v>
      </c>
      <c r="O500" s="9">
        <f t="shared" si="38"/>
        <v>0</v>
      </c>
      <c r="P500" s="9">
        <f t="shared" si="39"/>
        <v>0</v>
      </c>
    </row>
    <row r="501" spans="11:16" ht="49" thickTop="1" thickBot="1" x14ac:dyDescent="0.6">
      <c r="K501" s="8">
        <v>494</v>
      </c>
      <c r="L501" s="9">
        <f t="shared" si="35"/>
        <v>0</v>
      </c>
      <c r="M501" s="8">
        <f t="shared" si="36"/>
        <v>0</v>
      </c>
      <c r="N501" s="9">
        <f t="shared" si="37"/>
        <v>0</v>
      </c>
      <c r="O501" s="9">
        <f t="shared" si="38"/>
        <v>0</v>
      </c>
      <c r="P501" s="9">
        <f t="shared" si="39"/>
        <v>0</v>
      </c>
    </row>
    <row r="502" spans="11:16" ht="49" thickTop="1" thickBot="1" x14ac:dyDescent="0.6">
      <c r="K502" s="8">
        <v>495</v>
      </c>
      <c r="L502" s="9">
        <f t="shared" si="35"/>
        <v>0</v>
      </c>
      <c r="M502" s="8">
        <f t="shared" si="36"/>
        <v>0</v>
      </c>
      <c r="N502" s="9">
        <f t="shared" si="37"/>
        <v>0</v>
      </c>
      <c r="O502" s="9">
        <f t="shared" si="38"/>
        <v>0</v>
      </c>
      <c r="P502" s="9">
        <f t="shared" si="39"/>
        <v>0</v>
      </c>
    </row>
    <row r="503" spans="11:16" ht="49" thickTop="1" thickBot="1" x14ac:dyDescent="0.6">
      <c r="K503" s="8">
        <v>496</v>
      </c>
      <c r="L503" s="9">
        <f t="shared" si="35"/>
        <v>0</v>
      </c>
      <c r="M503" s="8">
        <f t="shared" si="36"/>
        <v>0</v>
      </c>
      <c r="N503" s="9">
        <f t="shared" si="37"/>
        <v>0</v>
      </c>
      <c r="O503" s="9">
        <f t="shared" si="38"/>
        <v>0</v>
      </c>
      <c r="P503" s="9">
        <f t="shared" si="39"/>
        <v>0</v>
      </c>
    </row>
    <row r="504" spans="11:16" ht="49" thickTop="1" thickBot="1" x14ac:dyDescent="0.6">
      <c r="K504" s="8">
        <v>497</v>
      </c>
      <c r="L504" s="9">
        <f t="shared" si="35"/>
        <v>0</v>
      </c>
      <c r="M504" s="8">
        <f t="shared" si="36"/>
        <v>0</v>
      </c>
      <c r="N504" s="9">
        <f t="shared" si="37"/>
        <v>0</v>
      </c>
      <c r="O504" s="9">
        <f t="shared" si="38"/>
        <v>0</v>
      </c>
      <c r="P504" s="9">
        <f t="shared" si="39"/>
        <v>0</v>
      </c>
    </row>
    <row r="505" spans="11:16" ht="49" thickTop="1" thickBot="1" x14ac:dyDescent="0.6">
      <c r="K505" s="8">
        <v>498</v>
      </c>
      <c r="L505" s="9">
        <f t="shared" si="35"/>
        <v>0</v>
      </c>
      <c r="M505" s="8">
        <f t="shared" si="36"/>
        <v>0</v>
      </c>
      <c r="N505" s="9">
        <f t="shared" si="37"/>
        <v>0</v>
      </c>
      <c r="O505" s="9">
        <f t="shared" si="38"/>
        <v>0</v>
      </c>
      <c r="P505" s="9">
        <f t="shared" si="39"/>
        <v>0</v>
      </c>
    </row>
    <row r="506" spans="11:16" ht="49" thickTop="1" thickBot="1" x14ac:dyDescent="0.6">
      <c r="K506" s="8">
        <v>499</v>
      </c>
      <c r="L506" s="9">
        <f t="shared" si="35"/>
        <v>0</v>
      </c>
      <c r="M506" s="8">
        <f t="shared" si="36"/>
        <v>0</v>
      </c>
      <c r="N506" s="9">
        <f t="shared" si="37"/>
        <v>0</v>
      </c>
      <c r="O506" s="9">
        <f t="shared" si="38"/>
        <v>0</v>
      </c>
      <c r="P506" s="9">
        <f t="shared" si="39"/>
        <v>0</v>
      </c>
    </row>
    <row r="507" spans="11:16" ht="49" thickTop="1" thickBot="1" x14ac:dyDescent="0.6">
      <c r="K507" s="8">
        <v>500</v>
      </c>
      <c r="L507" s="9">
        <f t="shared" si="35"/>
        <v>0</v>
      </c>
      <c r="M507" s="8">
        <f t="shared" si="36"/>
        <v>0</v>
      </c>
      <c r="N507" s="9">
        <f t="shared" si="37"/>
        <v>0</v>
      </c>
      <c r="O507" s="9">
        <f t="shared" si="38"/>
        <v>0</v>
      </c>
      <c r="P507" s="9">
        <f t="shared" si="39"/>
        <v>0</v>
      </c>
    </row>
    <row r="508" spans="11:16" ht="49" thickTop="1" thickBot="1" x14ac:dyDescent="0.6">
      <c r="K508" s="8">
        <v>501</v>
      </c>
      <c r="L508" s="9">
        <f t="shared" si="35"/>
        <v>0</v>
      </c>
      <c r="M508" s="8">
        <f t="shared" si="36"/>
        <v>0</v>
      </c>
      <c r="N508" s="9">
        <f t="shared" si="37"/>
        <v>0</v>
      </c>
      <c r="O508" s="9">
        <f t="shared" si="38"/>
        <v>0</v>
      </c>
      <c r="P508" s="9">
        <f t="shared" si="39"/>
        <v>0</v>
      </c>
    </row>
    <row r="509" spans="11:16" ht="49" thickTop="1" thickBot="1" x14ac:dyDescent="0.6">
      <c r="K509" s="8">
        <v>502</v>
      </c>
      <c r="L509" s="9">
        <f t="shared" si="35"/>
        <v>0</v>
      </c>
      <c r="M509" s="8">
        <f t="shared" si="36"/>
        <v>0</v>
      </c>
      <c r="N509" s="9">
        <f t="shared" si="37"/>
        <v>0</v>
      </c>
      <c r="O509" s="9">
        <f t="shared" si="38"/>
        <v>0</v>
      </c>
      <c r="P509" s="9">
        <f t="shared" si="39"/>
        <v>0</v>
      </c>
    </row>
    <row r="510" spans="11:16" ht="49" thickTop="1" thickBot="1" x14ac:dyDescent="0.6">
      <c r="K510" s="8">
        <v>503</v>
      </c>
      <c r="L510" s="9">
        <f t="shared" si="35"/>
        <v>0</v>
      </c>
      <c r="M510" s="8">
        <f t="shared" si="36"/>
        <v>0</v>
      </c>
      <c r="N510" s="9">
        <f t="shared" si="37"/>
        <v>0</v>
      </c>
      <c r="O510" s="9">
        <f t="shared" si="38"/>
        <v>0</v>
      </c>
      <c r="P510" s="9">
        <f t="shared" si="39"/>
        <v>0</v>
      </c>
    </row>
    <row r="511" spans="11:16" ht="49" thickTop="1" thickBot="1" x14ac:dyDescent="0.6">
      <c r="K511" s="8">
        <v>504</v>
      </c>
      <c r="L511" s="9">
        <f t="shared" si="35"/>
        <v>0</v>
      </c>
      <c r="M511" s="8">
        <f t="shared" si="36"/>
        <v>0</v>
      </c>
      <c r="N511" s="9">
        <f t="shared" si="37"/>
        <v>0</v>
      </c>
      <c r="O511" s="9">
        <f t="shared" si="38"/>
        <v>0</v>
      </c>
      <c r="P511" s="9">
        <f t="shared" si="39"/>
        <v>0</v>
      </c>
    </row>
    <row r="512" spans="11:16" ht="49" thickTop="1" thickBot="1" x14ac:dyDescent="0.6">
      <c r="K512" s="8">
        <v>505</v>
      </c>
      <c r="L512" s="9">
        <f t="shared" si="35"/>
        <v>0</v>
      </c>
      <c r="M512" s="8">
        <f t="shared" si="36"/>
        <v>0</v>
      </c>
      <c r="N512" s="9">
        <f t="shared" si="37"/>
        <v>0</v>
      </c>
      <c r="O512" s="9">
        <f t="shared" si="38"/>
        <v>0</v>
      </c>
      <c r="P512" s="9">
        <f t="shared" si="39"/>
        <v>0</v>
      </c>
    </row>
    <row r="513" spans="11:16" ht="49" thickTop="1" thickBot="1" x14ac:dyDescent="0.6">
      <c r="K513" s="8">
        <v>506</v>
      </c>
      <c r="L513" s="9">
        <f t="shared" si="35"/>
        <v>0</v>
      </c>
      <c r="M513" s="8">
        <f t="shared" si="36"/>
        <v>0</v>
      </c>
      <c r="N513" s="9">
        <f t="shared" si="37"/>
        <v>0</v>
      </c>
      <c r="O513" s="9">
        <f t="shared" si="38"/>
        <v>0</v>
      </c>
      <c r="P513" s="9">
        <f t="shared" si="39"/>
        <v>0</v>
      </c>
    </row>
    <row r="514" spans="11:16" ht="49" thickTop="1" thickBot="1" x14ac:dyDescent="0.6">
      <c r="K514" s="8">
        <v>507</v>
      </c>
      <c r="L514" s="9">
        <f t="shared" si="35"/>
        <v>0</v>
      </c>
      <c r="M514" s="8">
        <f t="shared" si="36"/>
        <v>0</v>
      </c>
      <c r="N514" s="9">
        <f t="shared" si="37"/>
        <v>0</v>
      </c>
      <c r="O514" s="9">
        <f t="shared" si="38"/>
        <v>0</v>
      </c>
      <c r="P514" s="9">
        <f t="shared" si="39"/>
        <v>0</v>
      </c>
    </row>
    <row r="515" spans="11:16" ht="49" thickTop="1" thickBot="1" x14ac:dyDescent="0.6">
      <c r="K515" s="8">
        <v>508</v>
      </c>
      <c r="L515" s="9">
        <f t="shared" si="35"/>
        <v>0</v>
      </c>
      <c r="M515" s="8">
        <f t="shared" si="36"/>
        <v>0</v>
      </c>
      <c r="N515" s="9">
        <f t="shared" si="37"/>
        <v>0</v>
      </c>
      <c r="O515" s="9">
        <f t="shared" si="38"/>
        <v>0</v>
      </c>
      <c r="P515" s="9">
        <f t="shared" si="39"/>
        <v>0</v>
      </c>
    </row>
    <row r="516" spans="11:16" ht="49" thickTop="1" thickBot="1" x14ac:dyDescent="0.6">
      <c r="K516" s="8">
        <v>509</v>
      </c>
      <c r="L516" s="9">
        <f t="shared" si="35"/>
        <v>0</v>
      </c>
      <c r="M516" s="8">
        <f t="shared" si="36"/>
        <v>0</v>
      </c>
      <c r="N516" s="9">
        <f t="shared" si="37"/>
        <v>0</v>
      </c>
      <c r="O516" s="9">
        <f t="shared" si="38"/>
        <v>0</v>
      </c>
      <c r="P516" s="9">
        <f t="shared" si="39"/>
        <v>0</v>
      </c>
    </row>
    <row r="517" spans="11:16" ht="49" thickTop="1" thickBot="1" x14ac:dyDescent="0.6">
      <c r="K517" s="8">
        <v>510</v>
      </c>
      <c r="L517" s="9">
        <f t="shared" si="35"/>
        <v>0</v>
      </c>
      <c r="M517" s="8">
        <f t="shared" si="36"/>
        <v>0</v>
      </c>
      <c r="N517" s="9">
        <f t="shared" si="37"/>
        <v>0</v>
      </c>
      <c r="O517" s="9">
        <f t="shared" si="38"/>
        <v>0</v>
      </c>
      <c r="P517" s="9">
        <f t="shared" si="39"/>
        <v>0</v>
      </c>
    </row>
    <row r="518" spans="11:16" ht="49" thickTop="1" thickBot="1" x14ac:dyDescent="0.6">
      <c r="K518" s="8">
        <v>511</v>
      </c>
      <c r="L518" s="9">
        <f t="shared" si="35"/>
        <v>0</v>
      </c>
      <c r="M518" s="8">
        <f t="shared" si="36"/>
        <v>0</v>
      </c>
      <c r="N518" s="9">
        <f t="shared" si="37"/>
        <v>0</v>
      </c>
      <c r="O518" s="9">
        <f t="shared" si="38"/>
        <v>0</v>
      </c>
      <c r="P518" s="9">
        <f t="shared" si="39"/>
        <v>0</v>
      </c>
    </row>
    <row r="519" spans="11:16" ht="49" thickTop="1" thickBot="1" x14ac:dyDescent="0.6">
      <c r="K519" s="8">
        <v>512</v>
      </c>
      <c r="L519" s="9">
        <f t="shared" si="35"/>
        <v>0</v>
      </c>
      <c r="M519" s="8">
        <f t="shared" si="36"/>
        <v>0</v>
      </c>
      <c r="N519" s="9">
        <f t="shared" si="37"/>
        <v>0</v>
      </c>
      <c r="O519" s="9">
        <f t="shared" si="38"/>
        <v>0</v>
      </c>
      <c r="P519" s="9">
        <f t="shared" si="39"/>
        <v>0</v>
      </c>
    </row>
    <row r="520" spans="11:16" ht="49" thickTop="1" thickBot="1" x14ac:dyDescent="0.6">
      <c r="K520" s="8">
        <v>513</v>
      </c>
      <c r="L520" s="9">
        <f t="shared" si="35"/>
        <v>0</v>
      </c>
      <c r="M520" s="8">
        <f t="shared" si="36"/>
        <v>0</v>
      </c>
      <c r="N520" s="9">
        <f t="shared" si="37"/>
        <v>0</v>
      </c>
      <c r="O520" s="9">
        <f t="shared" si="38"/>
        <v>0</v>
      </c>
      <c r="P520" s="9">
        <f t="shared" si="39"/>
        <v>0</v>
      </c>
    </row>
    <row r="521" spans="11:16" ht="49" thickTop="1" thickBot="1" x14ac:dyDescent="0.6">
      <c r="K521" s="8">
        <v>514</v>
      </c>
      <c r="L521" s="9">
        <f t="shared" si="35"/>
        <v>0</v>
      </c>
      <c r="M521" s="8">
        <f t="shared" si="36"/>
        <v>0</v>
      </c>
      <c r="N521" s="9">
        <f t="shared" si="37"/>
        <v>0</v>
      </c>
      <c r="O521" s="9">
        <f t="shared" si="38"/>
        <v>0</v>
      </c>
      <c r="P521" s="9">
        <f t="shared" si="39"/>
        <v>0</v>
      </c>
    </row>
    <row r="522" spans="11:16" ht="49" thickTop="1" thickBot="1" x14ac:dyDescent="0.6">
      <c r="K522" s="8">
        <v>515</v>
      </c>
      <c r="L522" s="9">
        <f t="shared" ref="L522:L585" si="40">P521</f>
        <v>0</v>
      </c>
      <c r="M522" s="8">
        <f t="shared" ref="M522:M585" si="41">M521</f>
        <v>0</v>
      </c>
      <c r="N522" s="9">
        <f t="shared" ref="N522:N585" si="42">L522+M522</f>
        <v>0</v>
      </c>
      <c r="O522" s="9">
        <f t="shared" ref="O522:O585" si="43">N522*NOMINAL($O$6,12)/12</f>
        <v>0</v>
      </c>
      <c r="P522" s="9">
        <f t="shared" ref="P522:P585" si="44">N522+O522</f>
        <v>0</v>
      </c>
    </row>
    <row r="523" spans="11:16" ht="49" thickTop="1" thickBot="1" x14ac:dyDescent="0.6">
      <c r="K523" s="8">
        <v>516</v>
      </c>
      <c r="L523" s="9">
        <f t="shared" si="40"/>
        <v>0</v>
      </c>
      <c r="M523" s="8">
        <f t="shared" si="41"/>
        <v>0</v>
      </c>
      <c r="N523" s="9">
        <f t="shared" si="42"/>
        <v>0</v>
      </c>
      <c r="O523" s="9">
        <f t="shared" si="43"/>
        <v>0</v>
      </c>
      <c r="P523" s="9">
        <f t="shared" si="44"/>
        <v>0</v>
      </c>
    </row>
    <row r="524" spans="11:16" ht="49" thickTop="1" thickBot="1" x14ac:dyDescent="0.6">
      <c r="K524" s="8">
        <v>517</v>
      </c>
      <c r="L524" s="9">
        <f t="shared" si="40"/>
        <v>0</v>
      </c>
      <c r="M524" s="8">
        <f t="shared" si="41"/>
        <v>0</v>
      </c>
      <c r="N524" s="9">
        <f t="shared" si="42"/>
        <v>0</v>
      </c>
      <c r="O524" s="9">
        <f t="shared" si="43"/>
        <v>0</v>
      </c>
      <c r="P524" s="9">
        <f t="shared" si="44"/>
        <v>0</v>
      </c>
    </row>
    <row r="525" spans="11:16" ht="49" thickTop="1" thickBot="1" x14ac:dyDescent="0.6">
      <c r="K525" s="8">
        <v>518</v>
      </c>
      <c r="L525" s="9">
        <f t="shared" si="40"/>
        <v>0</v>
      </c>
      <c r="M525" s="8">
        <f t="shared" si="41"/>
        <v>0</v>
      </c>
      <c r="N525" s="9">
        <f t="shared" si="42"/>
        <v>0</v>
      </c>
      <c r="O525" s="9">
        <f t="shared" si="43"/>
        <v>0</v>
      </c>
      <c r="P525" s="9">
        <f t="shared" si="44"/>
        <v>0</v>
      </c>
    </row>
    <row r="526" spans="11:16" ht="49" thickTop="1" thickBot="1" x14ac:dyDescent="0.6">
      <c r="K526" s="8">
        <v>519</v>
      </c>
      <c r="L526" s="9">
        <f t="shared" si="40"/>
        <v>0</v>
      </c>
      <c r="M526" s="8">
        <f t="shared" si="41"/>
        <v>0</v>
      </c>
      <c r="N526" s="9">
        <f t="shared" si="42"/>
        <v>0</v>
      </c>
      <c r="O526" s="9">
        <f t="shared" si="43"/>
        <v>0</v>
      </c>
      <c r="P526" s="9">
        <f t="shared" si="44"/>
        <v>0</v>
      </c>
    </row>
    <row r="527" spans="11:16" ht="49" thickTop="1" thickBot="1" x14ac:dyDescent="0.6">
      <c r="K527" s="8">
        <v>520</v>
      </c>
      <c r="L527" s="9">
        <f t="shared" si="40"/>
        <v>0</v>
      </c>
      <c r="M527" s="8">
        <f t="shared" si="41"/>
        <v>0</v>
      </c>
      <c r="N527" s="9">
        <f t="shared" si="42"/>
        <v>0</v>
      </c>
      <c r="O527" s="9">
        <f t="shared" si="43"/>
        <v>0</v>
      </c>
      <c r="P527" s="9">
        <f t="shared" si="44"/>
        <v>0</v>
      </c>
    </row>
    <row r="528" spans="11:16" ht="49" thickTop="1" thickBot="1" x14ac:dyDescent="0.6">
      <c r="K528" s="8">
        <v>521</v>
      </c>
      <c r="L528" s="9">
        <f t="shared" si="40"/>
        <v>0</v>
      </c>
      <c r="M528" s="8">
        <f t="shared" si="41"/>
        <v>0</v>
      </c>
      <c r="N528" s="9">
        <f t="shared" si="42"/>
        <v>0</v>
      </c>
      <c r="O528" s="9">
        <f t="shared" si="43"/>
        <v>0</v>
      </c>
      <c r="P528" s="9">
        <f t="shared" si="44"/>
        <v>0</v>
      </c>
    </row>
    <row r="529" spans="11:16" ht="49" thickTop="1" thickBot="1" x14ac:dyDescent="0.6">
      <c r="K529" s="8">
        <v>522</v>
      </c>
      <c r="L529" s="9">
        <f t="shared" si="40"/>
        <v>0</v>
      </c>
      <c r="M529" s="8">
        <f t="shared" si="41"/>
        <v>0</v>
      </c>
      <c r="N529" s="9">
        <f t="shared" si="42"/>
        <v>0</v>
      </c>
      <c r="O529" s="9">
        <f t="shared" si="43"/>
        <v>0</v>
      </c>
      <c r="P529" s="9">
        <f t="shared" si="44"/>
        <v>0</v>
      </c>
    </row>
    <row r="530" spans="11:16" ht="49" thickTop="1" thickBot="1" x14ac:dyDescent="0.6">
      <c r="K530" s="8">
        <v>523</v>
      </c>
      <c r="L530" s="9">
        <f t="shared" si="40"/>
        <v>0</v>
      </c>
      <c r="M530" s="8">
        <f t="shared" si="41"/>
        <v>0</v>
      </c>
      <c r="N530" s="9">
        <f t="shared" si="42"/>
        <v>0</v>
      </c>
      <c r="O530" s="9">
        <f t="shared" si="43"/>
        <v>0</v>
      </c>
      <c r="P530" s="9">
        <f t="shared" si="44"/>
        <v>0</v>
      </c>
    </row>
    <row r="531" spans="11:16" ht="49" thickTop="1" thickBot="1" x14ac:dyDescent="0.6">
      <c r="K531" s="8">
        <v>524</v>
      </c>
      <c r="L531" s="9">
        <f t="shared" si="40"/>
        <v>0</v>
      </c>
      <c r="M531" s="8">
        <f t="shared" si="41"/>
        <v>0</v>
      </c>
      <c r="N531" s="9">
        <f t="shared" si="42"/>
        <v>0</v>
      </c>
      <c r="O531" s="9">
        <f t="shared" si="43"/>
        <v>0</v>
      </c>
      <c r="P531" s="9">
        <f t="shared" si="44"/>
        <v>0</v>
      </c>
    </row>
    <row r="532" spans="11:16" ht="49" thickTop="1" thickBot="1" x14ac:dyDescent="0.6">
      <c r="K532" s="8">
        <v>525</v>
      </c>
      <c r="L532" s="9">
        <f t="shared" si="40"/>
        <v>0</v>
      </c>
      <c r="M532" s="8">
        <f t="shared" si="41"/>
        <v>0</v>
      </c>
      <c r="N532" s="9">
        <f t="shared" si="42"/>
        <v>0</v>
      </c>
      <c r="O532" s="9">
        <f t="shared" si="43"/>
        <v>0</v>
      </c>
      <c r="P532" s="9">
        <f t="shared" si="44"/>
        <v>0</v>
      </c>
    </row>
    <row r="533" spans="11:16" ht="49" thickTop="1" thickBot="1" x14ac:dyDescent="0.6">
      <c r="K533" s="8">
        <v>526</v>
      </c>
      <c r="L533" s="9">
        <f t="shared" si="40"/>
        <v>0</v>
      </c>
      <c r="M533" s="8">
        <f t="shared" si="41"/>
        <v>0</v>
      </c>
      <c r="N533" s="9">
        <f t="shared" si="42"/>
        <v>0</v>
      </c>
      <c r="O533" s="9">
        <f t="shared" si="43"/>
        <v>0</v>
      </c>
      <c r="P533" s="9">
        <f t="shared" si="44"/>
        <v>0</v>
      </c>
    </row>
    <row r="534" spans="11:16" ht="49" thickTop="1" thickBot="1" x14ac:dyDescent="0.6">
      <c r="K534" s="8">
        <v>527</v>
      </c>
      <c r="L534" s="9">
        <f t="shared" si="40"/>
        <v>0</v>
      </c>
      <c r="M534" s="8">
        <f t="shared" si="41"/>
        <v>0</v>
      </c>
      <c r="N534" s="9">
        <f t="shared" si="42"/>
        <v>0</v>
      </c>
      <c r="O534" s="9">
        <f t="shared" si="43"/>
        <v>0</v>
      </c>
      <c r="P534" s="9">
        <f t="shared" si="44"/>
        <v>0</v>
      </c>
    </row>
    <row r="535" spans="11:16" ht="49" thickTop="1" thickBot="1" x14ac:dyDescent="0.6">
      <c r="K535" s="8">
        <v>528</v>
      </c>
      <c r="L535" s="9">
        <f t="shared" si="40"/>
        <v>0</v>
      </c>
      <c r="M535" s="8">
        <f t="shared" si="41"/>
        <v>0</v>
      </c>
      <c r="N535" s="9">
        <f t="shared" si="42"/>
        <v>0</v>
      </c>
      <c r="O535" s="9">
        <f t="shared" si="43"/>
        <v>0</v>
      </c>
      <c r="P535" s="9">
        <f t="shared" si="44"/>
        <v>0</v>
      </c>
    </row>
    <row r="536" spans="11:16" ht="49" thickTop="1" thickBot="1" x14ac:dyDescent="0.6">
      <c r="K536" s="8">
        <v>529</v>
      </c>
      <c r="L536" s="9">
        <f t="shared" si="40"/>
        <v>0</v>
      </c>
      <c r="M536" s="8">
        <f t="shared" si="41"/>
        <v>0</v>
      </c>
      <c r="N536" s="9">
        <f t="shared" si="42"/>
        <v>0</v>
      </c>
      <c r="O536" s="9">
        <f t="shared" si="43"/>
        <v>0</v>
      </c>
      <c r="P536" s="9">
        <f t="shared" si="44"/>
        <v>0</v>
      </c>
    </row>
    <row r="537" spans="11:16" ht="49" thickTop="1" thickBot="1" x14ac:dyDescent="0.6">
      <c r="K537" s="8">
        <v>530</v>
      </c>
      <c r="L537" s="9">
        <f t="shared" si="40"/>
        <v>0</v>
      </c>
      <c r="M537" s="8">
        <f t="shared" si="41"/>
        <v>0</v>
      </c>
      <c r="N537" s="9">
        <f t="shared" si="42"/>
        <v>0</v>
      </c>
      <c r="O537" s="9">
        <f t="shared" si="43"/>
        <v>0</v>
      </c>
      <c r="P537" s="9">
        <f t="shared" si="44"/>
        <v>0</v>
      </c>
    </row>
    <row r="538" spans="11:16" ht="49" thickTop="1" thickBot="1" x14ac:dyDescent="0.6">
      <c r="K538" s="8">
        <v>531</v>
      </c>
      <c r="L538" s="9">
        <f t="shared" si="40"/>
        <v>0</v>
      </c>
      <c r="M538" s="8">
        <f t="shared" si="41"/>
        <v>0</v>
      </c>
      <c r="N538" s="9">
        <f t="shared" si="42"/>
        <v>0</v>
      </c>
      <c r="O538" s="9">
        <f t="shared" si="43"/>
        <v>0</v>
      </c>
      <c r="P538" s="9">
        <f t="shared" si="44"/>
        <v>0</v>
      </c>
    </row>
    <row r="539" spans="11:16" ht="49" thickTop="1" thickBot="1" x14ac:dyDescent="0.6">
      <c r="K539" s="8">
        <v>532</v>
      </c>
      <c r="L539" s="9">
        <f t="shared" si="40"/>
        <v>0</v>
      </c>
      <c r="M539" s="8">
        <f t="shared" si="41"/>
        <v>0</v>
      </c>
      <c r="N539" s="9">
        <f t="shared" si="42"/>
        <v>0</v>
      </c>
      <c r="O539" s="9">
        <f t="shared" si="43"/>
        <v>0</v>
      </c>
      <c r="P539" s="9">
        <f t="shared" si="44"/>
        <v>0</v>
      </c>
    </row>
    <row r="540" spans="11:16" ht="49" thickTop="1" thickBot="1" x14ac:dyDescent="0.6">
      <c r="K540" s="8">
        <v>533</v>
      </c>
      <c r="L540" s="9">
        <f t="shared" si="40"/>
        <v>0</v>
      </c>
      <c r="M540" s="8">
        <f t="shared" si="41"/>
        <v>0</v>
      </c>
      <c r="N540" s="9">
        <f t="shared" si="42"/>
        <v>0</v>
      </c>
      <c r="O540" s="9">
        <f t="shared" si="43"/>
        <v>0</v>
      </c>
      <c r="P540" s="9">
        <f t="shared" si="44"/>
        <v>0</v>
      </c>
    </row>
    <row r="541" spans="11:16" ht="49" thickTop="1" thickBot="1" x14ac:dyDescent="0.6">
      <c r="K541" s="8">
        <v>534</v>
      </c>
      <c r="L541" s="9">
        <f t="shared" si="40"/>
        <v>0</v>
      </c>
      <c r="M541" s="8">
        <f t="shared" si="41"/>
        <v>0</v>
      </c>
      <c r="N541" s="9">
        <f t="shared" si="42"/>
        <v>0</v>
      </c>
      <c r="O541" s="9">
        <f t="shared" si="43"/>
        <v>0</v>
      </c>
      <c r="P541" s="9">
        <f t="shared" si="44"/>
        <v>0</v>
      </c>
    </row>
    <row r="542" spans="11:16" ht="49" thickTop="1" thickBot="1" x14ac:dyDescent="0.6">
      <c r="K542" s="8">
        <v>535</v>
      </c>
      <c r="L542" s="9">
        <f t="shared" si="40"/>
        <v>0</v>
      </c>
      <c r="M542" s="8">
        <f t="shared" si="41"/>
        <v>0</v>
      </c>
      <c r="N542" s="9">
        <f t="shared" si="42"/>
        <v>0</v>
      </c>
      <c r="O542" s="9">
        <f t="shared" si="43"/>
        <v>0</v>
      </c>
      <c r="P542" s="9">
        <f t="shared" si="44"/>
        <v>0</v>
      </c>
    </row>
    <row r="543" spans="11:16" ht="49" thickTop="1" thickBot="1" x14ac:dyDescent="0.6">
      <c r="K543" s="8">
        <v>536</v>
      </c>
      <c r="L543" s="9">
        <f t="shared" si="40"/>
        <v>0</v>
      </c>
      <c r="M543" s="8">
        <f t="shared" si="41"/>
        <v>0</v>
      </c>
      <c r="N543" s="9">
        <f t="shared" si="42"/>
        <v>0</v>
      </c>
      <c r="O543" s="9">
        <f t="shared" si="43"/>
        <v>0</v>
      </c>
      <c r="P543" s="9">
        <f t="shared" si="44"/>
        <v>0</v>
      </c>
    </row>
    <row r="544" spans="11:16" ht="49" thickTop="1" thickBot="1" x14ac:dyDescent="0.6">
      <c r="K544" s="8">
        <v>537</v>
      </c>
      <c r="L544" s="9">
        <f t="shared" si="40"/>
        <v>0</v>
      </c>
      <c r="M544" s="8">
        <f t="shared" si="41"/>
        <v>0</v>
      </c>
      <c r="N544" s="9">
        <f t="shared" si="42"/>
        <v>0</v>
      </c>
      <c r="O544" s="9">
        <f t="shared" si="43"/>
        <v>0</v>
      </c>
      <c r="P544" s="9">
        <f t="shared" si="44"/>
        <v>0</v>
      </c>
    </row>
    <row r="545" spans="11:16" ht="49" thickTop="1" thickBot="1" x14ac:dyDescent="0.6">
      <c r="K545" s="8">
        <v>538</v>
      </c>
      <c r="L545" s="9">
        <f t="shared" si="40"/>
        <v>0</v>
      </c>
      <c r="M545" s="8">
        <f t="shared" si="41"/>
        <v>0</v>
      </c>
      <c r="N545" s="9">
        <f t="shared" si="42"/>
        <v>0</v>
      </c>
      <c r="O545" s="9">
        <f t="shared" si="43"/>
        <v>0</v>
      </c>
      <c r="P545" s="9">
        <f t="shared" si="44"/>
        <v>0</v>
      </c>
    </row>
    <row r="546" spans="11:16" ht="49" thickTop="1" thickBot="1" x14ac:dyDescent="0.6">
      <c r="K546" s="8">
        <v>539</v>
      </c>
      <c r="L546" s="9">
        <f t="shared" si="40"/>
        <v>0</v>
      </c>
      <c r="M546" s="8">
        <f t="shared" si="41"/>
        <v>0</v>
      </c>
      <c r="N546" s="9">
        <f t="shared" si="42"/>
        <v>0</v>
      </c>
      <c r="O546" s="9">
        <f t="shared" si="43"/>
        <v>0</v>
      </c>
      <c r="P546" s="9">
        <f t="shared" si="44"/>
        <v>0</v>
      </c>
    </row>
    <row r="547" spans="11:16" ht="49" thickTop="1" thickBot="1" x14ac:dyDescent="0.6">
      <c r="K547" s="8">
        <v>540</v>
      </c>
      <c r="L547" s="9">
        <f t="shared" si="40"/>
        <v>0</v>
      </c>
      <c r="M547" s="8">
        <f t="shared" si="41"/>
        <v>0</v>
      </c>
      <c r="N547" s="9">
        <f t="shared" si="42"/>
        <v>0</v>
      </c>
      <c r="O547" s="9">
        <f t="shared" si="43"/>
        <v>0</v>
      </c>
      <c r="P547" s="9">
        <f t="shared" si="44"/>
        <v>0</v>
      </c>
    </row>
    <row r="548" spans="11:16" ht="49" thickTop="1" thickBot="1" x14ac:dyDescent="0.6">
      <c r="K548" s="8">
        <v>541</v>
      </c>
      <c r="L548" s="9">
        <f t="shared" si="40"/>
        <v>0</v>
      </c>
      <c r="M548" s="8">
        <f t="shared" si="41"/>
        <v>0</v>
      </c>
      <c r="N548" s="9">
        <f t="shared" si="42"/>
        <v>0</v>
      </c>
      <c r="O548" s="9">
        <f t="shared" si="43"/>
        <v>0</v>
      </c>
      <c r="P548" s="9">
        <f t="shared" si="44"/>
        <v>0</v>
      </c>
    </row>
    <row r="549" spans="11:16" ht="49" thickTop="1" thickBot="1" x14ac:dyDescent="0.6">
      <c r="K549" s="8">
        <v>542</v>
      </c>
      <c r="L549" s="9">
        <f t="shared" si="40"/>
        <v>0</v>
      </c>
      <c r="M549" s="8">
        <f t="shared" si="41"/>
        <v>0</v>
      </c>
      <c r="N549" s="9">
        <f t="shared" si="42"/>
        <v>0</v>
      </c>
      <c r="O549" s="9">
        <f t="shared" si="43"/>
        <v>0</v>
      </c>
      <c r="P549" s="9">
        <f t="shared" si="44"/>
        <v>0</v>
      </c>
    </row>
    <row r="550" spans="11:16" ht="49" thickTop="1" thickBot="1" x14ac:dyDescent="0.6">
      <c r="K550" s="8">
        <v>543</v>
      </c>
      <c r="L550" s="9">
        <f t="shared" si="40"/>
        <v>0</v>
      </c>
      <c r="M550" s="8">
        <f t="shared" si="41"/>
        <v>0</v>
      </c>
      <c r="N550" s="9">
        <f t="shared" si="42"/>
        <v>0</v>
      </c>
      <c r="O550" s="9">
        <f t="shared" si="43"/>
        <v>0</v>
      </c>
      <c r="P550" s="9">
        <f t="shared" si="44"/>
        <v>0</v>
      </c>
    </row>
    <row r="551" spans="11:16" ht="49" thickTop="1" thickBot="1" x14ac:dyDescent="0.6">
      <c r="K551" s="8">
        <v>544</v>
      </c>
      <c r="L551" s="9">
        <f t="shared" si="40"/>
        <v>0</v>
      </c>
      <c r="M551" s="8">
        <f t="shared" si="41"/>
        <v>0</v>
      </c>
      <c r="N551" s="9">
        <f t="shared" si="42"/>
        <v>0</v>
      </c>
      <c r="O551" s="9">
        <f t="shared" si="43"/>
        <v>0</v>
      </c>
      <c r="P551" s="9">
        <f t="shared" si="44"/>
        <v>0</v>
      </c>
    </row>
    <row r="552" spans="11:16" ht="49" thickTop="1" thickBot="1" x14ac:dyDescent="0.6">
      <c r="K552" s="8">
        <v>545</v>
      </c>
      <c r="L552" s="9">
        <f t="shared" si="40"/>
        <v>0</v>
      </c>
      <c r="M552" s="8">
        <f t="shared" si="41"/>
        <v>0</v>
      </c>
      <c r="N552" s="9">
        <f t="shared" si="42"/>
        <v>0</v>
      </c>
      <c r="O552" s="9">
        <f t="shared" si="43"/>
        <v>0</v>
      </c>
      <c r="P552" s="9">
        <f t="shared" si="44"/>
        <v>0</v>
      </c>
    </row>
    <row r="553" spans="11:16" ht="49" thickTop="1" thickBot="1" x14ac:dyDescent="0.6">
      <c r="K553" s="8">
        <v>546</v>
      </c>
      <c r="L553" s="9">
        <f t="shared" si="40"/>
        <v>0</v>
      </c>
      <c r="M553" s="8">
        <f t="shared" si="41"/>
        <v>0</v>
      </c>
      <c r="N553" s="9">
        <f t="shared" si="42"/>
        <v>0</v>
      </c>
      <c r="O553" s="9">
        <f t="shared" si="43"/>
        <v>0</v>
      </c>
      <c r="P553" s="9">
        <f t="shared" si="44"/>
        <v>0</v>
      </c>
    </row>
    <row r="554" spans="11:16" ht="49" thickTop="1" thickBot="1" x14ac:dyDescent="0.6">
      <c r="K554" s="8">
        <v>547</v>
      </c>
      <c r="L554" s="9">
        <f t="shared" si="40"/>
        <v>0</v>
      </c>
      <c r="M554" s="8">
        <f t="shared" si="41"/>
        <v>0</v>
      </c>
      <c r="N554" s="9">
        <f t="shared" si="42"/>
        <v>0</v>
      </c>
      <c r="O554" s="9">
        <f t="shared" si="43"/>
        <v>0</v>
      </c>
      <c r="P554" s="9">
        <f t="shared" si="44"/>
        <v>0</v>
      </c>
    </row>
    <row r="555" spans="11:16" ht="49" thickTop="1" thickBot="1" x14ac:dyDescent="0.6">
      <c r="K555" s="8">
        <v>548</v>
      </c>
      <c r="L555" s="9">
        <f t="shared" si="40"/>
        <v>0</v>
      </c>
      <c r="M555" s="8">
        <f t="shared" si="41"/>
        <v>0</v>
      </c>
      <c r="N555" s="9">
        <f t="shared" si="42"/>
        <v>0</v>
      </c>
      <c r="O555" s="9">
        <f t="shared" si="43"/>
        <v>0</v>
      </c>
      <c r="P555" s="9">
        <f t="shared" si="44"/>
        <v>0</v>
      </c>
    </row>
    <row r="556" spans="11:16" ht="49" thickTop="1" thickBot="1" x14ac:dyDescent="0.6">
      <c r="K556" s="8">
        <v>549</v>
      </c>
      <c r="L556" s="9">
        <f t="shared" si="40"/>
        <v>0</v>
      </c>
      <c r="M556" s="8">
        <f t="shared" si="41"/>
        <v>0</v>
      </c>
      <c r="N556" s="9">
        <f t="shared" si="42"/>
        <v>0</v>
      </c>
      <c r="O556" s="9">
        <f t="shared" si="43"/>
        <v>0</v>
      </c>
      <c r="P556" s="9">
        <f t="shared" si="44"/>
        <v>0</v>
      </c>
    </row>
    <row r="557" spans="11:16" ht="49" thickTop="1" thickBot="1" x14ac:dyDescent="0.6">
      <c r="K557" s="8">
        <v>550</v>
      </c>
      <c r="L557" s="9">
        <f t="shared" si="40"/>
        <v>0</v>
      </c>
      <c r="M557" s="8">
        <f t="shared" si="41"/>
        <v>0</v>
      </c>
      <c r="N557" s="9">
        <f t="shared" si="42"/>
        <v>0</v>
      </c>
      <c r="O557" s="9">
        <f t="shared" si="43"/>
        <v>0</v>
      </c>
      <c r="P557" s="9">
        <f t="shared" si="44"/>
        <v>0</v>
      </c>
    </row>
    <row r="558" spans="11:16" ht="49" thickTop="1" thickBot="1" x14ac:dyDescent="0.6">
      <c r="K558" s="8">
        <v>551</v>
      </c>
      <c r="L558" s="9">
        <f t="shared" si="40"/>
        <v>0</v>
      </c>
      <c r="M558" s="8">
        <f t="shared" si="41"/>
        <v>0</v>
      </c>
      <c r="N558" s="9">
        <f t="shared" si="42"/>
        <v>0</v>
      </c>
      <c r="O558" s="9">
        <f t="shared" si="43"/>
        <v>0</v>
      </c>
      <c r="P558" s="9">
        <f t="shared" si="44"/>
        <v>0</v>
      </c>
    </row>
    <row r="559" spans="11:16" ht="49" thickTop="1" thickBot="1" x14ac:dyDescent="0.6">
      <c r="K559" s="8">
        <v>552</v>
      </c>
      <c r="L559" s="9">
        <f t="shared" si="40"/>
        <v>0</v>
      </c>
      <c r="M559" s="8">
        <f t="shared" si="41"/>
        <v>0</v>
      </c>
      <c r="N559" s="9">
        <f t="shared" si="42"/>
        <v>0</v>
      </c>
      <c r="O559" s="9">
        <f t="shared" si="43"/>
        <v>0</v>
      </c>
      <c r="P559" s="9">
        <f t="shared" si="44"/>
        <v>0</v>
      </c>
    </row>
    <row r="560" spans="11:16" ht="49" thickTop="1" thickBot="1" x14ac:dyDescent="0.6">
      <c r="K560" s="8">
        <v>553</v>
      </c>
      <c r="L560" s="9">
        <f t="shared" si="40"/>
        <v>0</v>
      </c>
      <c r="M560" s="8">
        <f t="shared" si="41"/>
        <v>0</v>
      </c>
      <c r="N560" s="9">
        <f t="shared" si="42"/>
        <v>0</v>
      </c>
      <c r="O560" s="9">
        <f t="shared" si="43"/>
        <v>0</v>
      </c>
      <c r="P560" s="9">
        <f t="shared" si="44"/>
        <v>0</v>
      </c>
    </row>
    <row r="561" spans="11:16" ht="49" thickTop="1" thickBot="1" x14ac:dyDescent="0.6">
      <c r="K561" s="8">
        <v>554</v>
      </c>
      <c r="L561" s="9">
        <f t="shared" si="40"/>
        <v>0</v>
      </c>
      <c r="M561" s="8">
        <f t="shared" si="41"/>
        <v>0</v>
      </c>
      <c r="N561" s="9">
        <f t="shared" si="42"/>
        <v>0</v>
      </c>
      <c r="O561" s="9">
        <f t="shared" si="43"/>
        <v>0</v>
      </c>
      <c r="P561" s="9">
        <f t="shared" si="44"/>
        <v>0</v>
      </c>
    </row>
    <row r="562" spans="11:16" ht="49" thickTop="1" thickBot="1" x14ac:dyDescent="0.6">
      <c r="K562" s="8">
        <v>555</v>
      </c>
      <c r="L562" s="9">
        <f t="shared" si="40"/>
        <v>0</v>
      </c>
      <c r="M562" s="8">
        <f t="shared" si="41"/>
        <v>0</v>
      </c>
      <c r="N562" s="9">
        <f t="shared" si="42"/>
        <v>0</v>
      </c>
      <c r="O562" s="9">
        <f t="shared" si="43"/>
        <v>0</v>
      </c>
      <c r="P562" s="9">
        <f t="shared" si="44"/>
        <v>0</v>
      </c>
    </row>
    <row r="563" spans="11:16" ht="49" thickTop="1" thickBot="1" x14ac:dyDescent="0.6">
      <c r="K563" s="8">
        <v>556</v>
      </c>
      <c r="L563" s="9">
        <f t="shared" si="40"/>
        <v>0</v>
      </c>
      <c r="M563" s="8">
        <f t="shared" si="41"/>
        <v>0</v>
      </c>
      <c r="N563" s="9">
        <f t="shared" si="42"/>
        <v>0</v>
      </c>
      <c r="O563" s="9">
        <f t="shared" si="43"/>
        <v>0</v>
      </c>
      <c r="P563" s="9">
        <f t="shared" si="44"/>
        <v>0</v>
      </c>
    </row>
    <row r="564" spans="11:16" ht="49" thickTop="1" thickBot="1" x14ac:dyDescent="0.6">
      <c r="K564" s="8">
        <v>557</v>
      </c>
      <c r="L564" s="9">
        <f t="shared" si="40"/>
        <v>0</v>
      </c>
      <c r="M564" s="8">
        <f t="shared" si="41"/>
        <v>0</v>
      </c>
      <c r="N564" s="9">
        <f t="shared" si="42"/>
        <v>0</v>
      </c>
      <c r="O564" s="9">
        <f t="shared" si="43"/>
        <v>0</v>
      </c>
      <c r="P564" s="9">
        <f t="shared" si="44"/>
        <v>0</v>
      </c>
    </row>
    <row r="565" spans="11:16" ht="49" thickTop="1" thickBot="1" x14ac:dyDescent="0.6">
      <c r="K565" s="8">
        <v>558</v>
      </c>
      <c r="L565" s="9">
        <f t="shared" si="40"/>
        <v>0</v>
      </c>
      <c r="M565" s="8">
        <f t="shared" si="41"/>
        <v>0</v>
      </c>
      <c r="N565" s="9">
        <f t="shared" si="42"/>
        <v>0</v>
      </c>
      <c r="O565" s="9">
        <f t="shared" si="43"/>
        <v>0</v>
      </c>
      <c r="P565" s="9">
        <f t="shared" si="44"/>
        <v>0</v>
      </c>
    </row>
    <row r="566" spans="11:16" ht="49" thickTop="1" thickBot="1" x14ac:dyDescent="0.6">
      <c r="K566" s="8">
        <v>559</v>
      </c>
      <c r="L566" s="9">
        <f t="shared" si="40"/>
        <v>0</v>
      </c>
      <c r="M566" s="8">
        <f t="shared" si="41"/>
        <v>0</v>
      </c>
      <c r="N566" s="9">
        <f t="shared" si="42"/>
        <v>0</v>
      </c>
      <c r="O566" s="9">
        <f t="shared" si="43"/>
        <v>0</v>
      </c>
      <c r="P566" s="9">
        <f t="shared" si="44"/>
        <v>0</v>
      </c>
    </row>
    <row r="567" spans="11:16" ht="49" thickTop="1" thickBot="1" x14ac:dyDescent="0.6">
      <c r="K567" s="8">
        <v>560</v>
      </c>
      <c r="L567" s="9">
        <f t="shared" si="40"/>
        <v>0</v>
      </c>
      <c r="M567" s="8">
        <f t="shared" si="41"/>
        <v>0</v>
      </c>
      <c r="N567" s="9">
        <f t="shared" si="42"/>
        <v>0</v>
      </c>
      <c r="O567" s="9">
        <f t="shared" si="43"/>
        <v>0</v>
      </c>
      <c r="P567" s="9">
        <f t="shared" si="44"/>
        <v>0</v>
      </c>
    </row>
    <row r="568" spans="11:16" ht="49" thickTop="1" thickBot="1" x14ac:dyDescent="0.6">
      <c r="K568" s="8">
        <v>561</v>
      </c>
      <c r="L568" s="9">
        <f t="shared" si="40"/>
        <v>0</v>
      </c>
      <c r="M568" s="8">
        <f t="shared" si="41"/>
        <v>0</v>
      </c>
      <c r="N568" s="9">
        <f t="shared" si="42"/>
        <v>0</v>
      </c>
      <c r="O568" s="9">
        <f t="shared" si="43"/>
        <v>0</v>
      </c>
      <c r="P568" s="9">
        <f t="shared" si="44"/>
        <v>0</v>
      </c>
    </row>
    <row r="569" spans="11:16" ht="49" thickTop="1" thickBot="1" x14ac:dyDescent="0.6">
      <c r="K569" s="8">
        <v>562</v>
      </c>
      <c r="L569" s="9">
        <f t="shared" si="40"/>
        <v>0</v>
      </c>
      <c r="M569" s="8">
        <f t="shared" si="41"/>
        <v>0</v>
      </c>
      <c r="N569" s="9">
        <f t="shared" si="42"/>
        <v>0</v>
      </c>
      <c r="O569" s="9">
        <f t="shared" si="43"/>
        <v>0</v>
      </c>
      <c r="P569" s="9">
        <f t="shared" si="44"/>
        <v>0</v>
      </c>
    </row>
    <row r="570" spans="11:16" ht="49" thickTop="1" thickBot="1" x14ac:dyDescent="0.6">
      <c r="K570" s="8">
        <v>563</v>
      </c>
      <c r="L570" s="9">
        <f t="shared" si="40"/>
        <v>0</v>
      </c>
      <c r="M570" s="8">
        <f t="shared" si="41"/>
        <v>0</v>
      </c>
      <c r="N570" s="9">
        <f t="shared" si="42"/>
        <v>0</v>
      </c>
      <c r="O570" s="9">
        <f t="shared" si="43"/>
        <v>0</v>
      </c>
      <c r="P570" s="9">
        <f t="shared" si="44"/>
        <v>0</v>
      </c>
    </row>
    <row r="571" spans="11:16" ht="49" thickTop="1" thickBot="1" x14ac:dyDescent="0.6">
      <c r="K571" s="8">
        <v>564</v>
      </c>
      <c r="L571" s="9">
        <f t="shared" si="40"/>
        <v>0</v>
      </c>
      <c r="M571" s="8">
        <f t="shared" si="41"/>
        <v>0</v>
      </c>
      <c r="N571" s="9">
        <f t="shared" si="42"/>
        <v>0</v>
      </c>
      <c r="O571" s="9">
        <f t="shared" si="43"/>
        <v>0</v>
      </c>
      <c r="P571" s="9">
        <f t="shared" si="44"/>
        <v>0</v>
      </c>
    </row>
    <row r="572" spans="11:16" ht="49" thickTop="1" thickBot="1" x14ac:dyDescent="0.6">
      <c r="K572" s="8">
        <v>565</v>
      </c>
      <c r="L572" s="9">
        <f t="shared" si="40"/>
        <v>0</v>
      </c>
      <c r="M572" s="8">
        <f t="shared" si="41"/>
        <v>0</v>
      </c>
      <c r="N572" s="9">
        <f t="shared" si="42"/>
        <v>0</v>
      </c>
      <c r="O572" s="9">
        <f t="shared" si="43"/>
        <v>0</v>
      </c>
      <c r="P572" s="9">
        <f t="shared" si="44"/>
        <v>0</v>
      </c>
    </row>
    <row r="573" spans="11:16" ht="49" thickTop="1" thickBot="1" x14ac:dyDescent="0.6">
      <c r="K573" s="8">
        <v>566</v>
      </c>
      <c r="L573" s="9">
        <f t="shared" si="40"/>
        <v>0</v>
      </c>
      <c r="M573" s="8">
        <f t="shared" si="41"/>
        <v>0</v>
      </c>
      <c r="N573" s="9">
        <f t="shared" si="42"/>
        <v>0</v>
      </c>
      <c r="O573" s="9">
        <f t="shared" si="43"/>
        <v>0</v>
      </c>
      <c r="P573" s="9">
        <f t="shared" si="44"/>
        <v>0</v>
      </c>
    </row>
    <row r="574" spans="11:16" ht="49" thickTop="1" thickBot="1" x14ac:dyDescent="0.6">
      <c r="K574" s="8">
        <v>567</v>
      </c>
      <c r="L574" s="9">
        <f t="shared" si="40"/>
        <v>0</v>
      </c>
      <c r="M574" s="8">
        <f t="shared" si="41"/>
        <v>0</v>
      </c>
      <c r="N574" s="9">
        <f t="shared" si="42"/>
        <v>0</v>
      </c>
      <c r="O574" s="9">
        <f t="shared" si="43"/>
        <v>0</v>
      </c>
      <c r="P574" s="9">
        <f t="shared" si="44"/>
        <v>0</v>
      </c>
    </row>
    <row r="575" spans="11:16" ht="49" thickTop="1" thickBot="1" x14ac:dyDescent="0.6">
      <c r="K575" s="8">
        <v>568</v>
      </c>
      <c r="L575" s="9">
        <f t="shared" si="40"/>
        <v>0</v>
      </c>
      <c r="M575" s="8">
        <f t="shared" si="41"/>
        <v>0</v>
      </c>
      <c r="N575" s="9">
        <f t="shared" si="42"/>
        <v>0</v>
      </c>
      <c r="O575" s="9">
        <f t="shared" si="43"/>
        <v>0</v>
      </c>
      <c r="P575" s="9">
        <f t="shared" si="44"/>
        <v>0</v>
      </c>
    </row>
    <row r="576" spans="11:16" ht="49" thickTop="1" thickBot="1" x14ac:dyDescent="0.6">
      <c r="K576" s="8">
        <v>569</v>
      </c>
      <c r="L576" s="9">
        <f t="shared" si="40"/>
        <v>0</v>
      </c>
      <c r="M576" s="8">
        <f t="shared" si="41"/>
        <v>0</v>
      </c>
      <c r="N576" s="9">
        <f t="shared" si="42"/>
        <v>0</v>
      </c>
      <c r="O576" s="9">
        <f t="shared" si="43"/>
        <v>0</v>
      </c>
      <c r="P576" s="9">
        <f t="shared" si="44"/>
        <v>0</v>
      </c>
    </row>
    <row r="577" spans="11:16" ht="49" thickTop="1" thickBot="1" x14ac:dyDescent="0.6">
      <c r="K577" s="8">
        <v>570</v>
      </c>
      <c r="L577" s="9">
        <f t="shared" si="40"/>
        <v>0</v>
      </c>
      <c r="M577" s="8">
        <f t="shared" si="41"/>
        <v>0</v>
      </c>
      <c r="N577" s="9">
        <f t="shared" si="42"/>
        <v>0</v>
      </c>
      <c r="O577" s="9">
        <f t="shared" si="43"/>
        <v>0</v>
      </c>
      <c r="P577" s="9">
        <f t="shared" si="44"/>
        <v>0</v>
      </c>
    </row>
    <row r="578" spans="11:16" ht="49" thickTop="1" thickBot="1" x14ac:dyDescent="0.6">
      <c r="K578" s="8">
        <v>571</v>
      </c>
      <c r="L578" s="9">
        <f t="shared" si="40"/>
        <v>0</v>
      </c>
      <c r="M578" s="8">
        <f t="shared" si="41"/>
        <v>0</v>
      </c>
      <c r="N578" s="9">
        <f t="shared" si="42"/>
        <v>0</v>
      </c>
      <c r="O578" s="9">
        <f t="shared" si="43"/>
        <v>0</v>
      </c>
      <c r="P578" s="9">
        <f t="shared" si="44"/>
        <v>0</v>
      </c>
    </row>
    <row r="579" spans="11:16" ht="49" thickTop="1" thickBot="1" x14ac:dyDescent="0.6">
      <c r="K579" s="8">
        <v>572</v>
      </c>
      <c r="L579" s="9">
        <f t="shared" si="40"/>
        <v>0</v>
      </c>
      <c r="M579" s="8">
        <f t="shared" si="41"/>
        <v>0</v>
      </c>
      <c r="N579" s="9">
        <f t="shared" si="42"/>
        <v>0</v>
      </c>
      <c r="O579" s="9">
        <f t="shared" si="43"/>
        <v>0</v>
      </c>
      <c r="P579" s="9">
        <f t="shared" si="44"/>
        <v>0</v>
      </c>
    </row>
    <row r="580" spans="11:16" ht="49" thickTop="1" thickBot="1" x14ac:dyDescent="0.6">
      <c r="K580" s="8">
        <v>573</v>
      </c>
      <c r="L580" s="9">
        <f t="shared" si="40"/>
        <v>0</v>
      </c>
      <c r="M580" s="8">
        <f t="shared" si="41"/>
        <v>0</v>
      </c>
      <c r="N580" s="9">
        <f t="shared" si="42"/>
        <v>0</v>
      </c>
      <c r="O580" s="9">
        <f t="shared" si="43"/>
        <v>0</v>
      </c>
      <c r="P580" s="9">
        <f t="shared" si="44"/>
        <v>0</v>
      </c>
    </row>
    <row r="581" spans="11:16" ht="49" thickTop="1" thickBot="1" x14ac:dyDescent="0.6">
      <c r="K581" s="8">
        <v>574</v>
      </c>
      <c r="L581" s="9">
        <f t="shared" si="40"/>
        <v>0</v>
      </c>
      <c r="M581" s="8">
        <f t="shared" si="41"/>
        <v>0</v>
      </c>
      <c r="N581" s="9">
        <f t="shared" si="42"/>
        <v>0</v>
      </c>
      <c r="O581" s="9">
        <f t="shared" si="43"/>
        <v>0</v>
      </c>
      <c r="P581" s="9">
        <f t="shared" si="44"/>
        <v>0</v>
      </c>
    </row>
    <row r="582" spans="11:16" ht="49" thickTop="1" thickBot="1" x14ac:dyDescent="0.6">
      <c r="K582" s="8">
        <v>575</v>
      </c>
      <c r="L582" s="9">
        <f t="shared" si="40"/>
        <v>0</v>
      </c>
      <c r="M582" s="8">
        <f t="shared" si="41"/>
        <v>0</v>
      </c>
      <c r="N582" s="9">
        <f t="shared" si="42"/>
        <v>0</v>
      </c>
      <c r="O582" s="9">
        <f t="shared" si="43"/>
        <v>0</v>
      </c>
      <c r="P582" s="9">
        <f t="shared" si="44"/>
        <v>0</v>
      </c>
    </row>
    <row r="583" spans="11:16" ht="49" thickTop="1" thickBot="1" x14ac:dyDescent="0.6">
      <c r="K583" s="8">
        <v>576</v>
      </c>
      <c r="L583" s="9">
        <f t="shared" si="40"/>
        <v>0</v>
      </c>
      <c r="M583" s="8">
        <f t="shared" si="41"/>
        <v>0</v>
      </c>
      <c r="N583" s="9">
        <f t="shared" si="42"/>
        <v>0</v>
      </c>
      <c r="O583" s="9">
        <f t="shared" si="43"/>
        <v>0</v>
      </c>
      <c r="P583" s="9">
        <f t="shared" si="44"/>
        <v>0</v>
      </c>
    </row>
    <row r="584" spans="11:16" ht="49" thickTop="1" thickBot="1" x14ac:dyDescent="0.6">
      <c r="K584" s="8">
        <v>577</v>
      </c>
      <c r="L584" s="9">
        <f t="shared" si="40"/>
        <v>0</v>
      </c>
      <c r="M584" s="8">
        <f t="shared" si="41"/>
        <v>0</v>
      </c>
      <c r="N584" s="9">
        <f t="shared" si="42"/>
        <v>0</v>
      </c>
      <c r="O584" s="9">
        <f t="shared" si="43"/>
        <v>0</v>
      </c>
      <c r="P584" s="9">
        <f t="shared" si="44"/>
        <v>0</v>
      </c>
    </row>
    <row r="585" spans="11:16" ht="49" thickTop="1" thickBot="1" x14ac:dyDescent="0.6">
      <c r="K585" s="8">
        <v>578</v>
      </c>
      <c r="L585" s="9">
        <f t="shared" si="40"/>
        <v>0</v>
      </c>
      <c r="M585" s="8">
        <f t="shared" si="41"/>
        <v>0</v>
      </c>
      <c r="N585" s="9">
        <f t="shared" si="42"/>
        <v>0</v>
      </c>
      <c r="O585" s="9">
        <f t="shared" si="43"/>
        <v>0</v>
      </c>
      <c r="P585" s="9">
        <f t="shared" si="44"/>
        <v>0</v>
      </c>
    </row>
    <row r="586" spans="11:16" ht="49" thickTop="1" thickBot="1" x14ac:dyDescent="0.6">
      <c r="K586" s="8">
        <v>579</v>
      </c>
      <c r="L586" s="9">
        <f t="shared" ref="L586:L649" si="45">P585</f>
        <v>0</v>
      </c>
      <c r="M586" s="8">
        <f t="shared" ref="M586:M649" si="46">M585</f>
        <v>0</v>
      </c>
      <c r="N586" s="9">
        <f t="shared" ref="N586:N649" si="47">L586+M586</f>
        <v>0</v>
      </c>
      <c r="O586" s="9">
        <f t="shared" ref="O586:O649" si="48">N586*NOMINAL($O$6,12)/12</f>
        <v>0</v>
      </c>
      <c r="P586" s="9">
        <f t="shared" ref="P586:P649" si="49">N586+O586</f>
        <v>0</v>
      </c>
    </row>
    <row r="587" spans="11:16" ht="49" thickTop="1" thickBot="1" x14ac:dyDescent="0.6">
      <c r="K587" s="8">
        <v>580</v>
      </c>
      <c r="L587" s="9">
        <f t="shared" si="45"/>
        <v>0</v>
      </c>
      <c r="M587" s="8">
        <f t="shared" si="46"/>
        <v>0</v>
      </c>
      <c r="N587" s="9">
        <f t="shared" si="47"/>
        <v>0</v>
      </c>
      <c r="O587" s="9">
        <f t="shared" si="48"/>
        <v>0</v>
      </c>
      <c r="P587" s="9">
        <f t="shared" si="49"/>
        <v>0</v>
      </c>
    </row>
    <row r="588" spans="11:16" ht="49" thickTop="1" thickBot="1" x14ac:dyDescent="0.6">
      <c r="K588" s="8">
        <v>581</v>
      </c>
      <c r="L588" s="9">
        <f t="shared" si="45"/>
        <v>0</v>
      </c>
      <c r="M588" s="8">
        <f t="shared" si="46"/>
        <v>0</v>
      </c>
      <c r="N588" s="9">
        <f t="shared" si="47"/>
        <v>0</v>
      </c>
      <c r="O588" s="9">
        <f t="shared" si="48"/>
        <v>0</v>
      </c>
      <c r="P588" s="9">
        <f t="shared" si="49"/>
        <v>0</v>
      </c>
    </row>
    <row r="589" spans="11:16" ht="49" thickTop="1" thickBot="1" x14ac:dyDescent="0.6">
      <c r="K589" s="8">
        <v>582</v>
      </c>
      <c r="L589" s="9">
        <f t="shared" si="45"/>
        <v>0</v>
      </c>
      <c r="M589" s="8">
        <f t="shared" si="46"/>
        <v>0</v>
      </c>
      <c r="N589" s="9">
        <f t="shared" si="47"/>
        <v>0</v>
      </c>
      <c r="O589" s="9">
        <f t="shared" si="48"/>
        <v>0</v>
      </c>
      <c r="P589" s="9">
        <f t="shared" si="49"/>
        <v>0</v>
      </c>
    </row>
    <row r="590" spans="11:16" ht="49" thickTop="1" thickBot="1" x14ac:dyDescent="0.6">
      <c r="K590" s="8">
        <v>583</v>
      </c>
      <c r="L590" s="9">
        <f t="shared" si="45"/>
        <v>0</v>
      </c>
      <c r="M590" s="8">
        <f t="shared" si="46"/>
        <v>0</v>
      </c>
      <c r="N590" s="9">
        <f t="shared" si="47"/>
        <v>0</v>
      </c>
      <c r="O590" s="9">
        <f t="shared" si="48"/>
        <v>0</v>
      </c>
      <c r="P590" s="9">
        <f t="shared" si="49"/>
        <v>0</v>
      </c>
    </row>
    <row r="591" spans="11:16" ht="49" thickTop="1" thickBot="1" x14ac:dyDescent="0.6">
      <c r="K591" s="8">
        <v>584</v>
      </c>
      <c r="L591" s="9">
        <f t="shared" si="45"/>
        <v>0</v>
      </c>
      <c r="M591" s="8">
        <f t="shared" si="46"/>
        <v>0</v>
      </c>
      <c r="N591" s="9">
        <f t="shared" si="47"/>
        <v>0</v>
      </c>
      <c r="O591" s="9">
        <f t="shared" si="48"/>
        <v>0</v>
      </c>
      <c r="P591" s="9">
        <f t="shared" si="49"/>
        <v>0</v>
      </c>
    </row>
    <row r="592" spans="11:16" ht="49" thickTop="1" thickBot="1" x14ac:dyDescent="0.6">
      <c r="K592" s="8">
        <v>585</v>
      </c>
      <c r="L592" s="9">
        <f t="shared" si="45"/>
        <v>0</v>
      </c>
      <c r="M592" s="8">
        <f t="shared" si="46"/>
        <v>0</v>
      </c>
      <c r="N592" s="9">
        <f t="shared" si="47"/>
        <v>0</v>
      </c>
      <c r="O592" s="9">
        <f t="shared" si="48"/>
        <v>0</v>
      </c>
      <c r="P592" s="9">
        <f t="shared" si="49"/>
        <v>0</v>
      </c>
    </row>
    <row r="593" spans="11:16" ht="49" thickTop="1" thickBot="1" x14ac:dyDescent="0.6">
      <c r="K593" s="8">
        <v>586</v>
      </c>
      <c r="L593" s="9">
        <f t="shared" si="45"/>
        <v>0</v>
      </c>
      <c r="M593" s="8">
        <f t="shared" si="46"/>
        <v>0</v>
      </c>
      <c r="N593" s="9">
        <f t="shared" si="47"/>
        <v>0</v>
      </c>
      <c r="O593" s="9">
        <f t="shared" si="48"/>
        <v>0</v>
      </c>
      <c r="P593" s="9">
        <f t="shared" si="49"/>
        <v>0</v>
      </c>
    </row>
    <row r="594" spans="11:16" ht="49" thickTop="1" thickBot="1" x14ac:dyDescent="0.6">
      <c r="K594" s="8">
        <v>587</v>
      </c>
      <c r="L594" s="9">
        <f t="shared" si="45"/>
        <v>0</v>
      </c>
      <c r="M594" s="8">
        <f t="shared" si="46"/>
        <v>0</v>
      </c>
      <c r="N594" s="9">
        <f t="shared" si="47"/>
        <v>0</v>
      </c>
      <c r="O594" s="9">
        <f t="shared" si="48"/>
        <v>0</v>
      </c>
      <c r="P594" s="9">
        <f t="shared" si="49"/>
        <v>0</v>
      </c>
    </row>
    <row r="595" spans="11:16" ht="49" thickTop="1" thickBot="1" x14ac:dyDescent="0.6">
      <c r="K595" s="8">
        <v>588</v>
      </c>
      <c r="L595" s="9">
        <f t="shared" si="45"/>
        <v>0</v>
      </c>
      <c r="M595" s="8">
        <f t="shared" si="46"/>
        <v>0</v>
      </c>
      <c r="N595" s="9">
        <f t="shared" si="47"/>
        <v>0</v>
      </c>
      <c r="O595" s="9">
        <f t="shared" si="48"/>
        <v>0</v>
      </c>
      <c r="P595" s="9">
        <f t="shared" si="49"/>
        <v>0</v>
      </c>
    </row>
    <row r="596" spans="11:16" ht="49" thickTop="1" thickBot="1" x14ac:dyDescent="0.6">
      <c r="K596" s="8">
        <v>589</v>
      </c>
      <c r="L596" s="9">
        <f t="shared" si="45"/>
        <v>0</v>
      </c>
      <c r="M596" s="8">
        <f t="shared" si="46"/>
        <v>0</v>
      </c>
      <c r="N596" s="9">
        <f t="shared" si="47"/>
        <v>0</v>
      </c>
      <c r="O596" s="9">
        <f t="shared" si="48"/>
        <v>0</v>
      </c>
      <c r="P596" s="9">
        <f t="shared" si="49"/>
        <v>0</v>
      </c>
    </row>
    <row r="597" spans="11:16" ht="49" thickTop="1" thickBot="1" x14ac:dyDescent="0.6">
      <c r="K597" s="8">
        <v>590</v>
      </c>
      <c r="L597" s="9">
        <f t="shared" si="45"/>
        <v>0</v>
      </c>
      <c r="M597" s="8">
        <f t="shared" si="46"/>
        <v>0</v>
      </c>
      <c r="N597" s="9">
        <f t="shared" si="47"/>
        <v>0</v>
      </c>
      <c r="O597" s="9">
        <f t="shared" si="48"/>
        <v>0</v>
      </c>
      <c r="P597" s="9">
        <f t="shared" si="49"/>
        <v>0</v>
      </c>
    </row>
    <row r="598" spans="11:16" ht="49" thickTop="1" thickBot="1" x14ac:dyDescent="0.6">
      <c r="K598" s="8">
        <v>591</v>
      </c>
      <c r="L598" s="9">
        <f t="shared" si="45"/>
        <v>0</v>
      </c>
      <c r="M598" s="8">
        <f t="shared" si="46"/>
        <v>0</v>
      </c>
      <c r="N598" s="9">
        <f t="shared" si="47"/>
        <v>0</v>
      </c>
      <c r="O598" s="9">
        <f t="shared" si="48"/>
        <v>0</v>
      </c>
      <c r="P598" s="9">
        <f t="shared" si="49"/>
        <v>0</v>
      </c>
    </row>
    <row r="599" spans="11:16" ht="49" thickTop="1" thickBot="1" x14ac:dyDescent="0.6">
      <c r="K599" s="8">
        <v>592</v>
      </c>
      <c r="L599" s="9">
        <f t="shared" si="45"/>
        <v>0</v>
      </c>
      <c r="M599" s="8">
        <f t="shared" si="46"/>
        <v>0</v>
      </c>
      <c r="N599" s="9">
        <f t="shared" si="47"/>
        <v>0</v>
      </c>
      <c r="O599" s="9">
        <f t="shared" si="48"/>
        <v>0</v>
      </c>
      <c r="P599" s="9">
        <f t="shared" si="49"/>
        <v>0</v>
      </c>
    </row>
    <row r="600" spans="11:16" ht="49" thickTop="1" thickBot="1" x14ac:dyDescent="0.6">
      <c r="K600" s="8">
        <v>593</v>
      </c>
      <c r="L600" s="9">
        <f t="shared" si="45"/>
        <v>0</v>
      </c>
      <c r="M600" s="8">
        <f t="shared" si="46"/>
        <v>0</v>
      </c>
      <c r="N600" s="9">
        <f t="shared" si="47"/>
        <v>0</v>
      </c>
      <c r="O600" s="9">
        <f t="shared" si="48"/>
        <v>0</v>
      </c>
      <c r="P600" s="9">
        <f t="shared" si="49"/>
        <v>0</v>
      </c>
    </row>
    <row r="601" spans="11:16" ht="49" thickTop="1" thickBot="1" x14ac:dyDescent="0.6">
      <c r="K601" s="8">
        <v>594</v>
      </c>
      <c r="L601" s="9">
        <f t="shared" si="45"/>
        <v>0</v>
      </c>
      <c r="M601" s="8">
        <f t="shared" si="46"/>
        <v>0</v>
      </c>
      <c r="N601" s="9">
        <f t="shared" si="47"/>
        <v>0</v>
      </c>
      <c r="O601" s="9">
        <f t="shared" si="48"/>
        <v>0</v>
      </c>
      <c r="P601" s="9">
        <f t="shared" si="49"/>
        <v>0</v>
      </c>
    </row>
    <row r="602" spans="11:16" ht="49" thickTop="1" thickBot="1" x14ac:dyDescent="0.6">
      <c r="K602" s="8">
        <v>595</v>
      </c>
      <c r="L602" s="9">
        <f t="shared" si="45"/>
        <v>0</v>
      </c>
      <c r="M602" s="8">
        <f t="shared" si="46"/>
        <v>0</v>
      </c>
      <c r="N602" s="9">
        <f t="shared" si="47"/>
        <v>0</v>
      </c>
      <c r="O602" s="9">
        <f t="shared" si="48"/>
        <v>0</v>
      </c>
      <c r="P602" s="9">
        <f t="shared" si="49"/>
        <v>0</v>
      </c>
    </row>
    <row r="603" spans="11:16" ht="49" thickTop="1" thickBot="1" x14ac:dyDescent="0.6">
      <c r="K603" s="8">
        <v>596</v>
      </c>
      <c r="L603" s="9">
        <f t="shared" si="45"/>
        <v>0</v>
      </c>
      <c r="M603" s="8">
        <f t="shared" si="46"/>
        <v>0</v>
      </c>
      <c r="N603" s="9">
        <f t="shared" si="47"/>
        <v>0</v>
      </c>
      <c r="O603" s="9">
        <f t="shared" si="48"/>
        <v>0</v>
      </c>
      <c r="P603" s="9">
        <f t="shared" si="49"/>
        <v>0</v>
      </c>
    </row>
    <row r="604" spans="11:16" ht="49" thickTop="1" thickBot="1" x14ac:dyDescent="0.6">
      <c r="K604" s="8">
        <v>597</v>
      </c>
      <c r="L604" s="9">
        <f t="shared" si="45"/>
        <v>0</v>
      </c>
      <c r="M604" s="8">
        <f t="shared" si="46"/>
        <v>0</v>
      </c>
      <c r="N604" s="9">
        <f t="shared" si="47"/>
        <v>0</v>
      </c>
      <c r="O604" s="9">
        <f t="shared" si="48"/>
        <v>0</v>
      </c>
      <c r="P604" s="9">
        <f t="shared" si="49"/>
        <v>0</v>
      </c>
    </row>
    <row r="605" spans="11:16" ht="49" thickTop="1" thickBot="1" x14ac:dyDescent="0.6">
      <c r="K605" s="8">
        <v>598</v>
      </c>
      <c r="L605" s="9">
        <f t="shared" si="45"/>
        <v>0</v>
      </c>
      <c r="M605" s="8">
        <f t="shared" si="46"/>
        <v>0</v>
      </c>
      <c r="N605" s="9">
        <f t="shared" si="47"/>
        <v>0</v>
      </c>
      <c r="O605" s="9">
        <f t="shared" si="48"/>
        <v>0</v>
      </c>
      <c r="P605" s="9">
        <f t="shared" si="49"/>
        <v>0</v>
      </c>
    </row>
    <row r="606" spans="11:16" ht="49" thickTop="1" thickBot="1" x14ac:dyDescent="0.6">
      <c r="K606" s="8">
        <v>599</v>
      </c>
      <c r="L606" s="9">
        <f t="shared" si="45"/>
        <v>0</v>
      </c>
      <c r="M606" s="8">
        <f t="shared" si="46"/>
        <v>0</v>
      </c>
      <c r="N606" s="9">
        <f t="shared" si="47"/>
        <v>0</v>
      </c>
      <c r="O606" s="9">
        <f t="shared" si="48"/>
        <v>0</v>
      </c>
      <c r="P606" s="9">
        <f t="shared" si="49"/>
        <v>0</v>
      </c>
    </row>
    <row r="607" spans="11:16" ht="49" thickTop="1" thickBot="1" x14ac:dyDescent="0.6">
      <c r="K607" s="8">
        <v>600</v>
      </c>
      <c r="L607" s="9">
        <f t="shared" si="45"/>
        <v>0</v>
      </c>
      <c r="M607" s="8">
        <f t="shared" si="46"/>
        <v>0</v>
      </c>
      <c r="N607" s="9">
        <f t="shared" si="47"/>
        <v>0</v>
      </c>
      <c r="O607" s="9">
        <f t="shared" si="48"/>
        <v>0</v>
      </c>
      <c r="P607" s="9">
        <f t="shared" si="49"/>
        <v>0</v>
      </c>
    </row>
    <row r="608" spans="11:16" ht="49" thickTop="1" thickBot="1" x14ac:dyDescent="0.6">
      <c r="K608" s="8">
        <v>601</v>
      </c>
      <c r="L608" s="9">
        <f t="shared" si="45"/>
        <v>0</v>
      </c>
      <c r="M608" s="8">
        <f t="shared" si="46"/>
        <v>0</v>
      </c>
      <c r="N608" s="9">
        <f t="shared" si="47"/>
        <v>0</v>
      </c>
      <c r="O608" s="9">
        <f t="shared" si="48"/>
        <v>0</v>
      </c>
      <c r="P608" s="9">
        <f t="shared" si="49"/>
        <v>0</v>
      </c>
    </row>
    <row r="609" spans="11:16" ht="49" thickTop="1" thickBot="1" x14ac:dyDescent="0.6">
      <c r="K609" s="8">
        <v>602</v>
      </c>
      <c r="L609" s="9">
        <f t="shared" si="45"/>
        <v>0</v>
      </c>
      <c r="M609" s="8">
        <f t="shared" si="46"/>
        <v>0</v>
      </c>
      <c r="N609" s="9">
        <f t="shared" si="47"/>
        <v>0</v>
      </c>
      <c r="O609" s="9">
        <f t="shared" si="48"/>
        <v>0</v>
      </c>
      <c r="P609" s="9">
        <f t="shared" si="49"/>
        <v>0</v>
      </c>
    </row>
    <row r="610" spans="11:16" ht="49" thickTop="1" thickBot="1" x14ac:dyDescent="0.6">
      <c r="K610" s="8">
        <v>603</v>
      </c>
      <c r="L610" s="9">
        <f t="shared" si="45"/>
        <v>0</v>
      </c>
      <c r="M610" s="8">
        <f t="shared" si="46"/>
        <v>0</v>
      </c>
      <c r="N610" s="9">
        <f t="shared" si="47"/>
        <v>0</v>
      </c>
      <c r="O610" s="9">
        <f t="shared" si="48"/>
        <v>0</v>
      </c>
      <c r="P610" s="9">
        <f t="shared" si="49"/>
        <v>0</v>
      </c>
    </row>
    <row r="611" spans="11:16" ht="49" thickTop="1" thickBot="1" x14ac:dyDescent="0.6">
      <c r="K611" s="8">
        <v>604</v>
      </c>
      <c r="L611" s="9">
        <f t="shared" si="45"/>
        <v>0</v>
      </c>
      <c r="M611" s="8">
        <f t="shared" si="46"/>
        <v>0</v>
      </c>
      <c r="N611" s="9">
        <f t="shared" si="47"/>
        <v>0</v>
      </c>
      <c r="O611" s="9">
        <f t="shared" si="48"/>
        <v>0</v>
      </c>
      <c r="P611" s="9">
        <f t="shared" si="49"/>
        <v>0</v>
      </c>
    </row>
    <row r="612" spans="11:16" ht="49" thickTop="1" thickBot="1" x14ac:dyDescent="0.6">
      <c r="K612" s="8">
        <v>605</v>
      </c>
      <c r="L612" s="9">
        <f t="shared" si="45"/>
        <v>0</v>
      </c>
      <c r="M612" s="8">
        <f t="shared" si="46"/>
        <v>0</v>
      </c>
      <c r="N612" s="9">
        <f t="shared" si="47"/>
        <v>0</v>
      </c>
      <c r="O612" s="9">
        <f t="shared" si="48"/>
        <v>0</v>
      </c>
      <c r="P612" s="9">
        <f t="shared" si="49"/>
        <v>0</v>
      </c>
    </row>
    <row r="613" spans="11:16" ht="49" thickTop="1" thickBot="1" x14ac:dyDescent="0.6">
      <c r="K613" s="8">
        <v>606</v>
      </c>
      <c r="L613" s="9">
        <f t="shared" si="45"/>
        <v>0</v>
      </c>
      <c r="M613" s="8">
        <f t="shared" si="46"/>
        <v>0</v>
      </c>
      <c r="N613" s="9">
        <f t="shared" si="47"/>
        <v>0</v>
      </c>
      <c r="O613" s="9">
        <f t="shared" si="48"/>
        <v>0</v>
      </c>
      <c r="P613" s="9">
        <f t="shared" si="49"/>
        <v>0</v>
      </c>
    </row>
    <row r="614" spans="11:16" ht="49" thickTop="1" thickBot="1" x14ac:dyDescent="0.6">
      <c r="K614" s="8">
        <v>607</v>
      </c>
      <c r="L614" s="9">
        <f t="shared" si="45"/>
        <v>0</v>
      </c>
      <c r="M614" s="8">
        <f t="shared" si="46"/>
        <v>0</v>
      </c>
      <c r="N614" s="9">
        <f t="shared" si="47"/>
        <v>0</v>
      </c>
      <c r="O614" s="9">
        <f t="shared" si="48"/>
        <v>0</v>
      </c>
      <c r="P614" s="9">
        <f t="shared" si="49"/>
        <v>0</v>
      </c>
    </row>
    <row r="615" spans="11:16" ht="49" thickTop="1" thickBot="1" x14ac:dyDescent="0.6">
      <c r="K615" s="8">
        <v>608</v>
      </c>
      <c r="L615" s="9">
        <f t="shared" si="45"/>
        <v>0</v>
      </c>
      <c r="M615" s="8">
        <f t="shared" si="46"/>
        <v>0</v>
      </c>
      <c r="N615" s="9">
        <f t="shared" si="47"/>
        <v>0</v>
      </c>
      <c r="O615" s="9">
        <f t="shared" si="48"/>
        <v>0</v>
      </c>
      <c r="P615" s="9">
        <f t="shared" si="49"/>
        <v>0</v>
      </c>
    </row>
    <row r="616" spans="11:16" ht="49" thickTop="1" thickBot="1" x14ac:dyDescent="0.6">
      <c r="K616" s="8">
        <v>609</v>
      </c>
      <c r="L616" s="9">
        <f t="shared" si="45"/>
        <v>0</v>
      </c>
      <c r="M616" s="8">
        <f t="shared" si="46"/>
        <v>0</v>
      </c>
      <c r="N616" s="9">
        <f t="shared" si="47"/>
        <v>0</v>
      </c>
      <c r="O616" s="9">
        <f t="shared" si="48"/>
        <v>0</v>
      </c>
      <c r="P616" s="9">
        <f t="shared" si="49"/>
        <v>0</v>
      </c>
    </row>
    <row r="617" spans="11:16" ht="49" thickTop="1" thickBot="1" x14ac:dyDescent="0.6">
      <c r="K617" s="8">
        <v>610</v>
      </c>
      <c r="L617" s="9">
        <f t="shared" si="45"/>
        <v>0</v>
      </c>
      <c r="M617" s="8">
        <f t="shared" si="46"/>
        <v>0</v>
      </c>
      <c r="N617" s="9">
        <f t="shared" si="47"/>
        <v>0</v>
      </c>
      <c r="O617" s="9">
        <f t="shared" si="48"/>
        <v>0</v>
      </c>
      <c r="P617" s="9">
        <f t="shared" si="49"/>
        <v>0</v>
      </c>
    </row>
    <row r="618" spans="11:16" ht="49" thickTop="1" thickBot="1" x14ac:dyDescent="0.6">
      <c r="K618" s="8">
        <v>611</v>
      </c>
      <c r="L618" s="9">
        <f t="shared" si="45"/>
        <v>0</v>
      </c>
      <c r="M618" s="8">
        <f t="shared" si="46"/>
        <v>0</v>
      </c>
      <c r="N618" s="9">
        <f t="shared" si="47"/>
        <v>0</v>
      </c>
      <c r="O618" s="9">
        <f t="shared" si="48"/>
        <v>0</v>
      </c>
      <c r="P618" s="9">
        <f t="shared" si="49"/>
        <v>0</v>
      </c>
    </row>
    <row r="619" spans="11:16" ht="49" thickTop="1" thickBot="1" x14ac:dyDescent="0.6">
      <c r="K619" s="8">
        <v>612</v>
      </c>
      <c r="L619" s="9">
        <f t="shared" si="45"/>
        <v>0</v>
      </c>
      <c r="M619" s="8">
        <f t="shared" si="46"/>
        <v>0</v>
      </c>
      <c r="N619" s="9">
        <f t="shared" si="47"/>
        <v>0</v>
      </c>
      <c r="O619" s="9">
        <f t="shared" si="48"/>
        <v>0</v>
      </c>
      <c r="P619" s="9">
        <f t="shared" si="49"/>
        <v>0</v>
      </c>
    </row>
    <row r="620" spans="11:16" ht="49" thickTop="1" thickBot="1" x14ac:dyDescent="0.6">
      <c r="K620" s="8">
        <v>613</v>
      </c>
      <c r="L620" s="9">
        <f t="shared" si="45"/>
        <v>0</v>
      </c>
      <c r="M620" s="8">
        <f t="shared" si="46"/>
        <v>0</v>
      </c>
      <c r="N620" s="9">
        <f t="shared" si="47"/>
        <v>0</v>
      </c>
      <c r="O620" s="9">
        <f t="shared" si="48"/>
        <v>0</v>
      </c>
      <c r="P620" s="9">
        <f t="shared" si="49"/>
        <v>0</v>
      </c>
    </row>
    <row r="621" spans="11:16" ht="49" thickTop="1" thickBot="1" x14ac:dyDescent="0.6">
      <c r="K621" s="8">
        <v>614</v>
      </c>
      <c r="L621" s="9">
        <f t="shared" si="45"/>
        <v>0</v>
      </c>
      <c r="M621" s="8">
        <f t="shared" si="46"/>
        <v>0</v>
      </c>
      <c r="N621" s="9">
        <f t="shared" si="47"/>
        <v>0</v>
      </c>
      <c r="O621" s="9">
        <f t="shared" si="48"/>
        <v>0</v>
      </c>
      <c r="P621" s="9">
        <f t="shared" si="49"/>
        <v>0</v>
      </c>
    </row>
    <row r="622" spans="11:16" ht="49" thickTop="1" thickBot="1" x14ac:dyDescent="0.6">
      <c r="K622" s="8">
        <v>615</v>
      </c>
      <c r="L622" s="9">
        <f t="shared" si="45"/>
        <v>0</v>
      </c>
      <c r="M622" s="8">
        <f t="shared" si="46"/>
        <v>0</v>
      </c>
      <c r="N622" s="9">
        <f t="shared" si="47"/>
        <v>0</v>
      </c>
      <c r="O622" s="9">
        <f t="shared" si="48"/>
        <v>0</v>
      </c>
      <c r="P622" s="9">
        <f t="shared" si="49"/>
        <v>0</v>
      </c>
    </row>
    <row r="623" spans="11:16" ht="49" thickTop="1" thickBot="1" x14ac:dyDescent="0.6">
      <c r="K623" s="8">
        <v>616</v>
      </c>
      <c r="L623" s="9">
        <f t="shared" si="45"/>
        <v>0</v>
      </c>
      <c r="M623" s="8">
        <f t="shared" si="46"/>
        <v>0</v>
      </c>
      <c r="N623" s="9">
        <f t="shared" si="47"/>
        <v>0</v>
      </c>
      <c r="O623" s="9">
        <f t="shared" si="48"/>
        <v>0</v>
      </c>
      <c r="P623" s="9">
        <f t="shared" si="49"/>
        <v>0</v>
      </c>
    </row>
    <row r="624" spans="11:16" ht="49" thickTop="1" thickBot="1" x14ac:dyDescent="0.6">
      <c r="K624" s="8">
        <v>617</v>
      </c>
      <c r="L624" s="9">
        <f t="shared" si="45"/>
        <v>0</v>
      </c>
      <c r="M624" s="8">
        <f t="shared" si="46"/>
        <v>0</v>
      </c>
      <c r="N624" s="9">
        <f t="shared" si="47"/>
        <v>0</v>
      </c>
      <c r="O624" s="9">
        <f t="shared" si="48"/>
        <v>0</v>
      </c>
      <c r="P624" s="9">
        <f t="shared" si="49"/>
        <v>0</v>
      </c>
    </row>
    <row r="625" spans="11:16" ht="49" thickTop="1" thickBot="1" x14ac:dyDescent="0.6">
      <c r="K625" s="8">
        <v>618</v>
      </c>
      <c r="L625" s="9">
        <f t="shared" si="45"/>
        <v>0</v>
      </c>
      <c r="M625" s="8">
        <f t="shared" si="46"/>
        <v>0</v>
      </c>
      <c r="N625" s="9">
        <f t="shared" si="47"/>
        <v>0</v>
      </c>
      <c r="O625" s="9">
        <f t="shared" si="48"/>
        <v>0</v>
      </c>
      <c r="P625" s="9">
        <f t="shared" si="49"/>
        <v>0</v>
      </c>
    </row>
    <row r="626" spans="11:16" ht="49" thickTop="1" thickBot="1" x14ac:dyDescent="0.6">
      <c r="K626" s="8">
        <v>619</v>
      </c>
      <c r="L626" s="9">
        <f t="shared" si="45"/>
        <v>0</v>
      </c>
      <c r="M626" s="8">
        <f t="shared" si="46"/>
        <v>0</v>
      </c>
      <c r="N626" s="9">
        <f t="shared" si="47"/>
        <v>0</v>
      </c>
      <c r="O626" s="9">
        <f t="shared" si="48"/>
        <v>0</v>
      </c>
      <c r="P626" s="9">
        <f t="shared" si="49"/>
        <v>0</v>
      </c>
    </row>
    <row r="627" spans="11:16" ht="49" thickTop="1" thickBot="1" x14ac:dyDescent="0.6">
      <c r="K627" s="8">
        <v>620</v>
      </c>
      <c r="L627" s="9">
        <f t="shared" si="45"/>
        <v>0</v>
      </c>
      <c r="M627" s="8">
        <f t="shared" si="46"/>
        <v>0</v>
      </c>
      <c r="N627" s="9">
        <f t="shared" si="47"/>
        <v>0</v>
      </c>
      <c r="O627" s="9">
        <f t="shared" si="48"/>
        <v>0</v>
      </c>
      <c r="P627" s="9">
        <f t="shared" si="49"/>
        <v>0</v>
      </c>
    </row>
    <row r="628" spans="11:16" ht="49" thickTop="1" thickBot="1" x14ac:dyDescent="0.6">
      <c r="K628" s="8">
        <v>621</v>
      </c>
      <c r="L628" s="9">
        <f t="shared" si="45"/>
        <v>0</v>
      </c>
      <c r="M628" s="8">
        <f t="shared" si="46"/>
        <v>0</v>
      </c>
      <c r="N628" s="9">
        <f t="shared" si="47"/>
        <v>0</v>
      </c>
      <c r="O628" s="9">
        <f t="shared" si="48"/>
        <v>0</v>
      </c>
      <c r="P628" s="9">
        <f t="shared" si="49"/>
        <v>0</v>
      </c>
    </row>
    <row r="629" spans="11:16" ht="49" thickTop="1" thickBot="1" x14ac:dyDescent="0.6">
      <c r="K629" s="8">
        <v>622</v>
      </c>
      <c r="L629" s="9">
        <f t="shared" si="45"/>
        <v>0</v>
      </c>
      <c r="M629" s="8">
        <f t="shared" si="46"/>
        <v>0</v>
      </c>
      <c r="N629" s="9">
        <f t="shared" si="47"/>
        <v>0</v>
      </c>
      <c r="O629" s="9">
        <f t="shared" si="48"/>
        <v>0</v>
      </c>
      <c r="P629" s="9">
        <f t="shared" si="49"/>
        <v>0</v>
      </c>
    </row>
    <row r="630" spans="11:16" ht="49" thickTop="1" thickBot="1" x14ac:dyDescent="0.6">
      <c r="K630" s="8">
        <v>623</v>
      </c>
      <c r="L630" s="9">
        <f t="shared" si="45"/>
        <v>0</v>
      </c>
      <c r="M630" s="8">
        <f t="shared" si="46"/>
        <v>0</v>
      </c>
      <c r="N630" s="9">
        <f t="shared" si="47"/>
        <v>0</v>
      </c>
      <c r="O630" s="9">
        <f t="shared" si="48"/>
        <v>0</v>
      </c>
      <c r="P630" s="9">
        <f t="shared" si="49"/>
        <v>0</v>
      </c>
    </row>
    <row r="631" spans="11:16" ht="49" thickTop="1" thickBot="1" x14ac:dyDescent="0.6">
      <c r="K631" s="8">
        <v>624</v>
      </c>
      <c r="L631" s="9">
        <f t="shared" si="45"/>
        <v>0</v>
      </c>
      <c r="M631" s="8">
        <f t="shared" si="46"/>
        <v>0</v>
      </c>
      <c r="N631" s="9">
        <f t="shared" si="47"/>
        <v>0</v>
      </c>
      <c r="O631" s="9">
        <f t="shared" si="48"/>
        <v>0</v>
      </c>
      <c r="P631" s="9">
        <f t="shared" si="49"/>
        <v>0</v>
      </c>
    </row>
    <row r="632" spans="11:16" ht="49" thickTop="1" thickBot="1" x14ac:dyDescent="0.6">
      <c r="K632" s="8">
        <v>625</v>
      </c>
      <c r="L632" s="9">
        <f t="shared" si="45"/>
        <v>0</v>
      </c>
      <c r="M632" s="8">
        <f t="shared" si="46"/>
        <v>0</v>
      </c>
      <c r="N632" s="9">
        <f t="shared" si="47"/>
        <v>0</v>
      </c>
      <c r="O632" s="9">
        <f t="shared" si="48"/>
        <v>0</v>
      </c>
      <c r="P632" s="9">
        <f t="shared" si="49"/>
        <v>0</v>
      </c>
    </row>
    <row r="633" spans="11:16" ht="49" thickTop="1" thickBot="1" x14ac:dyDescent="0.6">
      <c r="K633" s="8">
        <v>626</v>
      </c>
      <c r="L633" s="9">
        <f t="shared" si="45"/>
        <v>0</v>
      </c>
      <c r="M633" s="8">
        <f t="shared" si="46"/>
        <v>0</v>
      </c>
      <c r="N633" s="9">
        <f t="shared" si="47"/>
        <v>0</v>
      </c>
      <c r="O633" s="9">
        <f t="shared" si="48"/>
        <v>0</v>
      </c>
      <c r="P633" s="9">
        <f t="shared" si="49"/>
        <v>0</v>
      </c>
    </row>
    <row r="634" spans="11:16" ht="49" thickTop="1" thickBot="1" x14ac:dyDescent="0.6">
      <c r="K634" s="8">
        <v>627</v>
      </c>
      <c r="L634" s="9">
        <f t="shared" si="45"/>
        <v>0</v>
      </c>
      <c r="M634" s="8">
        <f t="shared" si="46"/>
        <v>0</v>
      </c>
      <c r="N634" s="9">
        <f t="shared" si="47"/>
        <v>0</v>
      </c>
      <c r="O634" s="9">
        <f t="shared" si="48"/>
        <v>0</v>
      </c>
      <c r="P634" s="9">
        <f t="shared" si="49"/>
        <v>0</v>
      </c>
    </row>
    <row r="635" spans="11:16" ht="49" thickTop="1" thickBot="1" x14ac:dyDescent="0.6">
      <c r="K635" s="8">
        <v>628</v>
      </c>
      <c r="L635" s="9">
        <f t="shared" si="45"/>
        <v>0</v>
      </c>
      <c r="M635" s="8">
        <f t="shared" si="46"/>
        <v>0</v>
      </c>
      <c r="N635" s="9">
        <f t="shared" si="47"/>
        <v>0</v>
      </c>
      <c r="O635" s="9">
        <f t="shared" si="48"/>
        <v>0</v>
      </c>
      <c r="P635" s="9">
        <f t="shared" si="49"/>
        <v>0</v>
      </c>
    </row>
    <row r="636" spans="11:16" ht="49" thickTop="1" thickBot="1" x14ac:dyDescent="0.6">
      <c r="K636" s="8">
        <v>629</v>
      </c>
      <c r="L636" s="9">
        <f t="shared" si="45"/>
        <v>0</v>
      </c>
      <c r="M636" s="8">
        <f t="shared" si="46"/>
        <v>0</v>
      </c>
      <c r="N636" s="9">
        <f t="shared" si="47"/>
        <v>0</v>
      </c>
      <c r="O636" s="9">
        <f t="shared" si="48"/>
        <v>0</v>
      </c>
      <c r="P636" s="9">
        <f t="shared" si="49"/>
        <v>0</v>
      </c>
    </row>
    <row r="637" spans="11:16" ht="49" thickTop="1" thickBot="1" x14ac:dyDescent="0.6">
      <c r="K637" s="8">
        <v>630</v>
      </c>
      <c r="L637" s="9">
        <f t="shared" si="45"/>
        <v>0</v>
      </c>
      <c r="M637" s="8">
        <f t="shared" si="46"/>
        <v>0</v>
      </c>
      <c r="N637" s="9">
        <f t="shared" si="47"/>
        <v>0</v>
      </c>
      <c r="O637" s="9">
        <f t="shared" si="48"/>
        <v>0</v>
      </c>
      <c r="P637" s="9">
        <f t="shared" si="49"/>
        <v>0</v>
      </c>
    </row>
    <row r="638" spans="11:16" ht="49" thickTop="1" thickBot="1" x14ac:dyDescent="0.6">
      <c r="K638" s="8">
        <v>631</v>
      </c>
      <c r="L638" s="9">
        <f t="shared" si="45"/>
        <v>0</v>
      </c>
      <c r="M638" s="8">
        <f t="shared" si="46"/>
        <v>0</v>
      </c>
      <c r="N638" s="9">
        <f t="shared" si="47"/>
        <v>0</v>
      </c>
      <c r="O638" s="9">
        <f t="shared" si="48"/>
        <v>0</v>
      </c>
      <c r="P638" s="9">
        <f t="shared" si="49"/>
        <v>0</v>
      </c>
    </row>
    <row r="639" spans="11:16" ht="49" thickTop="1" thickBot="1" x14ac:dyDescent="0.6">
      <c r="K639" s="8">
        <v>632</v>
      </c>
      <c r="L639" s="9">
        <f t="shared" si="45"/>
        <v>0</v>
      </c>
      <c r="M639" s="8">
        <f t="shared" si="46"/>
        <v>0</v>
      </c>
      <c r="N639" s="9">
        <f t="shared" si="47"/>
        <v>0</v>
      </c>
      <c r="O639" s="9">
        <f t="shared" si="48"/>
        <v>0</v>
      </c>
      <c r="P639" s="9">
        <f t="shared" si="49"/>
        <v>0</v>
      </c>
    </row>
    <row r="640" spans="11:16" ht="49" thickTop="1" thickBot="1" x14ac:dyDescent="0.6">
      <c r="K640" s="8">
        <v>633</v>
      </c>
      <c r="L640" s="9">
        <f t="shared" si="45"/>
        <v>0</v>
      </c>
      <c r="M640" s="8">
        <f t="shared" si="46"/>
        <v>0</v>
      </c>
      <c r="N640" s="9">
        <f t="shared" si="47"/>
        <v>0</v>
      </c>
      <c r="O640" s="9">
        <f t="shared" si="48"/>
        <v>0</v>
      </c>
      <c r="P640" s="9">
        <f t="shared" si="49"/>
        <v>0</v>
      </c>
    </row>
    <row r="641" spans="11:16" ht="49" thickTop="1" thickBot="1" x14ac:dyDescent="0.6">
      <c r="K641" s="8">
        <v>634</v>
      </c>
      <c r="L641" s="9">
        <f t="shared" si="45"/>
        <v>0</v>
      </c>
      <c r="M641" s="8">
        <f t="shared" si="46"/>
        <v>0</v>
      </c>
      <c r="N641" s="9">
        <f t="shared" si="47"/>
        <v>0</v>
      </c>
      <c r="O641" s="9">
        <f t="shared" si="48"/>
        <v>0</v>
      </c>
      <c r="P641" s="9">
        <f t="shared" si="49"/>
        <v>0</v>
      </c>
    </row>
    <row r="642" spans="11:16" ht="49" thickTop="1" thickBot="1" x14ac:dyDescent="0.6">
      <c r="K642" s="8">
        <v>635</v>
      </c>
      <c r="L642" s="9">
        <f t="shared" si="45"/>
        <v>0</v>
      </c>
      <c r="M642" s="8">
        <f t="shared" si="46"/>
        <v>0</v>
      </c>
      <c r="N642" s="9">
        <f t="shared" si="47"/>
        <v>0</v>
      </c>
      <c r="O642" s="9">
        <f t="shared" si="48"/>
        <v>0</v>
      </c>
      <c r="P642" s="9">
        <f t="shared" si="49"/>
        <v>0</v>
      </c>
    </row>
    <row r="643" spans="11:16" ht="49" thickTop="1" thickBot="1" x14ac:dyDescent="0.6">
      <c r="K643" s="8">
        <v>636</v>
      </c>
      <c r="L643" s="9">
        <f t="shared" si="45"/>
        <v>0</v>
      </c>
      <c r="M643" s="8">
        <f t="shared" si="46"/>
        <v>0</v>
      </c>
      <c r="N643" s="9">
        <f t="shared" si="47"/>
        <v>0</v>
      </c>
      <c r="O643" s="9">
        <f t="shared" si="48"/>
        <v>0</v>
      </c>
      <c r="P643" s="9">
        <f t="shared" si="49"/>
        <v>0</v>
      </c>
    </row>
    <row r="644" spans="11:16" ht="49" thickTop="1" thickBot="1" x14ac:dyDescent="0.6">
      <c r="K644" s="8">
        <v>637</v>
      </c>
      <c r="L644" s="9">
        <f t="shared" si="45"/>
        <v>0</v>
      </c>
      <c r="M644" s="8">
        <f t="shared" si="46"/>
        <v>0</v>
      </c>
      <c r="N644" s="9">
        <f t="shared" si="47"/>
        <v>0</v>
      </c>
      <c r="O644" s="9">
        <f t="shared" si="48"/>
        <v>0</v>
      </c>
      <c r="P644" s="9">
        <f t="shared" si="49"/>
        <v>0</v>
      </c>
    </row>
    <row r="645" spans="11:16" ht="49" thickTop="1" thickBot="1" x14ac:dyDescent="0.6">
      <c r="K645" s="8">
        <v>638</v>
      </c>
      <c r="L645" s="9">
        <f t="shared" si="45"/>
        <v>0</v>
      </c>
      <c r="M645" s="8">
        <f t="shared" si="46"/>
        <v>0</v>
      </c>
      <c r="N645" s="9">
        <f t="shared" si="47"/>
        <v>0</v>
      </c>
      <c r="O645" s="9">
        <f t="shared" si="48"/>
        <v>0</v>
      </c>
      <c r="P645" s="9">
        <f t="shared" si="49"/>
        <v>0</v>
      </c>
    </row>
    <row r="646" spans="11:16" ht="49" thickTop="1" thickBot="1" x14ac:dyDescent="0.6">
      <c r="K646" s="8">
        <v>639</v>
      </c>
      <c r="L646" s="9">
        <f t="shared" si="45"/>
        <v>0</v>
      </c>
      <c r="M646" s="8">
        <f t="shared" si="46"/>
        <v>0</v>
      </c>
      <c r="N646" s="9">
        <f t="shared" si="47"/>
        <v>0</v>
      </c>
      <c r="O646" s="9">
        <f t="shared" si="48"/>
        <v>0</v>
      </c>
      <c r="P646" s="9">
        <f t="shared" si="49"/>
        <v>0</v>
      </c>
    </row>
    <row r="647" spans="11:16" ht="49" thickTop="1" thickBot="1" x14ac:dyDescent="0.6">
      <c r="K647" s="8">
        <v>640</v>
      </c>
      <c r="L647" s="9">
        <f t="shared" si="45"/>
        <v>0</v>
      </c>
      <c r="M647" s="8">
        <f t="shared" si="46"/>
        <v>0</v>
      </c>
      <c r="N647" s="9">
        <f t="shared" si="47"/>
        <v>0</v>
      </c>
      <c r="O647" s="9">
        <f t="shared" si="48"/>
        <v>0</v>
      </c>
      <c r="P647" s="9">
        <f t="shared" si="49"/>
        <v>0</v>
      </c>
    </row>
    <row r="648" spans="11:16" ht="49" thickTop="1" thickBot="1" x14ac:dyDescent="0.6">
      <c r="K648" s="8">
        <v>641</v>
      </c>
      <c r="L648" s="9">
        <f t="shared" si="45"/>
        <v>0</v>
      </c>
      <c r="M648" s="8">
        <f t="shared" si="46"/>
        <v>0</v>
      </c>
      <c r="N648" s="9">
        <f t="shared" si="47"/>
        <v>0</v>
      </c>
      <c r="O648" s="9">
        <f t="shared" si="48"/>
        <v>0</v>
      </c>
      <c r="P648" s="9">
        <f t="shared" si="49"/>
        <v>0</v>
      </c>
    </row>
    <row r="649" spans="11:16" ht="49" thickTop="1" thickBot="1" x14ac:dyDescent="0.6">
      <c r="K649" s="8">
        <v>642</v>
      </c>
      <c r="L649" s="9">
        <f t="shared" si="45"/>
        <v>0</v>
      </c>
      <c r="M649" s="8">
        <f t="shared" si="46"/>
        <v>0</v>
      </c>
      <c r="N649" s="9">
        <f t="shared" si="47"/>
        <v>0</v>
      </c>
      <c r="O649" s="9">
        <f t="shared" si="48"/>
        <v>0</v>
      </c>
      <c r="P649" s="9">
        <f t="shared" si="49"/>
        <v>0</v>
      </c>
    </row>
    <row r="650" spans="11:16" ht="49" thickTop="1" thickBot="1" x14ac:dyDescent="0.6">
      <c r="K650" s="8">
        <v>643</v>
      </c>
      <c r="L650" s="9">
        <f t="shared" ref="L650:L713" si="50">P649</f>
        <v>0</v>
      </c>
      <c r="M650" s="8">
        <f t="shared" ref="M650:M713" si="51">M649</f>
        <v>0</v>
      </c>
      <c r="N650" s="9">
        <f t="shared" ref="N650:N713" si="52">L650+M650</f>
        <v>0</v>
      </c>
      <c r="O650" s="9">
        <f t="shared" ref="O650:O713" si="53">N650*NOMINAL($O$6,12)/12</f>
        <v>0</v>
      </c>
      <c r="P650" s="9">
        <f t="shared" ref="P650:P713" si="54">N650+O650</f>
        <v>0</v>
      </c>
    </row>
    <row r="651" spans="11:16" ht="49" thickTop="1" thickBot="1" x14ac:dyDescent="0.6">
      <c r="K651" s="8">
        <v>644</v>
      </c>
      <c r="L651" s="9">
        <f t="shared" si="50"/>
        <v>0</v>
      </c>
      <c r="M651" s="8">
        <f t="shared" si="51"/>
        <v>0</v>
      </c>
      <c r="N651" s="9">
        <f t="shared" si="52"/>
        <v>0</v>
      </c>
      <c r="O651" s="9">
        <f t="shared" si="53"/>
        <v>0</v>
      </c>
      <c r="P651" s="9">
        <f t="shared" si="54"/>
        <v>0</v>
      </c>
    </row>
    <row r="652" spans="11:16" ht="49" thickTop="1" thickBot="1" x14ac:dyDescent="0.6">
      <c r="K652" s="8">
        <v>645</v>
      </c>
      <c r="L652" s="9">
        <f t="shared" si="50"/>
        <v>0</v>
      </c>
      <c r="M652" s="8">
        <f t="shared" si="51"/>
        <v>0</v>
      </c>
      <c r="N652" s="9">
        <f t="shared" si="52"/>
        <v>0</v>
      </c>
      <c r="O652" s="9">
        <f t="shared" si="53"/>
        <v>0</v>
      </c>
      <c r="P652" s="9">
        <f t="shared" si="54"/>
        <v>0</v>
      </c>
    </row>
    <row r="653" spans="11:16" ht="49" thickTop="1" thickBot="1" x14ac:dyDescent="0.6">
      <c r="K653" s="8">
        <v>646</v>
      </c>
      <c r="L653" s="9">
        <f t="shared" si="50"/>
        <v>0</v>
      </c>
      <c r="M653" s="8">
        <f t="shared" si="51"/>
        <v>0</v>
      </c>
      <c r="N653" s="9">
        <f t="shared" si="52"/>
        <v>0</v>
      </c>
      <c r="O653" s="9">
        <f t="shared" si="53"/>
        <v>0</v>
      </c>
      <c r="P653" s="9">
        <f t="shared" si="54"/>
        <v>0</v>
      </c>
    </row>
    <row r="654" spans="11:16" ht="49" thickTop="1" thickBot="1" x14ac:dyDescent="0.6">
      <c r="K654" s="8">
        <v>647</v>
      </c>
      <c r="L654" s="9">
        <f t="shared" si="50"/>
        <v>0</v>
      </c>
      <c r="M654" s="8">
        <f t="shared" si="51"/>
        <v>0</v>
      </c>
      <c r="N654" s="9">
        <f t="shared" si="52"/>
        <v>0</v>
      </c>
      <c r="O654" s="9">
        <f t="shared" si="53"/>
        <v>0</v>
      </c>
      <c r="P654" s="9">
        <f t="shared" si="54"/>
        <v>0</v>
      </c>
    </row>
    <row r="655" spans="11:16" ht="49" thickTop="1" thickBot="1" x14ac:dyDescent="0.6">
      <c r="K655" s="8">
        <v>648</v>
      </c>
      <c r="L655" s="9">
        <f t="shared" si="50"/>
        <v>0</v>
      </c>
      <c r="M655" s="8">
        <f t="shared" si="51"/>
        <v>0</v>
      </c>
      <c r="N655" s="9">
        <f t="shared" si="52"/>
        <v>0</v>
      </c>
      <c r="O655" s="9">
        <f t="shared" si="53"/>
        <v>0</v>
      </c>
      <c r="P655" s="9">
        <f t="shared" si="54"/>
        <v>0</v>
      </c>
    </row>
    <row r="656" spans="11:16" ht="49" thickTop="1" thickBot="1" x14ac:dyDescent="0.6">
      <c r="K656" s="8">
        <v>649</v>
      </c>
      <c r="L656" s="9">
        <f t="shared" si="50"/>
        <v>0</v>
      </c>
      <c r="M656" s="8">
        <f t="shared" si="51"/>
        <v>0</v>
      </c>
      <c r="N656" s="9">
        <f t="shared" si="52"/>
        <v>0</v>
      </c>
      <c r="O656" s="9">
        <f t="shared" si="53"/>
        <v>0</v>
      </c>
      <c r="P656" s="9">
        <f t="shared" si="54"/>
        <v>0</v>
      </c>
    </row>
    <row r="657" spans="11:16" ht="49" thickTop="1" thickBot="1" x14ac:dyDescent="0.6">
      <c r="K657" s="8">
        <v>650</v>
      </c>
      <c r="L657" s="9">
        <f t="shared" si="50"/>
        <v>0</v>
      </c>
      <c r="M657" s="8">
        <f t="shared" si="51"/>
        <v>0</v>
      </c>
      <c r="N657" s="9">
        <f t="shared" si="52"/>
        <v>0</v>
      </c>
      <c r="O657" s="9">
        <f t="shared" si="53"/>
        <v>0</v>
      </c>
      <c r="P657" s="9">
        <f t="shared" si="54"/>
        <v>0</v>
      </c>
    </row>
    <row r="658" spans="11:16" ht="49" thickTop="1" thickBot="1" x14ac:dyDescent="0.6">
      <c r="K658" s="8">
        <v>651</v>
      </c>
      <c r="L658" s="9">
        <f t="shared" si="50"/>
        <v>0</v>
      </c>
      <c r="M658" s="8">
        <f t="shared" si="51"/>
        <v>0</v>
      </c>
      <c r="N658" s="9">
        <f t="shared" si="52"/>
        <v>0</v>
      </c>
      <c r="O658" s="9">
        <f t="shared" si="53"/>
        <v>0</v>
      </c>
      <c r="P658" s="9">
        <f t="shared" si="54"/>
        <v>0</v>
      </c>
    </row>
    <row r="659" spans="11:16" ht="49" thickTop="1" thickBot="1" x14ac:dyDescent="0.6">
      <c r="K659" s="8">
        <v>652</v>
      </c>
      <c r="L659" s="9">
        <f t="shared" si="50"/>
        <v>0</v>
      </c>
      <c r="M659" s="8">
        <f t="shared" si="51"/>
        <v>0</v>
      </c>
      <c r="N659" s="9">
        <f t="shared" si="52"/>
        <v>0</v>
      </c>
      <c r="O659" s="9">
        <f t="shared" si="53"/>
        <v>0</v>
      </c>
      <c r="P659" s="9">
        <f t="shared" si="54"/>
        <v>0</v>
      </c>
    </row>
    <row r="660" spans="11:16" ht="49" thickTop="1" thickBot="1" x14ac:dyDescent="0.6">
      <c r="K660" s="8">
        <v>653</v>
      </c>
      <c r="L660" s="9">
        <f t="shared" si="50"/>
        <v>0</v>
      </c>
      <c r="M660" s="8">
        <f t="shared" si="51"/>
        <v>0</v>
      </c>
      <c r="N660" s="9">
        <f t="shared" si="52"/>
        <v>0</v>
      </c>
      <c r="O660" s="9">
        <f t="shared" si="53"/>
        <v>0</v>
      </c>
      <c r="P660" s="9">
        <f t="shared" si="54"/>
        <v>0</v>
      </c>
    </row>
    <row r="661" spans="11:16" ht="49" thickTop="1" thickBot="1" x14ac:dyDescent="0.6">
      <c r="K661" s="8">
        <v>654</v>
      </c>
      <c r="L661" s="9">
        <f t="shared" si="50"/>
        <v>0</v>
      </c>
      <c r="M661" s="8">
        <f t="shared" si="51"/>
        <v>0</v>
      </c>
      <c r="N661" s="9">
        <f t="shared" si="52"/>
        <v>0</v>
      </c>
      <c r="O661" s="9">
        <f t="shared" si="53"/>
        <v>0</v>
      </c>
      <c r="P661" s="9">
        <f t="shared" si="54"/>
        <v>0</v>
      </c>
    </row>
    <row r="662" spans="11:16" ht="49" thickTop="1" thickBot="1" x14ac:dyDescent="0.6">
      <c r="K662" s="8">
        <v>655</v>
      </c>
      <c r="L662" s="9">
        <f t="shared" si="50"/>
        <v>0</v>
      </c>
      <c r="M662" s="8">
        <f t="shared" si="51"/>
        <v>0</v>
      </c>
      <c r="N662" s="9">
        <f t="shared" si="52"/>
        <v>0</v>
      </c>
      <c r="O662" s="9">
        <f t="shared" si="53"/>
        <v>0</v>
      </c>
      <c r="P662" s="9">
        <f t="shared" si="54"/>
        <v>0</v>
      </c>
    </row>
    <row r="663" spans="11:16" ht="49" thickTop="1" thickBot="1" x14ac:dyDescent="0.6">
      <c r="K663" s="8">
        <v>656</v>
      </c>
      <c r="L663" s="9">
        <f t="shared" si="50"/>
        <v>0</v>
      </c>
      <c r="M663" s="8">
        <f t="shared" si="51"/>
        <v>0</v>
      </c>
      <c r="N663" s="9">
        <f t="shared" si="52"/>
        <v>0</v>
      </c>
      <c r="O663" s="9">
        <f t="shared" si="53"/>
        <v>0</v>
      </c>
      <c r="P663" s="9">
        <f t="shared" si="54"/>
        <v>0</v>
      </c>
    </row>
    <row r="664" spans="11:16" ht="49" thickTop="1" thickBot="1" x14ac:dyDescent="0.6">
      <c r="K664" s="8">
        <v>657</v>
      </c>
      <c r="L664" s="9">
        <f t="shared" si="50"/>
        <v>0</v>
      </c>
      <c r="M664" s="8">
        <f t="shared" si="51"/>
        <v>0</v>
      </c>
      <c r="N664" s="9">
        <f t="shared" si="52"/>
        <v>0</v>
      </c>
      <c r="O664" s="9">
        <f t="shared" si="53"/>
        <v>0</v>
      </c>
      <c r="P664" s="9">
        <f t="shared" si="54"/>
        <v>0</v>
      </c>
    </row>
    <row r="665" spans="11:16" ht="49" thickTop="1" thickBot="1" x14ac:dyDescent="0.6">
      <c r="K665" s="8">
        <v>658</v>
      </c>
      <c r="L665" s="9">
        <f t="shared" si="50"/>
        <v>0</v>
      </c>
      <c r="M665" s="8">
        <f t="shared" si="51"/>
        <v>0</v>
      </c>
      <c r="N665" s="9">
        <f t="shared" si="52"/>
        <v>0</v>
      </c>
      <c r="O665" s="9">
        <f t="shared" si="53"/>
        <v>0</v>
      </c>
      <c r="P665" s="9">
        <f t="shared" si="54"/>
        <v>0</v>
      </c>
    </row>
    <row r="666" spans="11:16" ht="49" thickTop="1" thickBot="1" x14ac:dyDescent="0.6">
      <c r="K666" s="8">
        <v>659</v>
      </c>
      <c r="L666" s="9">
        <f t="shared" si="50"/>
        <v>0</v>
      </c>
      <c r="M666" s="8">
        <f t="shared" si="51"/>
        <v>0</v>
      </c>
      <c r="N666" s="9">
        <f t="shared" si="52"/>
        <v>0</v>
      </c>
      <c r="O666" s="9">
        <f t="shared" si="53"/>
        <v>0</v>
      </c>
      <c r="P666" s="9">
        <f t="shared" si="54"/>
        <v>0</v>
      </c>
    </row>
    <row r="667" spans="11:16" ht="49" thickTop="1" thickBot="1" x14ac:dyDescent="0.6">
      <c r="K667" s="8">
        <v>660</v>
      </c>
      <c r="L667" s="9">
        <f t="shared" si="50"/>
        <v>0</v>
      </c>
      <c r="M667" s="8">
        <f t="shared" si="51"/>
        <v>0</v>
      </c>
      <c r="N667" s="9">
        <f t="shared" si="52"/>
        <v>0</v>
      </c>
      <c r="O667" s="9">
        <f t="shared" si="53"/>
        <v>0</v>
      </c>
      <c r="P667" s="9">
        <f t="shared" si="54"/>
        <v>0</v>
      </c>
    </row>
    <row r="668" spans="11:16" ht="49" thickTop="1" thickBot="1" x14ac:dyDescent="0.6">
      <c r="K668" s="8">
        <v>661</v>
      </c>
      <c r="L668" s="9">
        <f t="shared" si="50"/>
        <v>0</v>
      </c>
      <c r="M668" s="8">
        <f t="shared" si="51"/>
        <v>0</v>
      </c>
      <c r="N668" s="9">
        <f t="shared" si="52"/>
        <v>0</v>
      </c>
      <c r="O668" s="9">
        <f t="shared" si="53"/>
        <v>0</v>
      </c>
      <c r="P668" s="9">
        <f t="shared" si="54"/>
        <v>0</v>
      </c>
    </row>
    <row r="669" spans="11:16" ht="49" thickTop="1" thickBot="1" x14ac:dyDescent="0.6">
      <c r="K669" s="8">
        <v>662</v>
      </c>
      <c r="L669" s="9">
        <f t="shared" si="50"/>
        <v>0</v>
      </c>
      <c r="M669" s="8">
        <f t="shared" si="51"/>
        <v>0</v>
      </c>
      <c r="N669" s="9">
        <f t="shared" si="52"/>
        <v>0</v>
      </c>
      <c r="O669" s="9">
        <f t="shared" si="53"/>
        <v>0</v>
      </c>
      <c r="P669" s="9">
        <f t="shared" si="54"/>
        <v>0</v>
      </c>
    </row>
    <row r="670" spans="11:16" ht="49" thickTop="1" thickBot="1" x14ac:dyDescent="0.6">
      <c r="K670" s="8">
        <v>663</v>
      </c>
      <c r="L670" s="9">
        <f t="shared" si="50"/>
        <v>0</v>
      </c>
      <c r="M670" s="8">
        <f t="shared" si="51"/>
        <v>0</v>
      </c>
      <c r="N670" s="9">
        <f t="shared" si="52"/>
        <v>0</v>
      </c>
      <c r="O670" s="9">
        <f t="shared" si="53"/>
        <v>0</v>
      </c>
      <c r="P670" s="9">
        <f t="shared" si="54"/>
        <v>0</v>
      </c>
    </row>
    <row r="671" spans="11:16" ht="49" thickTop="1" thickBot="1" x14ac:dyDescent="0.6">
      <c r="K671" s="8">
        <v>664</v>
      </c>
      <c r="L671" s="9">
        <f t="shared" si="50"/>
        <v>0</v>
      </c>
      <c r="M671" s="8">
        <f t="shared" si="51"/>
        <v>0</v>
      </c>
      <c r="N671" s="9">
        <f t="shared" si="52"/>
        <v>0</v>
      </c>
      <c r="O671" s="9">
        <f t="shared" si="53"/>
        <v>0</v>
      </c>
      <c r="P671" s="9">
        <f t="shared" si="54"/>
        <v>0</v>
      </c>
    </row>
    <row r="672" spans="11:16" ht="49" thickTop="1" thickBot="1" x14ac:dyDescent="0.6">
      <c r="K672" s="8">
        <v>665</v>
      </c>
      <c r="L672" s="9">
        <f t="shared" si="50"/>
        <v>0</v>
      </c>
      <c r="M672" s="8">
        <f t="shared" si="51"/>
        <v>0</v>
      </c>
      <c r="N672" s="9">
        <f t="shared" si="52"/>
        <v>0</v>
      </c>
      <c r="O672" s="9">
        <f t="shared" si="53"/>
        <v>0</v>
      </c>
      <c r="P672" s="9">
        <f t="shared" si="54"/>
        <v>0</v>
      </c>
    </row>
    <row r="673" spans="11:16" ht="49" thickTop="1" thickBot="1" x14ac:dyDescent="0.6">
      <c r="K673" s="8">
        <v>666</v>
      </c>
      <c r="L673" s="9">
        <f t="shared" si="50"/>
        <v>0</v>
      </c>
      <c r="M673" s="8">
        <f t="shared" si="51"/>
        <v>0</v>
      </c>
      <c r="N673" s="9">
        <f t="shared" si="52"/>
        <v>0</v>
      </c>
      <c r="O673" s="9">
        <f t="shared" si="53"/>
        <v>0</v>
      </c>
      <c r="P673" s="9">
        <f t="shared" si="54"/>
        <v>0</v>
      </c>
    </row>
    <row r="674" spans="11:16" ht="49" thickTop="1" thickBot="1" x14ac:dyDescent="0.6">
      <c r="K674" s="8">
        <v>667</v>
      </c>
      <c r="L674" s="9">
        <f t="shared" si="50"/>
        <v>0</v>
      </c>
      <c r="M674" s="8">
        <f t="shared" si="51"/>
        <v>0</v>
      </c>
      <c r="N674" s="9">
        <f t="shared" si="52"/>
        <v>0</v>
      </c>
      <c r="O674" s="9">
        <f t="shared" si="53"/>
        <v>0</v>
      </c>
      <c r="P674" s="9">
        <f t="shared" si="54"/>
        <v>0</v>
      </c>
    </row>
    <row r="675" spans="11:16" ht="49" thickTop="1" thickBot="1" x14ac:dyDescent="0.6">
      <c r="K675" s="8">
        <v>668</v>
      </c>
      <c r="L675" s="9">
        <f t="shared" si="50"/>
        <v>0</v>
      </c>
      <c r="M675" s="8">
        <f t="shared" si="51"/>
        <v>0</v>
      </c>
      <c r="N675" s="9">
        <f t="shared" si="52"/>
        <v>0</v>
      </c>
      <c r="O675" s="9">
        <f t="shared" si="53"/>
        <v>0</v>
      </c>
      <c r="P675" s="9">
        <f t="shared" si="54"/>
        <v>0</v>
      </c>
    </row>
    <row r="676" spans="11:16" ht="49" thickTop="1" thickBot="1" x14ac:dyDescent="0.6">
      <c r="K676" s="8">
        <v>669</v>
      </c>
      <c r="L676" s="9">
        <f t="shared" si="50"/>
        <v>0</v>
      </c>
      <c r="M676" s="8">
        <f t="shared" si="51"/>
        <v>0</v>
      </c>
      <c r="N676" s="9">
        <f t="shared" si="52"/>
        <v>0</v>
      </c>
      <c r="O676" s="9">
        <f t="shared" si="53"/>
        <v>0</v>
      </c>
      <c r="P676" s="9">
        <f t="shared" si="54"/>
        <v>0</v>
      </c>
    </row>
    <row r="677" spans="11:16" ht="49" thickTop="1" thickBot="1" x14ac:dyDescent="0.6">
      <c r="K677" s="8">
        <v>670</v>
      </c>
      <c r="L677" s="9">
        <f t="shared" si="50"/>
        <v>0</v>
      </c>
      <c r="M677" s="8">
        <f t="shared" si="51"/>
        <v>0</v>
      </c>
      <c r="N677" s="9">
        <f t="shared" si="52"/>
        <v>0</v>
      </c>
      <c r="O677" s="9">
        <f t="shared" si="53"/>
        <v>0</v>
      </c>
      <c r="P677" s="9">
        <f t="shared" si="54"/>
        <v>0</v>
      </c>
    </row>
    <row r="678" spans="11:16" ht="49" thickTop="1" thickBot="1" x14ac:dyDescent="0.6">
      <c r="K678" s="8">
        <v>671</v>
      </c>
      <c r="L678" s="9">
        <f t="shared" si="50"/>
        <v>0</v>
      </c>
      <c r="M678" s="8">
        <f t="shared" si="51"/>
        <v>0</v>
      </c>
      <c r="N678" s="9">
        <f t="shared" si="52"/>
        <v>0</v>
      </c>
      <c r="O678" s="9">
        <f t="shared" si="53"/>
        <v>0</v>
      </c>
      <c r="P678" s="9">
        <f t="shared" si="54"/>
        <v>0</v>
      </c>
    </row>
    <row r="679" spans="11:16" ht="49" thickTop="1" thickBot="1" x14ac:dyDescent="0.6">
      <c r="K679" s="8">
        <v>672</v>
      </c>
      <c r="L679" s="9">
        <f t="shared" si="50"/>
        <v>0</v>
      </c>
      <c r="M679" s="8">
        <f t="shared" si="51"/>
        <v>0</v>
      </c>
      <c r="N679" s="9">
        <f t="shared" si="52"/>
        <v>0</v>
      </c>
      <c r="O679" s="9">
        <f t="shared" si="53"/>
        <v>0</v>
      </c>
      <c r="P679" s="9">
        <f t="shared" si="54"/>
        <v>0</v>
      </c>
    </row>
    <row r="680" spans="11:16" ht="49" thickTop="1" thickBot="1" x14ac:dyDescent="0.6">
      <c r="K680" s="8">
        <v>673</v>
      </c>
      <c r="L680" s="9">
        <f t="shared" si="50"/>
        <v>0</v>
      </c>
      <c r="M680" s="8">
        <f t="shared" si="51"/>
        <v>0</v>
      </c>
      <c r="N680" s="9">
        <f t="shared" si="52"/>
        <v>0</v>
      </c>
      <c r="O680" s="9">
        <f t="shared" si="53"/>
        <v>0</v>
      </c>
      <c r="P680" s="9">
        <f t="shared" si="54"/>
        <v>0</v>
      </c>
    </row>
    <row r="681" spans="11:16" ht="49" thickTop="1" thickBot="1" x14ac:dyDescent="0.6">
      <c r="K681" s="8">
        <v>674</v>
      </c>
      <c r="L681" s="9">
        <f t="shared" si="50"/>
        <v>0</v>
      </c>
      <c r="M681" s="8">
        <f t="shared" si="51"/>
        <v>0</v>
      </c>
      <c r="N681" s="9">
        <f t="shared" si="52"/>
        <v>0</v>
      </c>
      <c r="O681" s="9">
        <f t="shared" si="53"/>
        <v>0</v>
      </c>
      <c r="P681" s="9">
        <f t="shared" si="54"/>
        <v>0</v>
      </c>
    </row>
    <row r="682" spans="11:16" ht="49" thickTop="1" thickBot="1" x14ac:dyDescent="0.6">
      <c r="K682" s="8">
        <v>675</v>
      </c>
      <c r="L682" s="9">
        <f t="shared" si="50"/>
        <v>0</v>
      </c>
      <c r="M682" s="8">
        <f t="shared" si="51"/>
        <v>0</v>
      </c>
      <c r="N682" s="9">
        <f t="shared" si="52"/>
        <v>0</v>
      </c>
      <c r="O682" s="9">
        <f t="shared" si="53"/>
        <v>0</v>
      </c>
      <c r="P682" s="9">
        <f t="shared" si="54"/>
        <v>0</v>
      </c>
    </row>
    <row r="683" spans="11:16" ht="49" thickTop="1" thickBot="1" x14ac:dyDescent="0.6">
      <c r="K683" s="8">
        <v>676</v>
      </c>
      <c r="L683" s="9">
        <f t="shared" si="50"/>
        <v>0</v>
      </c>
      <c r="M683" s="8">
        <f t="shared" si="51"/>
        <v>0</v>
      </c>
      <c r="N683" s="9">
        <f t="shared" si="52"/>
        <v>0</v>
      </c>
      <c r="O683" s="9">
        <f t="shared" si="53"/>
        <v>0</v>
      </c>
      <c r="P683" s="9">
        <f t="shared" si="54"/>
        <v>0</v>
      </c>
    </row>
    <row r="684" spans="11:16" ht="49" thickTop="1" thickBot="1" x14ac:dyDescent="0.6">
      <c r="K684" s="8">
        <v>677</v>
      </c>
      <c r="L684" s="9">
        <f t="shared" si="50"/>
        <v>0</v>
      </c>
      <c r="M684" s="8">
        <f t="shared" si="51"/>
        <v>0</v>
      </c>
      <c r="N684" s="9">
        <f t="shared" si="52"/>
        <v>0</v>
      </c>
      <c r="O684" s="9">
        <f t="shared" si="53"/>
        <v>0</v>
      </c>
      <c r="P684" s="9">
        <f t="shared" si="54"/>
        <v>0</v>
      </c>
    </row>
    <row r="685" spans="11:16" ht="49" thickTop="1" thickBot="1" x14ac:dyDescent="0.6">
      <c r="K685" s="8">
        <v>678</v>
      </c>
      <c r="L685" s="9">
        <f t="shared" si="50"/>
        <v>0</v>
      </c>
      <c r="M685" s="8">
        <f t="shared" si="51"/>
        <v>0</v>
      </c>
      <c r="N685" s="9">
        <f t="shared" si="52"/>
        <v>0</v>
      </c>
      <c r="O685" s="9">
        <f t="shared" si="53"/>
        <v>0</v>
      </c>
      <c r="P685" s="9">
        <f t="shared" si="54"/>
        <v>0</v>
      </c>
    </row>
    <row r="686" spans="11:16" ht="49" thickTop="1" thickBot="1" x14ac:dyDescent="0.6">
      <c r="K686" s="8">
        <v>679</v>
      </c>
      <c r="L686" s="9">
        <f t="shared" si="50"/>
        <v>0</v>
      </c>
      <c r="M686" s="8">
        <f t="shared" si="51"/>
        <v>0</v>
      </c>
      <c r="N686" s="9">
        <f t="shared" si="52"/>
        <v>0</v>
      </c>
      <c r="O686" s="9">
        <f t="shared" si="53"/>
        <v>0</v>
      </c>
      <c r="P686" s="9">
        <f t="shared" si="54"/>
        <v>0</v>
      </c>
    </row>
    <row r="687" spans="11:16" ht="49" thickTop="1" thickBot="1" x14ac:dyDescent="0.6">
      <c r="K687" s="8">
        <v>680</v>
      </c>
      <c r="L687" s="9">
        <f t="shared" si="50"/>
        <v>0</v>
      </c>
      <c r="M687" s="8">
        <f t="shared" si="51"/>
        <v>0</v>
      </c>
      <c r="N687" s="9">
        <f t="shared" si="52"/>
        <v>0</v>
      </c>
      <c r="O687" s="9">
        <f t="shared" si="53"/>
        <v>0</v>
      </c>
      <c r="P687" s="9">
        <f t="shared" si="54"/>
        <v>0</v>
      </c>
    </row>
    <row r="688" spans="11:16" ht="49" thickTop="1" thickBot="1" x14ac:dyDescent="0.6">
      <c r="K688" s="8">
        <v>681</v>
      </c>
      <c r="L688" s="9">
        <f t="shared" si="50"/>
        <v>0</v>
      </c>
      <c r="M688" s="8">
        <f t="shared" si="51"/>
        <v>0</v>
      </c>
      <c r="N688" s="9">
        <f t="shared" si="52"/>
        <v>0</v>
      </c>
      <c r="O688" s="9">
        <f t="shared" si="53"/>
        <v>0</v>
      </c>
      <c r="P688" s="9">
        <f t="shared" si="54"/>
        <v>0</v>
      </c>
    </row>
    <row r="689" spans="11:16" ht="49" thickTop="1" thickBot="1" x14ac:dyDescent="0.6">
      <c r="K689" s="8">
        <v>682</v>
      </c>
      <c r="L689" s="9">
        <f t="shared" si="50"/>
        <v>0</v>
      </c>
      <c r="M689" s="8">
        <f t="shared" si="51"/>
        <v>0</v>
      </c>
      <c r="N689" s="9">
        <f t="shared" si="52"/>
        <v>0</v>
      </c>
      <c r="O689" s="9">
        <f t="shared" si="53"/>
        <v>0</v>
      </c>
      <c r="P689" s="9">
        <f t="shared" si="54"/>
        <v>0</v>
      </c>
    </row>
    <row r="690" spans="11:16" ht="49" thickTop="1" thickBot="1" x14ac:dyDescent="0.6">
      <c r="K690" s="8">
        <v>683</v>
      </c>
      <c r="L690" s="9">
        <f t="shared" si="50"/>
        <v>0</v>
      </c>
      <c r="M690" s="8">
        <f t="shared" si="51"/>
        <v>0</v>
      </c>
      <c r="N690" s="9">
        <f t="shared" si="52"/>
        <v>0</v>
      </c>
      <c r="O690" s="9">
        <f t="shared" si="53"/>
        <v>0</v>
      </c>
      <c r="P690" s="9">
        <f t="shared" si="54"/>
        <v>0</v>
      </c>
    </row>
    <row r="691" spans="11:16" ht="49" thickTop="1" thickBot="1" x14ac:dyDescent="0.6">
      <c r="K691" s="8">
        <v>684</v>
      </c>
      <c r="L691" s="9">
        <f t="shared" si="50"/>
        <v>0</v>
      </c>
      <c r="M691" s="8">
        <f t="shared" si="51"/>
        <v>0</v>
      </c>
      <c r="N691" s="9">
        <f t="shared" si="52"/>
        <v>0</v>
      </c>
      <c r="O691" s="9">
        <f t="shared" si="53"/>
        <v>0</v>
      </c>
      <c r="P691" s="9">
        <f t="shared" si="54"/>
        <v>0</v>
      </c>
    </row>
    <row r="692" spans="11:16" ht="49" thickTop="1" thickBot="1" x14ac:dyDescent="0.6">
      <c r="K692" s="8">
        <v>685</v>
      </c>
      <c r="L692" s="9">
        <f t="shared" si="50"/>
        <v>0</v>
      </c>
      <c r="M692" s="8">
        <f t="shared" si="51"/>
        <v>0</v>
      </c>
      <c r="N692" s="9">
        <f t="shared" si="52"/>
        <v>0</v>
      </c>
      <c r="O692" s="9">
        <f t="shared" si="53"/>
        <v>0</v>
      </c>
      <c r="P692" s="9">
        <f t="shared" si="54"/>
        <v>0</v>
      </c>
    </row>
    <row r="693" spans="11:16" ht="49" thickTop="1" thickBot="1" x14ac:dyDescent="0.6">
      <c r="K693" s="8">
        <v>686</v>
      </c>
      <c r="L693" s="9">
        <f t="shared" si="50"/>
        <v>0</v>
      </c>
      <c r="M693" s="8">
        <f t="shared" si="51"/>
        <v>0</v>
      </c>
      <c r="N693" s="9">
        <f t="shared" si="52"/>
        <v>0</v>
      </c>
      <c r="O693" s="9">
        <f t="shared" si="53"/>
        <v>0</v>
      </c>
      <c r="P693" s="9">
        <f t="shared" si="54"/>
        <v>0</v>
      </c>
    </row>
    <row r="694" spans="11:16" ht="49" thickTop="1" thickBot="1" x14ac:dyDescent="0.6">
      <c r="K694" s="8">
        <v>687</v>
      </c>
      <c r="L694" s="9">
        <f t="shared" si="50"/>
        <v>0</v>
      </c>
      <c r="M694" s="8">
        <f t="shared" si="51"/>
        <v>0</v>
      </c>
      <c r="N694" s="9">
        <f t="shared" si="52"/>
        <v>0</v>
      </c>
      <c r="O694" s="9">
        <f t="shared" si="53"/>
        <v>0</v>
      </c>
      <c r="P694" s="9">
        <f t="shared" si="54"/>
        <v>0</v>
      </c>
    </row>
    <row r="695" spans="11:16" ht="49" thickTop="1" thickBot="1" x14ac:dyDescent="0.6">
      <c r="K695" s="8">
        <v>688</v>
      </c>
      <c r="L695" s="9">
        <f t="shared" si="50"/>
        <v>0</v>
      </c>
      <c r="M695" s="8">
        <f t="shared" si="51"/>
        <v>0</v>
      </c>
      <c r="N695" s="9">
        <f t="shared" si="52"/>
        <v>0</v>
      </c>
      <c r="O695" s="9">
        <f t="shared" si="53"/>
        <v>0</v>
      </c>
      <c r="P695" s="9">
        <f t="shared" si="54"/>
        <v>0</v>
      </c>
    </row>
    <row r="696" spans="11:16" ht="49" thickTop="1" thickBot="1" x14ac:dyDescent="0.6">
      <c r="K696" s="8">
        <v>689</v>
      </c>
      <c r="L696" s="9">
        <f t="shared" si="50"/>
        <v>0</v>
      </c>
      <c r="M696" s="8">
        <f t="shared" si="51"/>
        <v>0</v>
      </c>
      <c r="N696" s="9">
        <f t="shared" si="52"/>
        <v>0</v>
      </c>
      <c r="O696" s="9">
        <f t="shared" si="53"/>
        <v>0</v>
      </c>
      <c r="P696" s="9">
        <f t="shared" si="54"/>
        <v>0</v>
      </c>
    </row>
    <row r="697" spans="11:16" ht="49" thickTop="1" thickBot="1" x14ac:dyDescent="0.6">
      <c r="K697" s="8">
        <v>690</v>
      </c>
      <c r="L697" s="9">
        <f t="shared" si="50"/>
        <v>0</v>
      </c>
      <c r="M697" s="8">
        <f t="shared" si="51"/>
        <v>0</v>
      </c>
      <c r="N697" s="9">
        <f t="shared" si="52"/>
        <v>0</v>
      </c>
      <c r="O697" s="9">
        <f t="shared" si="53"/>
        <v>0</v>
      </c>
      <c r="P697" s="9">
        <f t="shared" si="54"/>
        <v>0</v>
      </c>
    </row>
    <row r="698" spans="11:16" ht="49" thickTop="1" thickBot="1" x14ac:dyDescent="0.6">
      <c r="K698" s="8">
        <v>691</v>
      </c>
      <c r="L698" s="9">
        <f t="shared" si="50"/>
        <v>0</v>
      </c>
      <c r="M698" s="8">
        <f t="shared" si="51"/>
        <v>0</v>
      </c>
      <c r="N698" s="9">
        <f t="shared" si="52"/>
        <v>0</v>
      </c>
      <c r="O698" s="9">
        <f t="shared" si="53"/>
        <v>0</v>
      </c>
      <c r="P698" s="9">
        <f t="shared" si="54"/>
        <v>0</v>
      </c>
    </row>
    <row r="699" spans="11:16" ht="49" thickTop="1" thickBot="1" x14ac:dyDescent="0.6">
      <c r="K699" s="8">
        <v>692</v>
      </c>
      <c r="L699" s="9">
        <f t="shared" si="50"/>
        <v>0</v>
      </c>
      <c r="M699" s="8">
        <f t="shared" si="51"/>
        <v>0</v>
      </c>
      <c r="N699" s="9">
        <f t="shared" si="52"/>
        <v>0</v>
      </c>
      <c r="O699" s="9">
        <f t="shared" si="53"/>
        <v>0</v>
      </c>
      <c r="P699" s="9">
        <f t="shared" si="54"/>
        <v>0</v>
      </c>
    </row>
    <row r="700" spans="11:16" ht="49" thickTop="1" thickBot="1" x14ac:dyDescent="0.6">
      <c r="K700" s="8">
        <v>693</v>
      </c>
      <c r="L700" s="9">
        <f t="shared" si="50"/>
        <v>0</v>
      </c>
      <c r="M700" s="8">
        <f t="shared" si="51"/>
        <v>0</v>
      </c>
      <c r="N700" s="9">
        <f t="shared" si="52"/>
        <v>0</v>
      </c>
      <c r="O700" s="9">
        <f t="shared" si="53"/>
        <v>0</v>
      </c>
      <c r="P700" s="9">
        <f t="shared" si="54"/>
        <v>0</v>
      </c>
    </row>
    <row r="701" spans="11:16" ht="49" thickTop="1" thickBot="1" x14ac:dyDescent="0.6">
      <c r="K701" s="8">
        <v>694</v>
      </c>
      <c r="L701" s="9">
        <f t="shared" si="50"/>
        <v>0</v>
      </c>
      <c r="M701" s="8">
        <f t="shared" si="51"/>
        <v>0</v>
      </c>
      <c r="N701" s="9">
        <f t="shared" si="52"/>
        <v>0</v>
      </c>
      <c r="O701" s="9">
        <f t="shared" si="53"/>
        <v>0</v>
      </c>
      <c r="P701" s="9">
        <f t="shared" si="54"/>
        <v>0</v>
      </c>
    </row>
    <row r="702" spans="11:16" ht="49" thickTop="1" thickBot="1" x14ac:dyDescent="0.6">
      <c r="K702" s="8">
        <v>695</v>
      </c>
      <c r="L702" s="9">
        <f t="shared" si="50"/>
        <v>0</v>
      </c>
      <c r="M702" s="8">
        <f t="shared" si="51"/>
        <v>0</v>
      </c>
      <c r="N702" s="9">
        <f t="shared" si="52"/>
        <v>0</v>
      </c>
      <c r="O702" s="9">
        <f t="shared" si="53"/>
        <v>0</v>
      </c>
      <c r="P702" s="9">
        <f t="shared" si="54"/>
        <v>0</v>
      </c>
    </row>
    <row r="703" spans="11:16" ht="49" thickTop="1" thickBot="1" x14ac:dyDescent="0.6">
      <c r="K703" s="8">
        <v>696</v>
      </c>
      <c r="L703" s="9">
        <f t="shared" si="50"/>
        <v>0</v>
      </c>
      <c r="M703" s="8">
        <f t="shared" si="51"/>
        <v>0</v>
      </c>
      <c r="N703" s="9">
        <f t="shared" si="52"/>
        <v>0</v>
      </c>
      <c r="O703" s="9">
        <f t="shared" si="53"/>
        <v>0</v>
      </c>
      <c r="P703" s="9">
        <f t="shared" si="54"/>
        <v>0</v>
      </c>
    </row>
    <row r="704" spans="11:16" ht="49" thickTop="1" thickBot="1" x14ac:dyDescent="0.6">
      <c r="K704" s="8">
        <v>697</v>
      </c>
      <c r="L704" s="9">
        <f t="shared" si="50"/>
        <v>0</v>
      </c>
      <c r="M704" s="8">
        <f t="shared" si="51"/>
        <v>0</v>
      </c>
      <c r="N704" s="9">
        <f t="shared" si="52"/>
        <v>0</v>
      </c>
      <c r="O704" s="9">
        <f t="shared" si="53"/>
        <v>0</v>
      </c>
      <c r="P704" s="9">
        <f t="shared" si="54"/>
        <v>0</v>
      </c>
    </row>
    <row r="705" spans="11:16" ht="49" thickTop="1" thickBot="1" x14ac:dyDescent="0.6">
      <c r="K705" s="8">
        <v>698</v>
      </c>
      <c r="L705" s="9">
        <f t="shared" si="50"/>
        <v>0</v>
      </c>
      <c r="M705" s="8">
        <f t="shared" si="51"/>
        <v>0</v>
      </c>
      <c r="N705" s="9">
        <f t="shared" si="52"/>
        <v>0</v>
      </c>
      <c r="O705" s="9">
        <f t="shared" si="53"/>
        <v>0</v>
      </c>
      <c r="P705" s="9">
        <f t="shared" si="54"/>
        <v>0</v>
      </c>
    </row>
    <row r="706" spans="11:16" ht="49" thickTop="1" thickBot="1" x14ac:dyDescent="0.6">
      <c r="K706" s="8">
        <v>699</v>
      </c>
      <c r="L706" s="9">
        <f t="shared" si="50"/>
        <v>0</v>
      </c>
      <c r="M706" s="8">
        <f t="shared" si="51"/>
        <v>0</v>
      </c>
      <c r="N706" s="9">
        <f t="shared" si="52"/>
        <v>0</v>
      </c>
      <c r="O706" s="9">
        <f t="shared" si="53"/>
        <v>0</v>
      </c>
      <c r="P706" s="9">
        <f t="shared" si="54"/>
        <v>0</v>
      </c>
    </row>
    <row r="707" spans="11:16" ht="49" thickTop="1" thickBot="1" x14ac:dyDescent="0.6">
      <c r="K707" s="8">
        <v>700</v>
      </c>
      <c r="L707" s="9">
        <f t="shared" si="50"/>
        <v>0</v>
      </c>
      <c r="M707" s="8">
        <f t="shared" si="51"/>
        <v>0</v>
      </c>
      <c r="N707" s="9">
        <f t="shared" si="52"/>
        <v>0</v>
      </c>
      <c r="O707" s="9">
        <f t="shared" si="53"/>
        <v>0</v>
      </c>
      <c r="P707" s="9">
        <f t="shared" si="54"/>
        <v>0</v>
      </c>
    </row>
    <row r="708" spans="11:16" ht="49" thickTop="1" thickBot="1" x14ac:dyDescent="0.6">
      <c r="K708" s="8">
        <v>701</v>
      </c>
      <c r="L708" s="9">
        <f t="shared" si="50"/>
        <v>0</v>
      </c>
      <c r="M708" s="8">
        <f t="shared" si="51"/>
        <v>0</v>
      </c>
      <c r="N708" s="9">
        <f t="shared" si="52"/>
        <v>0</v>
      </c>
      <c r="O708" s="9">
        <f t="shared" si="53"/>
        <v>0</v>
      </c>
      <c r="P708" s="9">
        <f t="shared" si="54"/>
        <v>0</v>
      </c>
    </row>
    <row r="709" spans="11:16" ht="49" thickTop="1" thickBot="1" x14ac:dyDescent="0.6">
      <c r="K709" s="8">
        <v>702</v>
      </c>
      <c r="L709" s="9">
        <f t="shared" si="50"/>
        <v>0</v>
      </c>
      <c r="M709" s="8">
        <f t="shared" si="51"/>
        <v>0</v>
      </c>
      <c r="N709" s="9">
        <f t="shared" si="52"/>
        <v>0</v>
      </c>
      <c r="O709" s="9">
        <f t="shared" si="53"/>
        <v>0</v>
      </c>
      <c r="P709" s="9">
        <f t="shared" si="54"/>
        <v>0</v>
      </c>
    </row>
    <row r="710" spans="11:16" ht="49" thickTop="1" thickBot="1" x14ac:dyDescent="0.6">
      <c r="K710" s="8">
        <v>703</v>
      </c>
      <c r="L710" s="9">
        <f t="shared" si="50"/>
        <v>0</v>
      </c>
      <c r="M710" s="8">
        <f t="shared" si="51"/>
        <v>0</v>
      </c>
      <c r="N710" s="9">
        <f t="shared" si="52"/>
        <v>0</v>
      </c>
      <c r="O710" s="9">
        <f t="shared" si="53"/>
        <v>0</v>
      </c>
      <c r="P710" s="9">
        <f t="shared" si="54"/>
        <v>0</v>
      </c>
    </row>
    <row r="711" spans="11:16" ht="49" thickTop="1" thickBot="1" x14ac:dyDescent="0.6">
      <c r="K711" s="8">
        <v>704</v>
      </c>
      <c r="L711" s="9">
        <f t="shared" si="50"/>
        <v>0</v>
      </c>
      <c r="M711" s="8">
        <f t="shared" si="51"/>
        <v>0</v>
      </c>
      <c r="N711" s="9">
        <f t="shared" si="52"/>
        <v>0</v>
      </c>
      <c r="O711" s="9">
        <f t="shared" si="53"/>
        <v>0</v>
      </c>
      <c r="P711" s="9">
        <f t="shared" si="54"/>
        <v>0</v>
      </c>
    </row>
    <row r="712" spans="11:16" ht="49" thickTop="1" thickBot="1" x14ac:dyDescent="0.6">
      <c r="K712" s="8">
        <v>705</v>
      </c>
      <c r="L712" s="9">
        <f t="shared" si="50"/>
        <v>0</v>
      </c>
      <c r="M712" s="8">
        <f t="shared" si="51"/>
        <v>0</v>
      </c>
      <c r="N712" s="9">
        <f t="shared" si="52"/>
        <v>0</v>
      </c>
      <c r="O712" s="9">
        <f t="shared" si="53"/>
        <v>0</v>
      </c>
      <c r="P712" s="9">
        <f t="shared" si="54"/>
        <v>0</v>
      </c>
    </row>
    <row r="713" spans="11:16" ht="49" thickTop="1" thickBot="1" x14ac:dyDescent="0.6">
      <c r="K713" s="8">
        <v>706</v>
      </c>
      <c r="L713" s="9">
        <f t="shared" si="50"/>
        <v>0</v>
      </c>
      <c r="M713" s="8">
        <f t="shared" si="51"/>
        <v>0</v>
      </c>
      <c r="N713" s="9">
        <f t="shared" si="52"/>
        <v>0</v>
      </c>
      <c r="O713" s="9">
        <f t="shared" si="53"/>
        <v>0</v>
      </c>
      <c r="P713" s="9">
        <f t="shared" si="54"/>
        <v>0</v>
      </c>
    </row>
    <row r="714" spans="11:16" ht="49" thickTop="1" thickBot="1" x14ac:dyDescent="0.6">
      <c r="K714" s="8">
        <v>707</v>
      </c>
      <c r="L714" s="9">
        <f t="shared" ref="L714:L727" si="55">P713</f>
        <v>0</v>
      </c>
      <c r="M714" s="8">
        <f t="shared" ref="M714:M727" si="56">M713</f>
        <v>0</v>
      </c>
      <c r="N714" s="9">
        <f t="shared" ref="N714:N727" si="57">L714+M714</f>
        <v>0</v>
      </c>
      <c r="O714" s="9">
        <f t="shared" ref="O714:O727" si="58">N714*NOMINAL($O$6,12)/12</f>
        <v>0</v>
      </c>
      <c r="P714" s="9">
        <f t="shared" ref="P714:P727" si="59">N714+O714</f>
        <v>0</v>
      </c>
    </row>
    <row r="715" spans="11:16" ht="49" thickTop="1" thickBot="1" x14ac:dyDescent="0.6">
      <c r="K715" s="8">
        <v>708</v>
      </c>
      <c r="L715" s="9">
        <f t="shared" si="55"/>
        <v>0</v>
      </c>
      <c r="M715" s="8">
        <f t="shared" si="56"/>
        <v>0</v>
      </c>
      <c r="N715" s="9">
        <f t="shared" si="57"/>
        <v>0</v>
      </c>
      <c r="O715" s="9">
        <f t="shared" si="58"/>
        <v>0</v>
      </c>
      <c r="P715" s="9">
        <f t="shared" si="59"/>
        <v>0</v>
      </c>
    </row>
    <row r="716" spans="11:16" ht="49" thickTop="1" thickBot="1" x14ac:dyDescent="0.6">
      <c r="K716" s="8">
        <v>709</v>
      </c>
      <c r="L716" s="9">
        <f t="shared" si="55"/>
        <v>0</v>
      </c>
      <c r="M716" s="8">
        <f t="shared" si="56"/>
        <v>0</v>
      </c>
      <c r="N716" s="9">
        <f t="shared" si="57"/>
        <v>0</v>
      </c>
      <c r="O716" s="9">
        <f t="shared" si="58"/>
        <v>0</v>
      </c>
      <c r="P716" s="9">
        <f t="shared" si="59"/>
        <v>0</v>
      </c>
    </row>
    <row r="717" spans="11:16" ht="49" thickTop="1" thickBot="1" x14ac:dyDescent="0.6">
      <c r="K717" s="8">
        <v>710</v>
      </c>
      <c r="L717" s="9">
        <f t="shared" si="55"/>
        <v>0</v>
      </c>
      <c r="M717" s="8">
        <f t="shared" si="56"/>
        <v>0</v>
      </c>
      <c r="N717" s="9">
        <f t="shared" si="57"/>
        <v>0</v>
      </c>
      <c r="O717" s="9">
        <f t="shared" si="58"/>
        <v>0</v>
      </c>
      <c r="P717" s="9">
        <f t="shared" si="59"/>
        <v>0</v>
      </c>
    </row>
    <row r="718" spans="11:16" ht="49" thickTop="1" thickBot="1" x14ac:dyDescent="0.6">
      <c r="K718" s="8">
        <v>711</v>
      </c>
      <c r="L718" s="9">
        <f t="shared" si="55"/>
        <v>0</v>
      </c>
      <c r="M718" s="8">
        <f t="shared" si="56"/>
        <v>0</v>
      </c>
      <c r="N718" s="9">
        <f t="shared" si="57"/>
        <v>0</v>
      </c>
      <c r="O718" s="9">
        <f t="shared" si="58"/>
        <v>0</v>
      </c>
      <c r="P718" s="9">
        <f t="shared" si="59"/>
        <v>0</v>
      </c>
    </row>
    <row r="719" spans="11:16" ht="49" thickTop="1" thickBot="1" x14ac:dyDescent="0.6">
      <c r="K719" s="8">
        <v>712</v>
      </c>
      <c r="L719" s="9">
        <f t="shared" si="55"/>
        <v>0</v>
      </c>
      <c r="M719" s="8">
        <f t="shared" si="56"/>
        <v>0</v>
      </c>
      <c r="N719" s="9">
        <f t="shared" si="57"/>
        <v>0</v>
      </c>
      <c r="O719" s="9">
        <f t="shared" si="58"/>
        <v>0</v>
      </c>
      <c r="P719" s="9">
        <f t="shared" si="59"/>
        <v>0</v>
      </c>
    </row>
    <row r="720" spans="11:16" ht="49" thickTop="1" thickBot="1" x14ac:dyDescent="0.6">
      <c r="K720" s="8">
        <v>713</v>
      </c>
      <c r="L720" s="9">
        <f t="shared" si="55"/>
        <v>0</v>
      </c>
      <c r="M720" s="8">
        <f t="shared" si="56"/>
        <v>0</v>
      </c>
      <c r="N720" s="9">
        <f t="shared" si="57"/>
        <v>0</v>
      </c>
      <c r="O720" s="9">
        <f t="shared" si="58"/>
        <v>0</v>
      </c>
      <c r="P720" s="9">
        <f t="shared" si="59"/>
        <v>0</v>
      </c>
    </row>
    <row r="721" spans="11:16" ht="49" thickTop="1" thickBot="1" x14ac:dyDescent="0.6">
      <c r="K721" s="8">
        <v>714</v>
      </c>
      <c r="L721" s="9">
        <f t="shared" si="55"/>
        <v>0</v>
      </c>
      <c r="M721" s="8">
        <f t="shared" si="56"/>
        <v>0</v>
      </c>
      <c r="N721" s="9">
        <f t="shared" si="57"/>
        <v>0</v>
      </c>
      <c r="O721" s="9">
        <f t="shared" si="58"/>
        <v>0</v>
      </c>
      <c r="P721" s="9">
        <f t="shared" si="59"/>
        <v>0</v>
      </c>
    </row>
    <row r="722" spans="11:16" ht="49" thickTop="1" thickBot="1" x14ac:dyDescent="0.6">
      <c r="K722" s="8">
        <v>715</v>
      </c>
      <c r="L722" s="9">
        <f t="shared" si="55"/>
        <v>0</v>
      </c>
      <c r="M722" s="8">
        <f t="shared" si="56"/>
        <v>0</v>
      </c>
      <c r="N722" s="9">
        <f t="shared" si="57"/>
        <v>0</v>
      </c>
      <c r="O722" s="9">
        <f t="shared" si="58"/>
        <v>0</v>
      </c>
      <c r="P722" s="9">
        <f t="shared" si="59"/>
        <v>0</v>
      </c>
    </row>
    <row r="723" spans="11:16" ht="49" thickTop="1" thickBot="1" x14ac:dyDescent="0.6">
      <c r="K723" s="8">
        <v>716</v>
      </c>
      <c r="L723" s="9">
        <f t="shared" si="55"/>
        <v>0</v>
      </c>
      <c r="M723" s="8">
        <f t="shared" si="56"/>
        <v>0</v>
      </c>
      <c r="N723" s="9">
        <f t="shared" si="57"/>
        <v>0</v>
      </c>
      <c r="O723" s="9">
        <f t="shared" si="58"/>
        <v>0</v>
      </c>
      <c r="P723" s="9">
        <f t="shared" si="59"/>
        <v>0</v>
      </c>
    </row>
    <row r="724" spans="11:16" ht="49" thickTop="1" thickBot="1" x14ac:dyDescent="0.6">
      <c r="K724" s="8">
        <v>717</v>
      </c>
      <c r="L724" s="9">
        <f t="shared" si="55"/>
        <v>0</v>
      </c>
      <c r="M724" s="8">
        <f t="shared" si="56"/>
        <v>0</v>
      </c>
      <c r="N724" s="9">
        <f t="shared" si="57"/>
        <v>0</v>
      </c>
      <c r="O724" s="9">
        <f t="shared" si="58"/>
        <v>0</v>
      </c>
      <c r="P724" s="9">
        <f t="shared" si="59"/>
        <v>0</v>
      </c>
    </row>
    <row r="725" spans="11:16" ht="49" thickTop="1" thickBot="1" x14ac:dyDescent="0.6">
      <c r="K725" s="8">
        <v>718</v>
      </c>
      <c r="L725" s="9">
        <f t="shared" si="55"/>
        <v>0</v>
      </c>
      <c r="M725" s="8">
        <f t="shared" si="56"/>
        <v>0</v>
      </c>
      <c r="N725" s="9">
        <f t="shared" si="57"/>
        <v>0</v>
      </c>
      <c r="O725" s="9">
        <f t="shared" si="58"/>
        <v>0</v>
      </c>
      <c r="P725" s="9">
        <f t="shared" si="59"/>
        <v>0</v>
      </c>
    </row>
    <row r="726" spans="11:16" ht="49" thickTop="1" thickBot="1" x14ac:dyDescent="0.6">
      <c r="K726" s="8">
        <v>719</v>
      </c>
      <c r="L726" s="9">
        <f t="shared" si="55"/>
        <v>0</v>
      </c>
      <c r="M726" s="8">
        <f t="shared" si="56"/>
        <v>0</v>
      </c>
      <c r="N726" s="9">
        <f t="shared" si="57"/>
        <v>0</v>
      </c>
      <c r="O726" s="9">
        <f t="shared" si="58"/>
        <v>0</v>
      </c>
      <c r="P726" s="9">
        <f t="shared" si="59"/>
        <v>0</v>
      </c>
    </row>
    <row r="727" spans="11:16" ht="49" thickTop="1" thickBot="1" x14ac:dyDescent="0.6">
      <c r="K727" s="8">
        <v>720</v>
      </c>
      <c r="L727" s="9">
        <f t="shared" si="55"/>
        <v>0</v>
      </c>
      <c r="M727" s="8">
        <f t="shared" si="56"/>
        <v>0</v>
      </c>
      <c r="N727" s="9">
        <f t="shared" si="57"/>
        <v>0</v>
      </c>
      <c r="O727" s="9">
        <f t="shared" si="58"/>
        <v>0</v>
      </c>
      <c r="P727" s="9">
        <f t="shared" si="59"/>
        <v>0</v>
      </c>
    </row>
    <row r="728" spans="11:16" ht="48" thickTop="1" x14ac:dyDescent="0.55000000000000004">
      <c r="L728" s="6"/>
      <c r="N728" s="6"/>
      <c r="O728" s="6"/>
      <c r="P728" s="6"/>
    </row>
    <row r="729" spans="11:16" x14ac:dyDescent="0.55000000000000004">
      <c r="L729" s="6"/>
      <c r="N729" s="6"/>
      <c r="O729" s="6"/>
      <c r="P729" s="6"/>
    </row>
    <row r="730" spans="11:16" x14ac:dyDescent="0.55000000000000004">
      <c r="L730" s="6"/>
      <c r="N730" s="6"/>
      <c r="O730" s="6"/>
      <c r="P730" s="6"/>
    </row>
    <row r="731" spans="11:16" x14ac:dyDescent="0.55000000000000004">
      <c r="L731" s="6"/>
      <c r="N731" s="6"/>
      <c r="O731" s="6"/>
      <c r="P731" s="6"/>
    </row>
    <row r="732" spans="11:16" x14ac:dyDescent="0.55000000000000004">
      <c r="L732" s="6"/>
      <c r="N732" s="6"/>
      <c r="O732" s="6"/>
      <c r="P732" s="6"/>
    </row>
    <row r="733" spans="11:16" x14ac:dyDescent="0.55000000000000004">
      <c r="L733" s="6"/>
      <c r="N733" s="6"/>
      <c r="O733" s="6"/>
      <c r="P733" s="6"/>
    </row>
    <row r="734" spans="11:16" x14ac:dyDescent="0.55000000000000004">
      <c r="L734" s="6"/>
      <c r="N734" s="6"/>
      <c r="O734" s="6"/>
      <c r="P734" s="6"/>
    </row>
    <row r="735" spans="11:16" x14ac:dyDescent="0.55000000000000004">
      <c r="L735" s="6"/>
      <c r="N735" s="6"/>
      <c r="O735" s="6"/>
      <c r="P735" s="6"/>
    </row>
    <row r="736" spans="11:16" x14ac:dyDescent="0.55000000000000004">
      <c r="L736" s="6"/>
      <c r="N736" s="6"/>
      <c r="O736" s="6"/>
      <c r="P736" s="6"/>
    </row>
    <row r="737" spans="12:16" x14ac:dyDescent="0.55000000000000004">
      <c r="L737" s="6"/>
      <c r="N737" s="6"/>
      <c r="O737" s="6"/>
      <c r="P737" s="6"/>
    </row>
    <row r="738" spans="12:16" x14ac:dyDescent="0.55000000000000004">
      <c r="L738" s="6"/>
      <c r="N738" s="6"/>
      <c r="O738" s="6"/>
      <c r="P738" s="6"/>
    </row>
    <row r="739" spans="12:16" x14ac:dyDescent="0.55000000000000004">
      <c r="L739" s="6"/>
      <c r="N739" s="6"/>
      <c r="O739" s="6"/>
      <c r="P739" s="6"/>
    </row>
    <row r="740" spans="12:16" x14ac:dyDescent="0.55000000000000004">
      <c r="L740" s="6"/>
      <c r="N740" s="6"/>
      <c r="O740" s="6"/>
      <c r="P740" s="6"/>
    </row>
    <row r="741" spans="12:16" x14ac:dyDescent="0.55000000000000004">
      <c r="L741" s="6"/>
      <c r="N741" s="6"/>
      <c r="O741" s="6"/>
      <c r="P741" s="6"/>
    </row>
    <row r="742" spans="12:16" x14ac:dyDescent="0.55000000000000004">
      <c r="L742" s="6"/>
      <c r="N742" s="6"/>
      <c r="O742" s="6"/>
      <c r="P742" s="6"/>
    </row>
    <row r="743" spans="12:16" x14ac:dyDescent="0.55000000000000004">
      <c r="L743" s="6"/>
      <c r="N743" s="6"/>
      <c r="O743" s="6"/>
      <c r="P743" s="6"/>
    </row>
    <row r="744" spans="12:16" x14ac:dyDescent="0.55000000000000004">
      <c r="L744" s="6"/>
      <c r="N744" s="6"/>
      <c r="O744" s="6"/>
      <c r="P744" s="6"/>
    </row>
    <row r="745" spans="12:16" x14ac:dyDescent="0.55000000000000004">
      <c r="L745" s="6"/>
      <c r="N745" s="6"/>
      <c r="O745" s="6"/>
      <c r="P745" s="6"/>
    </row>
    <row r="746" spans="12:16" x14ac:dyDescent="0.55000000000000004">
      <c r="L746" s="6"/>
      <c r="N746" s="6"/>
      <c r="O746" s="6"/>
      <c r="P746" s="6"/>
    </row>
    <row r="747" spans="12:16" x14ac:dyDescent="0.55000000000000004">
      <c r="L747" s="6"/>
      <c r="N747" s="6"/>
      <c r="O747" s="6"/>
      <c r="P747" s="6"/>
    </row>
    <row r="748" spans="12:16" x14ac:dyDescent="0.55000000000000004">
      <c r="L748" s="6"/>
      <c r="N748" s="6"/>
      <c r="O748" s="6"/>
      <c r="P748" s="6"/>
    </row>
    <row r="749" spans="12:16" x14ac:dyDescent="0.55000000000000004">
      <c r="L749" s="6"/>
      <c r="N749" s="6"/>
      <c r="O749" s="6"/>
      <c r="P749" s="6"/>
    </row>
    <row r="750" spans="12:16" x14ac:dyDescent="0.55000000000000004">
      <c r="L750" s="6"/>
      <c r="N750" s="6"/>
      <c r="O750" s="6"/>
      <c r="P750" s="6"/>
    </row>
    <row r="751" spans="12:16" x14ac:dyDescent="0.55000000000000004">
      <c r="L751" s="6"/>
      <c r="N751" s="6"/>
      <c r="O751" s="6"/>
      <c r="P751" s="6"/>
    </row>
    <row r="752" spans="12:16" x14ac:dyDescent="0.55000000000000004">
      <c r="L752" s="6"/>
      <c r="N752" s="6"/>
      <c r="O752" s="6"/>
      <c r="P752" s="6"/>
    </row>
    <row r="753" spans="12:16" x14ac:dyDescent="0.55000000000000004">
      <c r="L753" s="6"/>
      <c r="N753" s="6"/>
      <c r="O753" s="6"/>
      <c r="P753" s="6"/>
    </row>
    <row r="754" spans="12:16" x14ac:dyDescent="0.55000000000000004">
      <c r="L754" s="6"/>
      <c r="N754" s="6"/>
      <c r="O754" s="6"/>
      <c r="P754" s="6"/>
    </row>
    <row r="755" spans="12:16" x14ac:dyDescent="0.55000000000000004">
      <c r="L755" s="6"/>
      <c r="N755" s="6"/>
      <c r="O755" s="6"/>
      <c r="P755" s="6"/>
    </row>
    <row r="756" spans="12:16" x14ac:dyDescent="0.55000000000000004">
      <c r="L756" s="6"/>
      <c r="N756" s="6"/>
      <c r="O756" s="6"/>
      <c r="P756" s="6"/>
    </row>
    <row r="757" spans="12:16" x14ac:dyDescent="0.55000000000000004">
      <c r="L757" s="6"/>
      <c r="N757" s="6"/>
      <c r="O757" s="6"/>
      <c r="P757" s="6"/>
    </row>
    <row r="758" spans="12:16" x14ac:dyDescent="0.55000000000000004">
      <c r="L758" s="6"/>
      <c r="N758" s="6"/>
      <c r="O758" s="6"/>
      <c r="P758" s="6"/>
    </row>
    <row r="759" spans="12:16" x14ac:dyDescent="0.55000000000000004">
      <c r="L759" s="6"/>
      <c r="N759" s="6"/>
      <c r="O759" s="6"/>
      <c r="P759" s="6"/>
    </row>
    <row r="760" spans="12:16" x14ac:dyDescent="0.55000000000000004">
      <c r="L760" s="6"/>
      <c r="N760" s="6"/>
      <c r="O760" s="6"/>
      <c r="P760" s="6"/>
    </row>
    <row r="761" spans="12:16" x14ac:dyDescent="0.55000000000000004">
      <c r="L761" s="6"/>
      <c r="N761" s="6"/>
      <c r="O761" s="6"/>
      <c r="P761" s="6"/>
    </row>
    <row r="762" spans="12:16" x14ac:dyDescent="0.55000000000000004">
      <c r="L762" s="6"/>
      <c r="N762" s="6"/>
      <c r="O762" s="6"/>
      <c r="P762" s="6"/>
    </row>
    <row r="763" spans="12:16" x14ac:dyDescent="0.55000000000000004">
      <c r="L763" s="6"/>
      <c r="N763" s="6"/>
      <c r="O763" s="6"/>
      <c r="P763" s="6"/>
    </row>
    <row r="764" spans="12:16" x14ac:dyDescent="0.55000000000000004">
      <c r="L764" s="6"/>
      <c r="N764" s="6"/>
      <c r="O764" s="6"/>
      <c r="P764" s="6"/>
    </row>
    <row r="765" spans="12:16" x14ac:dyDescent="0.55000000000000004">
      <c r="L765" s="6"/>
      <c r="N765" s="6"/>
      <c r="O765" s="6"/>
      <c r="P765" s="6"/>
    </row>
    <row r="766" spans="12:16" x14ac:dyDescent="0.55000000000000004">
      <c r="L766" s="6"/>
      <c r="N766" s="6"/>
      <c r="O766" s="6"/>
      <c r="P766" s="6"/>
    </row>
    <row r="767" spans="12:16" x14ac:dyDescent="0.55000000000000004">
      <c r="L767" s="6"/>
      <c r="N767" s="6"/>
      <c r="O767" s="6"/>
      <c r="P767" s="6"/>
    </row>
    <row r="768" spans="12:16" x14ac:dyDescent="0.55000000000000004">
      <c r="L768" s="6"/>
      <c r="N768" s="6"/>
      <c r="O768" s="6"/>
      <c r="P768" s="6"/>
    </row>
    <row r="769" spans="12:16" x14ac:dyDescent="0.55000000000000004">
      <c r="L769" s="6"/>
      <c r="N769" s="6"/>
      <c r="O769" s="6"/>
      <c r="P76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026-24BB-FB4F-A7FA-5EB47E0B7D46}">
  <dimension ref="E1:Y75"/>
  <sheetViews>
    <sheetView showGridLines="0" zoomScale="50" workbookViewId="0">
      <selection activeCell="J6" sqref="J6"/>
    </sheetView>
  </sheetViews>
  <sheetFormatPr baseColWidth="10" defaultRowHeight="47" x14ac:dyDescent="0.55000000000000004"/>
  <cols>
    <col min="1" max="1" width="10.83203125" style="1"/>
    <col min="2" max="2" width="33.6640625" style="1" customWidth="1"/>
    <col min="3" max="3" width="15.83203125" style="1" customWidth="1"/>
    <col min="4" max="4" width="15.5" style="1" customWidth="1"/>
    <col min="5" max="5" width="5.33203125" style="1" customWidth="1"/>
    <col min="6" max="6" width="2.5" style="1" customWidth="1"/>
    <col min="7" max="7" width="15.5" style="1" bestFit="1" customWidth="1"/>
    <col min="8" max="8" width="54.5" style="1" bestFit="1" customWidth="1"/>
    <col min="9" max="9" width="74.1640625" style="1" customWidth="1"/>
    <col min="10" max="10" width="84.83203125" style="1" bestFit="1" customWidth="1"/>
    <col min="11" max="11" width="2.83203125" style="1" customWidth="1"/>
    <col min="12" max="12" width="10.83203125" style="1"/>
    <col min="13" max="13" width="46.83203125" style="1" bestFit="1" customWidth="1"/>
    <col min="14" max="14" width="24.83203125" style="1" customWidth="1"/>
    <col min="15" max="15" width="17.5" style="1" customWidth="1"/>
    <col min="16" max="16" width="18.33203125" style="1" customWidth="1"/>
    <col min="17" max="17" width="17.83203125" style="1" customWidth="1"/>
    <col min="18" max="18" width="10.6640625" style="1" customWidth="1"/>
    <col min="19" max="19" width="2.83203125" style="1" customWidth="1"/>
    <col min="20" max="20" width="15.5" style="1" bestFit="1" customWidth="1"/>
    <col min="21" max="21" width="51.83203125" style="1" bestFit="1" customWidth="1"/>
    <col min="22" max="22" width="63.5" style="1" customWidth="1"/>
    <col min="23" max="23" width="84.83203125" style="1" bestFit="1" customWidth="1"/>
    <col min="24" max="24" width="2.33203125" style="1" customWidth="1"/>
    <col min="25" max="25" width="5.5" style="1" customWidth="1"/>
    <col min="26" max="16384" width="10.83203125" style="1"/>
  </cols>
  <sheetData>
    <row r="1" spans="5:25" ht="48" thickBot="1" x14ac:dyDescent="0.6"/>
    <row r="2" spans="5:25" ht="49" thickTop="1" thickBot="1" x14ac:dyDescent="0.6"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70"/>
    </row>
    <row r="3" spans="5:25" ht="15" customHeight="1" thickTop="1" x14ac:dyDescent="0.55000000000000004">
      <c r="E3" s="71"/>
      <c r="F3" s="68"/>
      <c r="G3" s="69"/>
      <c r="H3" s="69"/>
      <c r="I3" s="69"/>
      <c r="J3" s="69"/>
      <c r="K3" s="70"/>
      <c r="S3" s="68"/>
      <c r="T3" s="69"/>
      <c r="U3" s="69"/>
      <c r="V3" s="69"/>
      <c r="W3" s="69"/>
      <c r="X3" s="70"/>
      <c r="Y3" s="73"/>
    </row>
    <row r="4" spans="5:25" x14ac:dyDescent="0.55000000000000004">
      <c r="E4" s="71"/>
      <c r="F4" s="71"/>
      <c r="G4" s="74" t="s">
        <v>5</v>
      </c>
      <c r="H4" s="75"/>
      <c r="I4" s="75"/>
      <c r="J4" s="75"/>
      <c r="K4" s="65"/>
      <c r="S4" s="71"/>
      <c r="T4" s="74" t="s">
        <v>6</v>
      </c>
      <c r="U4" s="75"/>
      <c r="V4" s="75"/>
      <c r="W4" s="75"/>
      <c r="X4" s="65"/>
      <c r="Y4" s="73"/>
    </row>
    <row r="5" spans="5:25" ht="21" customHeight="1" thickBot="1" x14ac:dyDescent="0.6">
      <c r="E5" s="71"/>
      <c r="F5" s="71"/>
      <c r="K5" s="65"/>
      <c r="S5" s="71"/>
      <c r="X5" s="65"/>
      <c r="Y5" s="73"/>
    </row>
    <row r="6" spans="5:25" ht="49" thickTop="1" thickBot="1" x14ac:dyDescent="0.6">
      <c r="E6" s="71"/>
      <c r="F6" s="71"/>
      <c r="G6" s="66" t="s">
        <v>7</v>
      </c>
      <c r="H6" s="66"/>
      <c r="I6" s="67"/>
      <c r="J6" s="32">
        <f>'Minor + Major Investment'!H8</f>
        <v>0</v>
      </c>
      <c r="K6" s="65"/>
      <c r="S6" s="71"/>
      <c r="T6" s="66" t="s">
        <v>7</v>
      </c>
      <c r="U6" s="66"/>
      <c r="V6" s="67"/>
      <c r="W6" s="22">
        <f>J6</f>
        <v>0</v>
      </c>
      <c r="X6" s="65"/>
      <c r="Y6" s="73"/>
    </row>
    <row r="7" spans="5:25" ht="49" thickTop="1" thickBot="1" x14ac:dyDescent="0.6">
      <c r="E7" s="71"/>
      <c r="F7" s="71"/>
      <c r="G7" s="66" t="s">
        <v>8</v>
      </c>
      <c r="H7" s="66"/>
      <c r="I7" s="67"/>
      <c r="J7" s="44">
        <f>'Minor + Major Investment'!H9</f>
        <v>60</v>
      </c>
      <c r="K7" s="65"/>
      <c r="S7" s="71"/>
      <c r="T7" s="66" t="s">
        <v>8</v>
      </c>
      <c r="U7" s="66"/>
      <c r="V7" s="67"/>
      <c r="W7" s="36">
        <f>J7</f>
        <v>60</v>
      </c>
      <c r="X7" s="65"/>
      <c r="Y7" s="73"/>
    </row>
    <row r="8" spans="5:25" ht="49" thickTop="1" thickBot="1" x14ac:dyDescent="0.6">
      <c r="E8" s="71"/>
      <c r="F8" s="71"/>
      <c r="G8" s="66" t="s">
        <v>9</v>
      </c>
      <c r="H8" s="66"/>
      <c r="I8" s="67"/>
      <c r="J8" s="43">
        <f>'Minor + Major Investment'!H10</f>
        <v>0</v>
      </c>
      <c r="K8" s="65"/>
      <c r="S8" s="71"/>
      <c r="T8" s="66" t="s">
        <v>9</v>
      </c>
      <c r="U8" s="66"/>
      <c r="V8" s="67"/>
      <c r="W8" s="37">
        <f>J8</f>
        <v>0</v>
      </c>
      <c r="X8" s="65"/>
      <c r="Y8" s="73"/>
    </row>
    <row r="9" spans="5:25" ht="49" thickTop="1" thickBot="1" x14ac:dyDescent="0.6">
      <c r="E9" s="71"/>
      <c r="F9" s="71"/>
      <c r="G9" s="66" t="s">
        <v>10</v>
      </c>
      <c r="H9" s="66"/>
      <c r="I9" s="67"/>
      <c r="J9" s="33">
        <v>0.1</v>
      </c>
      <c r="K9" s="65"/>
      <c r="S9" s="71"/>
      <c r="T9" s="66" t="s">
        <v>43</v>
      </c>
      <c r="U9" s="66"/>
      <c r="V9" s="67"/>
      <c r="W9" s="35">
        <v>0</v>
      </c>
      <c r="X9" s="65"/>
      <c r="Y9" s="73"/>
    </row>
    <row r="10" spans="5:25" ht="48" thickTop="1" x14ac:dyDescent="0.55000000000000004">
      <c r="E10" s="71"/>
      <c r="F10" s="71"/>
      <c r="G10" s="56" t="s">
        <v>11</v>
      </c>
      <c r="H10" s="56"/>
      <c r="I10" s="56"/>
      <c r="J10" s="34">
        <v>0</v>
      </c>
      <c r="K10" s="65"/>
      <c r="S10" s="71"/>
      <c r="T10" s="56" t="s">
        <v>11</v>
      </c>
      <c r="U10" s="56"/>
      <c r="V10" s="56"/>
      <c r="W10" s="34">
        <v>0</v>
      </c>
      <c r="X10" s="65"/>
      <c r="Y10" s="73"/>
    </row>
    <row r="11" spans="5:25" ht="16" customHeight="1" thickBot="1" x14ac:dyDescent="0.6">
      <c r="E11" s="71"/>
      <c r="F11" s="71"/>
      <c r="G11" s="23"/>
      <c r="H11" s="24"/>
      <c r="I11" s="23"/>
      <c r="J11" s="23"/>
      <c r="K11" s="65"/>
      <c r="S11" s="71"/>
      <c r="T11" s="23"/>
      <c r="U11" s="24"/>
      <c r="V11" s="23"/>
      <c r="W11" s="23"/>
      <c r="X11" s="65"/>
      <c r="Y11" s="73"/>
    </row>
    <row r="12" spans="5:25" ht="49" thickTop="1" thickBot="1" x14ac:dyDescent="0.6">
      <c r="E12" s="71"/>
      <c r="F12" s="71"/>
      <c r="G12" s="25" t="s">
        <v>12</v>
      </c>
      <c r="H12" s="26" t="s">
        <v>13</v>
      </c>
      <c r="I12" s="26" t="s">
        <v>14</v>
      </c>
      <c r="J12" s="26" t="s">
        <v>15</v>
      </c>
      <c r="K12" s="65"/>
      <c r="S12" s="71"/>
      <c r="T12" s="25" t="s">
        <v>12</v>
      </c>
      <c r="U12" s="26" t="s">
        <v>13</v>
      </c>
      <c r="V12" s="26" t="s">
        <v>14</v>
      </c>
      <c r="W12" s="26" t="s">
        <v>15</v>
      </c>
      <c r="X12" s="65"/>
      <c r="Y12" s="73"/>
    </row>
    <row r="13" spans="5:25" ht="49" thickTop="1" thickBot="1" x14ac:dyDescent="0.6">
      <c r="E13" s="71"/>
      <c r="F13" s="71"/>
      <c r="G13" s="27">
        <v>1</v>
      </c>
      <c r="H13" s="28">
        <f>IF(G13&gt;0,0, "N A")</f>
        <v>0</v>
      </c>
      <c r="I13" s="28">
        <f>IF(G13&gt;0,$J$6, "N A")</f>
        <v>0</v>
      </c>
      <c r="J13" s="29" t="e">
        <f>IF(G13&gt;0,FV(NOMINAL($J$8,12)/12,12,-I13,-H13,0), "N A")</f>
        <v>#NUM!</v>
      </c>
      <c r="K13" s="65"/>
      <c r="S13" s="71"/>
      <c r="T13" s="27">
        <v>1</v>
      </c>
      <c r="U13" s="28">
        <f>IF(T13&gt;0,0, "N A")</f>
        <v>0</v>
      </c>
      <c r="V13" s="28">
        <f>IF(T13&gt;0,$J$6, "N A")</f>
        <v>0</v>
      </c>
      <c r="W13" s="29" t="e">
        <f>IF(T13&gt;0,FV(NOMINAL($W$8,12)/12,12,-V13,-U13,0), "N A")</f>
        <v>#NUM!</v>
      </c>
      <c r="X13" s="65"/>
      <c r="Y13" s="73"/>
    </row>
    <row r="14" spans="5:25" ht="49" thickTop="1" thickBot="1" x14ac:dyDescent="0.6">
      <c r="E14" s="71"/>
      <c r="F14" s="71"/>
      <c r="G14" s="27">
        <f t="shared" ref="G14:G45" si="0">IF(G13+1&gt;$J$7+$J$10,"N A",G13+1)</f>
        <v>2</v>
      </c>
      <c r="H14" s="29" t="e">
        <f>IF(G14= "N A", "N A",J13)</f>
        <v>#NUM!</v>
      </c>
      <c r="I14" s="28">
        <f>IF(G14&lt;=$J$7,I13+I13*$J$9,0)</f>
        <v>0</v>
      </c>
      <c r="J14" s="29" t="e">
        <f t="shared" ref="J14:J72" si="1">IF(G14&gt;0,FV(NOMINAL($J$8,12)/12,12,-I14,-H14,0), "N A")</f>
        <v>#NUM!</v>
      </c>
      <c r="K14" s="65"/>
      <c r="M14" s="57" t="s">
        <v>16</v>
      </c>
      <c r="N14" s="58"/>
      <c r="O14" s="58"/>
      <c r="P14" s="58"/>
      <c r="Q14" s="59"/>
      <c r="S14" s="71"/>
      <c r="T14" s="27">
        <f t="shared" ref="T14:T45" si="2">IF(T13+1&gt;$W$7+$W$10,"N A",T13+1)</f>
        <v>2</v>
      </c>
      <c r="U14" s="29" t="e">
        <f>IF(T14= "N A", "N A",W13)</f>
        <v>#NUM!</v>
      </c>
      <c r="V14" s="28">
        <f>IF(T14&lt;=$W$7,V13+$W$9,0)</f>
        <v>0</v>
      </c>
      <c r="W14" s="29" t="e">
        <f t="shared" ref="W14:W72" si="3">IF(T14&gt;0,FV(NOMINAL($W$8,12)/12,12,-V14,-U14,0), "N A")</f>
        <v>#NUM!</v>
      </c>
      <c r="X14" s="65"/>
      <c r="Y14" s="73"/>
    </row>
    <row r="15" spans="5:25" ht="49" thickTop="1" thickBot="1" x14ac:dyDescent="0.6">
      <c r="E15" s="71"/>
      <c r="F15" s="71"/>
      <c r="G15" s="27">
        <f t="shared" si="0"/>
        <v>3</v>
      </c>
      <c r="H15" s="29" t="e">
        <f t="shared" ref="H15:H72" si="4">IF(G15= "N A", "N A",J14)</f>
        <v>#NUM!</v>
      </c>
      <c r="I15" s="28">
        <f t="shared" ref="I15:I72" si="5">IF(G15&lt;=$J$7,I14+I14*$J$9,0)</f>
        <v>0</v>
      </c>
      <c r="J15" s="29" t="e">
        <f t="shared" si="1"/>
        <v>#NUM!</v>
      </c>
      <c r="K15" s="65"/>
      <c r="M15" s="30" t="s">
        <v>17</v>
      </c>
      <c r="N15" s="60" t="s">
        <v>18</v>
      </c>
      <c r="O15" s="61"/>
      <c r="P15" s="61"/>
      <c r="Q15" s="61"/>
      <c r="S15" s="71"/>
      <c r="T15" s="27">
        <f t="shared" si="2"/>
        <v>3</v>
      </c>
      <c r="U15" s="29" t="e">
        <f t="shared" ref="U15:U72" si="6">IF(T15= "N A", "N A",W14)</f>
        <v>#NUM!</v>
      </c>
      <c r="V15" s="28">
        <f t="shared" ref="V15:V72" si="7">IF(T15&lt;=$W$7,V14+$W$9,0)</f>
        <v>0</v>
      </c>
      <c r="W15" s="29" t="e">
        <f t="shared" si="3"/>
        <v>#NUM!</v>
      </c>
      <c r="X15" s="65"/>
      <c r="Y15" s="73"/>
    </row>
    <row r="16" spans="5:25" ht="49" thickTop="1" thickBot="1" x14ac:dyDescent="0.6">
      <c r="E16" s="71"/>
      <c r="F16" s="71"/>
      <c r="G16" s="27">
        <f t="shared" si="0"/>
        <v>4</v>
      </c>
      <c r="H16" s="29" t="e">
        <f t="shared" si="4"/>
        <v>#NUM!</v>
      </c>
      <c r="I16" s="28">
        <f t="shared" si="5"/>
        <v>0</v>
      </c>
      <c r="J16" s="29" t="e">
        <f t="shared" si="1"/>
        <v>#NUM!</v>
      </c>
      <c r="K16" s="65"/>
      <c r="M16" s="30" t="s">
        <v>19</v>
      </c>
      <c r="N16" s="62" t="s">
        <v>20</v>
      </c>
      <c r="O16" s="63"/>
      <c r="P16" s="63"/>
      <c r="Q16" s="63"/>
      <c r="S16" s="71"/>
      <c r="T16" s="27">
        <f t="shared" si="2"/>
        <v>4</v>
      </c>
      <c r="U16" s="29" t="e">
        <f t="shared" si="6"/>
        <v>#NUM!</v>
      </c>
      <c r="V16" s="28">
        <f t="shared" si="7"/>
        <v>0</v>
      </c>
      <c r="W16" s="29" t="e">
        <f t="shared" si="3"/>
        <v>#NUM!</v>
      </c>
      <c r="X16" s="65"/>
      <c r="Y16" s="73"/>
    </row>
    <row r="17" spans="5:25" ht="49" thickTop="1" thickBot="1" x14ac:dyDescent="0.6">
      <c r="E17" s="71"/>
      <c r="F17" s="71"/>
      <c r="G17" s="27">
        <f t="shared" si="0"/>
        <v>5</v>
      </c>
      <c r="H17" s="29" t="e">
        <f t="shared" si="4"/>
        <v>#NUM!</v>
      </c>
      <c r="I17" s="28">
        <f t="shared" si="5"/>
        <v>0</v>
      </c>
      <c r="J17" s="29" t="e">
        <f t="shared" si="1"/>
        <v>#NUM!</v>
      </c>
      <c r="K17" s="65"/>
      <c r="M17" s="31" t="s">
        <v>21</v>
      </c>
      <c r="N17" s="51" t="s">
        <v>22</v>
      </c>
      <c r="O17" s="64"/>
      <c r="P17" s="64"/>
      <c r="Q17" s="62"/>
      <c r="S17" s="71"/>
      <c r="T17" s="27">
        <f t="shared" si="2"/>
        <v>5</v>
      </c>
      <c r="U17" s="29" t="e">
        <f t="shared" si="6"/>
        <v>#NUM!</v>
      </c>
      <c r="V17" s="28">
        <f t="shared" si="7"/>
        <v>0</v>
      </c>
      <c r="W17" s="29" t="e">
        <f t="shared" si="3"/>
        <v>#NUM!</v>
      </c>
      <c r="X17" s="65"/>
      <c r="Y17" s="73"/>
    </row>
    <row r="18" spans="5:25" ht="49" thickTop="1" thickBot="1" x14ac:dyDescent="0.6">
      <c r="E18" s="71"/>
      <c r="F18" s="71"/>
      <c r="G18" s="27">
        <f t="shared" si="0"/>
        <v>6</v>
      </c>
      <c r="H18" s="29" t="e">
        <f t="shared" si="4"/>
        <v>#NUM!</v>
      </c>
      <c r="I18" s="28">
        <f t="shared" si="5"/>
        <v>0</v>
      </c>
      <c r="J18" s="29" t="e">
        <f t="shared" si="1"/>
        <v>#NUM!</v>
      </c>
      <c r="K18" s="65"/>
      <c r="S18" s="71"/>
      <c r="T18" s="27">
        <f t="shared" si="2"/>
        <v>6</v>
      </c>
      <c r="U18" s="29" t="e">
        <f t="shared" si="6"/>
        <v>#NUM!</v>
      </c>
      <c r="V18" s="28">
        <f t="shared" si="7"/>
        <v>0</v>
      </c>
      <c r="W18" s="29" t="e">
        <f t="shared" si="3"/>
        <v>#NUM!</v>
      </c>
      <c r="X18" s="65"/>
      <c r="Y18" s="73"/>
    </row>
    <row r="19" spans="5:25" ht="49" thickTop="1" thickBot="1" x14ac:dyDescent="0.6">
      <c r="E19" s="71"/>
      <c r="F19" s="71"/>
      <c r="G19" s="27">
        <f t="shared" si="0"/>
        <v>7</v>
      </c>
      <c r="H19" s="29" t="e">
        <f t="shared" si="4"/>
        <v>#NUM!</v>
      </c>
      <c r="I19" s="28">
        <f t="shared" si="5"/>
        <v>0</v>
      </c>
      <c r="J19" s="29" t="e">
        <f t="shared" si="1"/>
        <v>#NUM!</v>
      </c>
      <c r="K19" s="65"/>
      <c r="S19" s="71"/>
      <c r="T19" s="27">
        <f t="shared" si="2"/>
        <v>7</v>
      </c>
      <c r="U19" s="29" t="e">
        <f t="shared" si="6"/>
        <v>#NUM!</v>
      </c>
      <c r="V19" s="28">
        <f t="shared" si="7"/>
        <v>0</v>
      </c>
      <c r="W19" s="29" t="e">
        <f t="shared" si="3"/>
        <v>#NUM!</v>
      </c>
      <c r="X19" s="65"/>
      <c r="Y19" s="73"/>
    </row>
    <row r="20" spans="5:25" ht="49" thickTop="1" thickBot="1" x14ac:dyDescent="0.6">
      <c r="E20" s="71"/>
      <c r="F20" s="71"/>
      <c r="G20" s="27">
        <f t="shared" si="0"/>
        <v>8</v>
      </c>
      <c r="H20" s="29" t="e">
        <f t="shared" si="4"/>
        <v>#NUM!</v>
      </c>
      <c r="I20" s="28">
        <f t="shared" si="5"/>
        <v>0</v>
      </c>
      <c r="J20" s="29" t="e">
        <f t="shared" si="1"/>
        <v>#NUM!</v>
      </c>
      <c r="K20" s="65"/>
      <c r="M20" s="57" t="s">
        <v>23</v>
      </c>
      <c r="N20" s="58"/>
      <c r="O20" s="58"/>
      <c r="P20" s="58"/>
      <c r="Q20" s="59"/>
      <c r="S20" s="71"/>
      <c r="T20" s="27">
        <f t="shared" si="2"/>
        <v>8</v>
      </c>
      <c r="U20" s="29" t="e">
        <f t="shared" si="6"/>
        <v>#NUM!</v>
      </c>
      <c r="V20" s="28">
        <f t="shared" si="7"/>
        <v>0</v>
      </c>
      <c r="W20" s="29" t="e">
        <f t="shared" si="3"/>
        <v>#NUM!</v>
      </c>
      <c r="X20" s="65"/>
      <c r="Y20" s="73"/>
    </row>
    <row r="21" spans="5:25" ht="49" thickTop="1" thickBot="1" x14ac:dyDescent="0.6">
      <c r="E21" s="71"/>
      <c r="F21" s="71"/>
      <c r="G21" s="27">
        <f t="shared" si="0"/>
        <v>9</v>
      </c>
      <c r="H21" s="29" t="e">
        <f t="shared" si="4"/>
        <v>#NUM!</v>
      </c>
      <c r="I21" s="28">
        <f t="shared" si="5"/>
        <v>0</v>
      </c>
      <c r="J21" s="29" t="e">
        <f t="shared" si="1"/>
        <v>#NUM!</v>
      </c>
      <c r="K21" s="65"/>
      <c r="M21" s="30" t="s">
        <v>24</v>
      </c>
      <c r="N21" s="48" t="s">
        <v>25</v>
      </c>
      <c r="O21" s="49"/>
      <c r="P21" s="49"/>
      <c r="Q21" s="50"/>
      <c r="S21" s="71"/>
      <c r="T21" s="27">
        <f t="shared" si="2"/>
        <v>9</v>
      </c>
      <c r="U21" s="29" t="e">
        <f t="shared" si="6"/>
        <v>#NUM!</v>
      </c>
      <c r="V21" s="28">
        <f t="shared" si="7"/>
        <v>0</v>
      </c>
      <c r="W21" s="29" t="e">
        <f t="shared" si="3"/>
        <v>#NUM!</v>
      </c>
      <c r="X21" s="65"/>
      <c r="Y21" s="73"/>
    </row>
    <row r="22" spans="5:25" ht="49" thickTop="1" thickBot="1" x14ac:dyDescent="0.6">
      <c r="E22" s="71"/>
      <c r="F22" s="71"/>
      <c r="G22" s="27">
        <f t="shared" si="0"/>
        <v>10</v>
      </c>
      <c r="H22" s="29" t="e">
        <f t="shared" si="4"/>
        <v>#NUM!</v>
      </c>
      <c r="I22" s="28">
        <f t="shared" si="5"/>
        <v>0</v>
      </c>
      <c r="J22" s="29" t="e">
        <f t="shared" si="1"/>
        <v>#NUM!</v>
      </c>
      <c r="K22" s="65"/>
      <c r="M22" s="30" t="s">
        <v>26</v>
      </c>
      <c r="N22" s="51" t="s">
        <v>27</v>
      </c>
      <c r="O22" s="52"/>
      <c r="P22" s="52"/>
      <c r="Q22" s="53"/>
      <c r="S22" s="71"/>
      <c r="T22" s="27">
        <f t="shared" si="2"/>
        <v>10</v>
      </c>
      <c r="U22" s="29" t="e">
        <f t="shared" si="6"/>
        <v>#NUM!</v>
      </c>
      <c r="V22" s="28">
        <f t="shared" si="7"/>
        <v>0</v>
      </c>
      <c r="W22" s="29" t="e">
        <f t="shared" si="3"/>
        <v>#NUM!</v>
      </c>
      <c r="X22" s="65"/>
      <c r="Y22" s="73"/>
    </row>
    <row r="23" spans="5:25" ht="49" thickTop="1" thickBot="1" x14ac:dyDescent="0.6">
      <c r="E23" s="71"/>
      <c r="F23" s="71"/>
      <c r="G23" s="27">
        <f t="shared" si="0"/>
        <v>11</v>
      </c>
      <c r="H23" s="29" t="e">
        <f t="shared" si="4"/>
        <v>#NUM!</v>
      </c>
      <c r="I23" s="28">
        <f t="shared" si="5"/>
        <v>0</v>
      </c>
      <c r="J23" s="29" t="e">
        <f t="shared" si="1"/>
        <v>#NUM!</v>
      </c>
      <c r="K23" s="65"/>
      <c r="S23" s="71"/>
      <c r="T23" s="27">
        <f t="shared" si="2"/>
        <v>11</v>
      </c>
      <c r="U23" s="29" t="e">
        <f t="shared" si="6"/>
        <v>#NUM!</v>
      </c>
      <c r="V23" s="28">
        <f t="shared" si="7"/>
        <v>0</v>
      </c>
      <c r="W23" s="29" t="e">
        <f t="shared" si="3"/>
        <v>#NUM!</v>
      </c>
      <c r="X23" s="65"/>
      <c r="Y23" s="73"/>
    </row>
    <row r="24" spans="5:25" ht="49" thickTop="1" thickBot="1" x14ac:dyDescent="0.6">
      <c r="E24" s="71"/>
      <c r="F24" s="71"/>
      <c r="G24" s="27">
        <f t="shared" si="0"/>
        <v>12</v>
      </c>
      <c r="H24" s="29" t="e">
        <f t="shared" si="4"/>
        <v>#NUM!</v>
      </c>
      <c r="I24" s="28">
        <f t="shared" si="5"/>
        <v>0</v>
      </c>
      <c r="J24" s="29" t="e">
        <f t="shared" si="1"/>
        <v>#NUM!</v>
      </c>
      <c r="K24" s="65"/>
      <c r="S24" s="71"/>
      <c r="T24" s="27">
        <f t="shared" si="2"/>
        <v>12</v>
      </c>
      <c r="U24" s="29" t="e">
        <f t="shared" si="6"/>
        <v>#NUM!</v>
      </c>
      <c r="V24" s="28">
        <f t="shared" si="7"/>
        <v>0</v>
      </c>
      <c r="W24" s="29" t="e">
        <f t="shared" si="3"/>
        <v>#NUM!</v>
      </c>
      <c r="X24" s="65"/>
      <c r="Y24" s="73"/>
    </row>
    <row r="25" spans="5:25" ht="49" thickTop="1" thickBot="1" x14ac:dyDescent="0.6">
      <c r="E25" s="71"/>
      <c r="F25" s="71"/>
      <c r="G25" s="27">
        <f t="shared" si="0"/>
        <v>13</v>
      </c>
      <c r="H25" s="29" t="e">
        <f t="shared" si="4"/>
        <v>#NUM!</v>
      </c>
      <c r="I25" s="28">
        <f t="shared" si="5"/>
        <v>0</v>
      </c>
      <c r="J25" s="29" t="e">
        <f t="shared" si="1"/>
        <v>#NUM!</v>
      </c>
      <c r="K25" s="65"/>
      <c r="S25" s="71"/>
      <c r="T25" s="27">
        <f t="shared" si="2"/>
        <v>13</v>
      </c>
      <c r="U25" s="29" t="e">
        <f t="shared" si="6"/>
        <v>#NUM!</v>
      </c>
      <c r="V25" s="28">
        <f t="shared" si="7"/>
        <v>0</v>
      </c>
      <c r="W25" s="29" t="e">
        <f t="shared" si="3"/>
        <v>#NUM!</v>
      </c>
      <c r="X25" s="65"/>
      <c r="Y25" s="73"/>
    </row>
    <row r="26" spans="5:25" ht="49" thickTop="1" thickBot="1" x14ac:dyDescent="0.6">
      <c r="E26" s="71"/>
      <c r="F26" s="71"/>
      <c r="G26" s="27">
        <f t="shared" si="0"/>
        <v>14</v>
      </c>
      <c r="H26" s="29" t="e">
        <f t="shared" si="4"/>
        <v>#NUM!</v>
      </c>
      <c r="I26" s="28">
        <f t="shared" si="5"/>
        <v>0</v>
      </c>
      <c r="J26" s="29" t="e">
        <f t="shared" si="1"/>
        <v>#NUM!</v>
      </c>
      <c r="K26" s="65"/>
      <c r="S26" s="71"/>
      <c r="T26" s="27">
        <f t="shared" si="2"/>
        <v>14</v>
      </c>
      <c r="U26" s="29" t="e">
        <f t="shared" si="6"/>
        <v>#NUM!</v>
      </c>
      <c r="V26" s="28">
        <f t="shared" si="7"/>
        <v>0</v>
      </c>
      <c r="W26" s="29" t="e">
        <f t="shared" si="3"/>
        <v>#NUM!</v>
      </c>
      <c r="X26" s="65"/>
      <c r="Y26" s="73"/>
    </row>
    <row r="27" spans="5:25" ht="49" thickTop="1" thickBot="1" x14ac:dyDescent="0.6">
      <c r="E27" s="71"/>
      <c r="F27" s="71"/>
      <c r="G27" s="27">
        <f t="shared" si="0"/>
        <v>15</v>
      </c>
      <c r="H27" s="29" t="e">
        <f t="shared" si="4"/>
        <v>#NUM!</v>
      </c>
      <c r="I27" s="28">
        <f t="shared" si="5"/>
        <v>0</v>
      </c>
      <c r="J27" s="29" t="e">
        <f t="shared" si="1"/>
        <v>#NUM!</v>
      </c>
      <c r="K27" s="65"/>
      <c r="S27" s="71"/>
      <c r="T27" s="27">
        <f t="shared" si="2"/>
        <v>15</v>
      </c>
      <c r="U27" s="29" t="e">
        <f t="shared" si="6"/>
        <v>#NUM!</v>
      </c>
      <c r="V27" s="28">
        <f t="shared" si="7"/>
        <v>0</v>
      </c>
      <c r="W27" s="29" t="e">
        <f t="shared" si="3"/>
        <v>#NUM!</v>
      </c>
      <c r="X27" s="65"/>
      <c r="Y27" s="73"/>
    </row>
    <row r="28" spans="5:25" ht="49" thickTop="1" thickBot="1" x14ac:dyDescent="0.6">
      <c r="E28" s="71"/>
      <c r="F28" s="71"/>
      <c r="G28" s="27">
        <f t="shared" si="0"/>
        <v>16</v>
      </c>
      <c r="H28" s="29" t="e">
        <f t="shared" si="4"/>
        <v>#NUM!</v>
      </c>
      <c r="I28" s="28">
        <f t="shared" si="5"/>
        <v>0</v>
      </c>
      <c r="J28" s="29" t="e">
        <f t="shared" si="1"/>
        <v>#NUM!</v>
      </c>
      <c r="K28" s="65"/>
      <c r="S28" s="71"/>
      <c r="T28" s="27">
        <f t="shared" si="2"/>
        <v>16</v>
      </c>
      <c r="U28" s="29" t="e">
        <f t="shared" si="6"/>
        <v>#NUM!</v>
      </c>
      <c r="V28" s="28">
        <f t="shared" si="7"/>
        <v>0</v>
      </c>
      <c r="W28" s="29" t="e">
        <f t="shared" si="3"/>
        <v>#NUM!</v>
      </c>
      <c r="X28" s="65"/>
      <c r="Y28" s="73"/>
    </row>
    <row r="29" spans="5:25" ht="49" thickTop="1" thickBot="1" x14ac:dyDescent="0.6">
      <c r="E29" s="71"/>
      <c r="F29" s="71"/>
      <c r="G29" s="27">
        <f t="shared" si="0"/>
        <v>17</v>
      </c>
      <c r="H29" s="29" t="e">
        <f t="shared" si="4"/>
        <v>#NUM!</v>
      </c>
      <c r="I29" s="28">
        <f t="shared" si="5"/>
        <v>0</v>
      </c>
      <c r="J29" s="29" t="e">
        <f t="shared" si="1"/>
        <v>#NUM!</v>
      </c>
      <c r="K29" s="65"/>
      <c r="S29" s="71"/>
      <c r="T29" s="27">
        <f t="shared" si="2"/>
        <v>17</v>
      </c>
      <c r="U29" s="29" t="e">
        <f t="shared" si="6"/>
        <v>#NUM!</v>
      </c>
      <c r="V29" s="28">
        <f t="shared" si="7"/>
        <v>0</v>
      </c>
      <c r="W29" s="29" t="e">
        <f t="shared" si="3"/>
        <v>#NUM!</v>
      </c>
      <c r="X29" s="65"/>
      <c r="Y29" s="73"/>
    </row>
    <row r="30" spans="5:25" ht="49" thickTop="1" thickBot="1" x14ac:dyDescent="0.6">
      <c r="E30" s="71"/>
      <c r="F30" s="71"/>
      <c r="G30" s="27">
        <f t="shared" si="0"/>
        <v>18</v>
      </c>
      <c r="H30" s="29" t="e">
        <f t="shared" si="4"/>
        <v>#NUM!</v>
      </c>
      <c r="I30" s="28">
        <f t="shared" si="5"/>
        <v>0</v>
      </c>
      <c r="J30" s="29" t="e">
        <f t="shared" si="1"/>
        <v>#NUM!</v>
      </c>
      <c r="K30" s="65"/>
      <c r="S30" s="71"/>
      <c r="T30" s="27">
        <f t="shared" si="2"/>
        <v>18</v>
      </c>
      <c r="U30" s="29" t="e">
        <f t="shared" si="6"/>
        <v>#NUM!</v>
      </c>
      <c r="V30" s="28">
        <f t="shared" si="7"/>
        <v>0</v>
      </c>
      <c r="W30" s="29" t="e">
        <f t="shared" si="3"/>
        <v>#NUM!</v>
      </c>
      <c r="X30" s="65"/>
      <c r="Y30" s="73"/>
    </row>
    <row r="31" spans="5:25" ht="49" thickTop="1" thickBot="1" x14ac:dyDescent="0.6">
      <c r="E31" s="71"/>
      <c r="F31" s="71"/>
      <c r="G31" s="27">
        <f t="shared" si="0"/>
        <v>19</v>
      </c>
      <c r="H31" s="29" t="e">
        <f t="shared" si="4"/>
        <v>#NUM!</v>
      </c>
      <c r="I31" s="28">
        <f t="shared" si="5"/>
        <v>0</v>
      </c>
      <c r="J31" s="29" t="e">
        <f t="shared" si="1"/>
        <v>#NUM!</v>
      </c>
      <c r="K31" s="65"/>
      <c r="S31" s="71"/>
      <c r="T31" s="27">
        <f t="shared" si="2"/>
        <v>19</v>
      </c>
      <c r="U31" s="29" t="e">
        <f t="shared" si="6"/>
        <v>#NUM!</v>
      </c>
      <c r="V31" s="28">
        <f t="shared" si="7"/>
        <v>0</v>
      </c>
      <c r="W31" s="29" t="e">
        <f t="shared" si="3"/>
        <v>#NUM!</v>
      </c>
      <c r="X31" s="65"/>
      <c r="Y31" s="73"/>
    </row>
    <row r="32" spans="5:25" ht="49" thickTop="1" thickBot="1" x14ac:dyDescent="0.6">
      <c r="E32" s="71"/>
      <c r="F32" s="71"/>
      <c r="G32" s="27">
        <f t="shared" si="0"/>
        <v>20</v>
      </c>
      <c r="H32" s="29" t="e">
        <f t="shared" si="4"/>
        <v>#NUM!</v>
      </c>
      <c r="I32" s="28">
        <f t="shared" si="5"/>
        <v>0</v>
      </c>
      <c r="J32" s="29" t="e">
        <f t="shared" si="1"/>
        <v>#NUM!</v>
      </c>
      <c r="K32" s="65"/>
      <c r="S32" s="71"/>
      <c r="T32" s="27">
        <f t="shared" si="2"/>
        <v>20</v>
      </c>
      <c r="U32" s="29" t="e">
        <f t="shared" si="6"/>
        <v>#NUM!</v>
      </c>
      <c r="V32" s="28">
        <f t="shared" si="7"/>
        <v>0</v>
      </c>
      <c r="W32" s="29" t="e">
        <f t="shared" si="3"/>
        <v>#NUM!</v>
      </c>
      <c r="X32" s="65"/>
      <c r="Y32" s="73"/>
    </row>
    <row r="33" spans="5:25" ht="49" thickTop="1" thickBot="1" x14ac:dyDescent="0.6">
      <c r="E33" s="71"/>
      <c r="F33" s="71"/>
      <c r="G33" s="27">
        <f t="shared" si="0"/>
        <v>21</v>
      </c>
      <c r="H33" s="29" t="e">
        <f t="shared" si="4"/>
        <v>#NUM!</v>
      </c>
      <c r="I33" s="28">
        <f t="shared" si="5"/>
        <v>0</v>
      </c>
      <c r="J33" s="29" t="e">
        <f t="shared" si="1"/>
        <v>#NUM!</v>
      </c>
      <c r="K33" s="65"/>
      <c r="S33" s="71"/>
      <c r="T33" s="27">
        <f t="shared" si="2"/>
        <v>21</v>
      </c>
      <c r="U33" s="29" t="e">
        <f t="shared" si="6"/>
        <v>#NUM!</v>
      </c>
      <c r="V33" s="28">
        <f t="shared" si="7"/>
        <v>0</v>
      </c>
      <c r="W33" s="29" t="e">
        <f t="shared" si="3"/>
        <v>#NUM!</v>
      </c>
      <c r="X33" s="65"/>
      <c r="Y33" s="73"/>
    </row>
    <row r="34" spans="5:25" ht="49" thickTop="1" thickBot="1" x14ac:dyDescent="0.6">
      <c r="E34" s="71"/>
      <c r="F34" s="71"/>
      <c r="G34" s="27">
        <f t="shared" si="0"/>
        <v>22</v>
      </c>
      <c r="H34" s="29" t="e">
        <f t="shared" si="4"/>
        <v>#NUM!</v>
      </c>
      <c r="I34" s="28">
        <f t="shared" si="5"/>
        <v>0</v>
      </c>
      <c r="J34" s="29" t="e">
        <f t="shared" si="1"/>
        <v>#NUM!</v>
      </c>
      <c r="K34" s="65"/>
      <c r="S34" s="71"/>
      <c r="T34" s="27">
        <f t="shared" si="2"/>
        <v>22</v>
      </c>
      <c r="U34" s="29" t="e">
        <f t="shared" si="6"/>
        <v>#NUM!</v>
      </c>
      <c r="V34" s="28">
        <f t="shared" si="7"/>
        <v>0</v>
      </c>
      <c r="W34" s="29" t="e">
        <f t="shared" si="3"/>
        <v>#NUM!</v>
      </c>
      <c r="X34" s="65"/>
      <c r="Y34" s="73"/>
    </row>
    <row r="35" spans="5:25" ht="49" thickTop="1" thickBot="1" x14ac:dyDescent="0.6">
      <c r="E35" s="71"/>
      <c r="F35" s="71"/>
      <c r="G35" s="27">
        <f t="shared" si="0"/>
        <v>23</v>
      </c>
      <c r="H35" s="29" t="e">
        <f t="shared" si="4"/>
        <v>#NUM!</v>
      </c>
      <c r="I35" s="28">
        <f t="shared" si="5"/>
        <v>0</v>
      </c>
      <c r="J35" s="29" t="e">
        <f t="shared" si="1"/>
        <v>#NUM!</v>
      </c>
      <c r="K35" s="65"/>
      <c r="S35" s="71"/>
      <c r="T35" s="27">
        <f t="shared" si="2"/>
        <v>23</v>
      </c>
      <c r="U35" s="29" t="e">
        <f t="shared" si="6"/>
        <v>#NUM!</v>
      </c>
      <c r="V35" s="28">
        <f t="shared" si="7"/>
        <v>0</v>
      </c>
      <c r="W35" s="29" t="e">
        <f t="shared" si="3"/>
        <v>#NUM!</v>
      </c>
      <c r="X35" s="65"/>
      <c r="Y35" s="73"/>
    </row>
    <row r="36" spans="5:25" ht="49" thickTop="1" thickBot="1" x14ac:dyDescent="0.6">
      <c r="E36" s="71"/>
      <c r="F36" s="71"/>
      <c r="G36" s="27">
        <f t="shared" si="0"/>
        <v>24</v>
      </c>
      <c r="H36" s="29" t="e">
        <f t="shared" si="4"/>
        <v>#NUM!</v>
      </c>
      <c r="I36" s="28">
        <f t="shared" si="5"/>
        <v>0</v>
      </c>
      <c r="J36" s="29" t="e">
        <f t="shared" si="1"/>
        <v>#NUM!</v>
      </c>
      <c r="K36" s="65"/>
      <c r="S36" s="71"/>
      <c r="T36" s="27">
        <f t="shared" si="2"/>
        <v>24</v>
      </c>
      <c r="U36" s="29" t="e">
        <f t="shared" si="6"/>
        <v>#NUM!</v>
      </c>
      <c r="V36" s="28">
        <f t="shared" si="7"/>
        <v>0</v>
      </c>
      <c r="W36" s="29" t="e">
        <f t="shared" si="3"/>
        <v>#NUM!</v>
      </c>
      <c r="X36" s="65"/>
      <c r="Y36" s="73"/>
    </row>
    <row r="37" spans="5:25" ht="49" thickTop="1" thickBot="1" x14ac:dyDescent="0.6">
      <c r="E37" s="71"/>
      <c r="F37" s="71"/>
      <c r="G37" s="27">
        <f t="shared" si="0"/>
        <v>25</v>
      </c>
      <c r="H37" s="29" t="e">
        <f t="shared" si="4"/>
        <v>#NUM!</v>
      </c>
      <c r="I37" s="28">
        <f t="shared" si="5"/>
        <v>0</v>
      </c>
      <c r="J37" s="29" t="e">
        <f t="shared" si="1"/>
        <v>#NUM!</v>
      </c>
      <c r="K37" s="65"/>
      <c r="S37" s="71"/>
      <c r="T37" s="27">
        <f t="shared" si="2"/>
        <v>25</v>
      </c>
      <c r="U37" s="29" t="e">
        <f t="shared" si="6"/>
        <v>#NUM!</v>
      </c>
      <c r="V37" s="28">
        <f t="shared" si="7"/>
        <v>0</v>
      </c>
      <c r="W37" s="29" t="e">
        <f t="shared" si="3"/>
        <v>#NUM!</v>
      </c>
      <c r="X37" s="65"/>
      <c r="Y37" s="73"/>
    </row>
    <row r="38" spans="5:25" ht="49" thickTop="1" thickBot="1" x14ac:dyDescent="0.6">
      <c r="E38" s="71"/>
      <c r="F38" s="71"/>
      <c r="G38" s="27">
        <f t="shared" si="0"/>
        <v>26</v>
      </c>
      <c r="H38" s="29" t="e">
        <f t="shared" si="4"/>
        <v>#NUM!</v>
      </c>
      <c r="I38" s="28">
        <f t="shared" si="5"/>
        <v>0</v>
      </c>
      <c r="J38" s="29" t="e">
        <f t="shared" si="1"/>
        <v>#NUM!</v>
      </c>
      <c r="K38" s="65"/>
      <c r="S38" s="71"/>
      <c r="T38" s="27">
        <f t="shared" si="2"/>
        <v>26</v>
      </c>
      <c r="U38" s="29" t="e">
        <f t="shared" si="6"/>
        <v>#NUM!</v>
      </c>
      <c r="V38" s="28">
        <f t="shared" si="7"/>
        <v>0</v>
      </c>
      <c r="W38" s="29" t="e">
        <f t="shared" si="3"/>
        <v>#NUM!</v>
      </c>
      <c r="X38" s="65"/>
      <c r="Y38" s="73"/>
    </row>
    <row r="39" spans="5:25" ht="49" thickTop="1" thickBot="1" x14ac:dyDescent="0.6">
      <c r="E39" s="71"/>
      <c r="F39" s="71"/>
      <c r="G39" s="27">
        <f t="shared" si="0"/>
        <v>27</v>
      </c>
      <c r="H39" s="29" t="e">
        <f t="shared" si="4"/>
        <v>#NUM!</v>
      </c>
      <c r="I39" s="28">
        <f t="shared" si="5"/>
        <v>0</v>
      </c>
      <c r="J39" s="29" t="e">
        <f t="shared" si="1"/>
        <v>#NUM!</v>
      </c>
      <c r="K39" s="65"/>
      <c r="S39" s="71"/>
      <c r="T39" s="27">
        <f t="shared" si="2"/>
        <v>27</v>
      </c>
      <c r="U39" s="29" t="e">
        <f t="shared" si="6"/>
        <v>#NUM!</v>
      </c>
      <c r="V39" s="28">
        <f t="shared" si="7"/>
        <v>0</v>
      </c>
      <c r="W39" s="29" t="e">
        <f t="shared" si="3"/>
        <v>#NUM!</v>
      </c>
      <c r="X39" s="65"/>
      <c r="Y39" s="73"/>
    </row>
    <row r="40" spans="5:25" ht="49" thickTop="1" thickBot="1" x14ac:dyDescent="0.6">
      <c r="E40" s="71"/>
      <c r="F40" s="71"/>
      <c r="G40" s="27">
        <f t="shared" si="0"/>
        <v>28</v>
      </c>
      <c r="H40" s="29" t="e">
        <f t="shared" si="4"/>
        <v>#NUM!</v>
      </c>
      <c r="I40" s="28">
        <f t="shared" si="5"/>
        <v>0</v>
      </c>
      <c r="J40" s="29" t="e">
        <f t="shared" si="1"/>
        <v>#NUM!</v>
      </c>
      <c r="K40" s="65"/>
      <c r="S40" s="71"/>
      <c r="T40" s="27">
        <f t="shared" si="2"/>
        <v>28</v>
      </c>
      <c r="U40" s="29" t="e">
        <f t="shared" si="6"/>
        <v>#NUM!</v>
      </c>
      <c r="V40" s="28">
        <f t="shared" si="7"/>
        <v>0</v>
      </c>
      <c r="W40" s="29" t="e">
        <f t="shared" si="3"/>
        <v>#NUM!</v>
      </c>
      <c r="X40" s="65"/>
      <c r="Y40" s="73"/>
    </row>
    <row r="41" spans="5:25" ht="49" thickTop="1" thickBot="1" x14ac:dyDescent="0.6">
      <c r="E41" s="71"/>
      <c r="F41" s="71"/>
      <c r="G41" s="27">
        <f t="shared" si="0"/>
        <v>29</v>
      </c>
      <c r="H41" s="29" t="e">
        <f t="shared" si="4"/>
        <v>#NUM!</v>
      </c>
      <c r="I41" s="28">
        <f t="shared" si="5"/>
        <v>0</v>
      </c>
      <c r="J41" s="29" t="e">
        <f t="shared" si="1"/>
        <v>#NUM!</v>
      </c>
      <c r="K41" s="65"/>
      <c r="S41" s="71"/>
      <c r="T41" s="27">
        <f t="shared" si="2"/>
        <v>29</v>
      </c>
      <c r="U41" s="29" t="e">
        <f t="shared" si="6"/>
        <v>#NUM!</v>
      </c>
      <c r="V41" s="28">
        <f t="shared" si="7"/>
        <v>0</v>
      </c>
      <c r="W41" s="29" t="e">
        <f t="shared" si="3"/>
        <v>#NUM!</v>
      </c>
      <c r="X41" s="65"/>
      <c r="Y41" s="73"/>
    </row>
    <row r="42" spans="5:25" ht="49" thickTop="1" thickBot="1" x14ac:dyDescent="0.6">
      <c r="E42" s="71"/>
      <c r="F42" s="71"/>
      <c r="G42" s="27">
        <f t="shared" si="0"/>
        <v>30</v>
      </c>
      <c r="H42" s="29" t="e">
        <f t="shared" si="4"/>
        <v>#NUM!</v>
      </c>
      <c r="I42" s="28">
        <f t="shared" si="5"/>
        <v>0</v>
      </c>
      <c r="J42" s="29" t="e">
        <f t="shared" si="1"/>
        <v>#NUM!</v>
      </c>
      <c r="K42" s="65"/>
      <c r="S42" s="71"/>
      <c r="T42" s="27">
        <f t="shared" si="2"/>
        <v>30</v>
      </c>
      <c r="U42" s="29" t="e">
        <f t="shared" si="6"/>
        <v>#NUM!</v>
      </c>
      <c r="V42" s="28">
        <f t="shared" si="7"/>
        <v>0</v>
      </c>
      <c r="W42" s="29" t="e">
        <f t="shared" si="3"/>
        <v>#NUM!</v>
      </c>
      <c r="X42" s="65"/>
      <c r="Y42" s="73"/>
    </row>
    <row r="43" spans="5:25" ht="49" thickTop="1" thickBot="1" x14ac:dyDescent="0.6">
      <c r="E43" s="71"/>
      <c r="F43" s="71"/>
      <c r="G43" s="27">
        <f t="shared" si="0"/>
        <v>31</v>
      </c>
      <c r="H43" s="29" t="e">
        <f t="shared" si="4"/>
        <v>#NUM!</v>
      </c>
      <c r="I43" s="28">
        <f t="shared" si="5"/>
        <v>0</v>
      </c>
      <c r="J43" s="29" t="e">
        <f t="shared" si="1"/>
        <v>#NUM!</v>
      </c>
      <c r="K43" s="65"/>
      <c r="S43" s="71"/>
      <c r="T43" s="27">
        <f t="shared" si="2"/>
        <v>31</v>
      </c>
      <c r="U43" s="29" t="e">
        <f t="shared" si="6"/>
        <v>#NUM!</v>
      </c>
      <c r="V43" s="28">
        <f t="shared" si="7"/>
        <v>0</v>
      </c>
      <c r="W43" s="29" t="e">
        <f t="shared" si="3"/>
        <v>#NUM!</v>
      </c>
      <c r="X43" s="65"/>
      <c r="Y43" s="73"/>
    </row>
    <row r="44" spans="5:25" ht="49" thickTop="1" thickBot="1" x14ac:dyDescent="0.6">
      <c r="E44" s="71"/>
      <c r="F44" s="71"/>
      <c r="G44" s="27">
        <f t="shared" si="0"/>
        <v>32</v>
      </c>
      <c r="H44" s="29" t="e">
        <f t="shared" si="4"/>
        <v>#NUM!</v>
      </c>
      <c r="I44" s="28">
        <f t="shared" si="5"/>
        <v>0</v>
      </c>
      <c r="J44" s="29" t="e">
        <f t="shared" si="1"/>
        <v>#NUM!</v>
      </c>
      <c r="K44" s="65"/>
      <c r="S44" s="71"/>
      <c r="T44" s="27">
        <f t="shared" si="2"/>
        <v>32</v>
      </c>
      <c r="U44" s="29" t="e">
        <f t="shared" si="6"/>
        <v>#NUM!</v>
      </c>
      <c r="V44" s="28">
        <f t="shared" si="7"/>
        <v>0</v>
      </c>
      <c r="W44" s="29" t="e">
        <f t="shared" si="3"/>
        <v>#NUM!</v>
      </c>
      <c r="X44" s="65"/>
      <c r="Y44" s="73"/>
    </row>
    <row r="45" spans="5:25" ht="49" thickTop="1" thickBot="1" x14ac:dyDescent="0.6">
      <c r="E45" s="71"/>
      <c r="F45" s="71"/>
      <c r="G45" s="27">
        <f t="shared" si="0"/>
        <v>33</v>
      </c>
      <c r="H45" s="29" t="e">
        <f t="shared" si="4"/>
        <v>#NUM!</v>
      </c>
      <c r="I45" s="28">
        <f t="shared" si="5"/>
        <v>0</v>
      </c>
      <c r="J45" s="29" t="e">
        <f t="shared" si="1"/>
        <v>#NUM!</v>
      </c>
      <c r="K45" s="65"/>
      <c r="S45" s="71"/>
      <c r="T45" s="27">
        <f t="shared" si="2"/>
        <v>33</v>
      </c>
      <c r="U45" s="29" t="e">
        <f t="shared" si="6"/>
        <v>#NUM!</v>
      </c>
      <c r="V45" s="28">
        <f t="shared" si="7"/>
        <v>0</v>
      </c>
      <c r="W45" s="29" t="e">
        <f t="shared" si="3"/>
        <v>#NUM!</v>
      </c>
      <c r="X45" s="65"/>
      <c r="Y45" s="73"/>
    </row>
    <row r="46" spans="5:25" ht="49" thickTop="1" thickBot="1" x14ac:dyDescent="0.6">
      <c r="E46" s="71"/>
      <c r="F46" s="71"/>
      <c r="G46" s="27">
        <f t="shared" ref="G46:G72" si="8">IF(G45+1&gt;$J$7+$J$10,"N A",G45+1)</f>
        <v>34</v>
      </c>
      <c r="H46" s="29" t="e">
        <f t="shared" si="4"/>
        <v>#NUM!</v>
      </c>
      <c r="I46" s="28">
        <f t="shared" si="5"/>
        <v>0</v>
      </c>
      <c r="J46" s="29" t="e">
        <f t="shared" si="1"/>
        <v>#NUM!</v>
      </c>
      <c r="K46" s="65"/>
      <c r="S46" s="71"/>
      <c r="T46" s="27">
        <f t="shared" ref="T46:T72" si="9">IF(T45+1&gt;$W$7+$W$10,"N A",T45+1)</f>
        <v>34</v>
      </c>
      <c r="U46" s="29" t="e">
        <f t="shared" si="6"/>
        <v>#NUM!</v>
      </c>
      <c r="V46" s="28">
        <f t="shared" si="7"/>
        <v>0</v>
      </c>
      <c r="W46" s="29" t="e">
        <f t="shared" si="3"/>
        <v>#NUM!</v>
      </c>
      <c r="X46" s="65"/>
      <c r="Y46" s="73"/>
    </row>
    <row r="47" spans="5:25" ht="49" thickTop="1" thickBot="1" x14ac:dyDescent="0.6">
      <c r="E47" s="71"/>
      <c r="F47" s="71"/>
      <c r="G47" s="27">
        <f t="shared" si="8"/>
        <v>35</v>
      </c>
      <c r="H47" s="29" t="e">
        <f t="shared" si="4"/>
        <v>#NUM!</v>
      </c>
      <c r="I47" s="28">
        <f t="shared" si="5"/>
        <v>0</v>
      </c>
      <c r="J47" s="29" t="e">
        <f t="shared" si="1"/>
        <v>#NUM!</v>
      </c>
      <c r="K47" s="65"/>
      <c r="S47" s="71"/>
      <c r="T47" s="27">
        <f t="shared" si="9"/>
        <v>35</v>
      </c>
      <c r="U47" s="29" t="e">
        <f t="shared" si="6"/>
        <v>#NUM!</v>
      </c>
      <c r="V47" s="28">
        <f t="shared" si="7"/>
        <v>0</v>
      </c>
      <c r="W47" s="29" t="e">
        <f t="shared" si="3"/>
        <v>#NUM!</v>
      </c>
      <c r="X47" s="65"/>
      <c r="Y47" s="73"/>
    </row>
    <row r="48" spans="5:25" ht="49" thickTop="1" thickBot="1" x14ac:dyDescent="0.6">
      <c r="E48" s="71"/>
      <c r="F48" s="71"/>
      <c r="G48" s="27">
        <f t="shared" si="8"/>
        <v>36</v>
      </c>
      <c r="H48" s="29" t="e">
        <f t="shared" si="4"/>
        <v>#NUM!</v>
      </c>
      <c r="I48" s="28">
        <f t="shared" si="5"/>
        <v>0</v>
      </c>
      <c r="J48" s="29" t="e">
        <f t="shared" si="1"/>
        <v>#NUM!</v>
      </c>
      <c r="K48" s="65"/>
      <c r="S48" s="71"/>
      <c r="T48" s="27">
        <f t="shared" si="9"/>
        <v>36</v>
      </c>
      <c r="U48" s="29" t="e">
        <f t="shared" si="6"/>
        <v>#NUM!</v>
      </c>
      <c r="V48" s="28">
        <f t="shared" si="7"/>
        <v>0</v>
      </c>
      <c r="W48" s="29" t="e">
        <f t="shared" si="3"/>
        <v>#NUM!</v>
      </c>
      <c r="X48" s="65"/>
      <c r="Y48" s="73"/>
    </row>
    <row r="49" spans="5:25" ht="49" thickTop="1" thickBot="1" x14ac:dyDescent="0.6">
      <c r="E49" s="71"/>
      <c r="F49" s="71"/>
      <c r="G49" s="27">
        <f t="shared" si="8"/>
        <v>37</v>
      </c>
      <c r="H49" s="29" t="e">
        <f t="shared" si="4"/>
        <v>#NUM!</v>
      </c>
      <c r="I49" s="28">
        <f t="shared" si="5"/>
        <v>0</v>
      </c>
      <c r="J49" s="29" t="e">
        <f t="shared" si="1"/>
        <v>#NUM!</v>
      </c>
      <c r="K49" s="65"/>
      <c r="S49" s="71"/>
      <c r="T49" s="27">
        <f t="shared" si="9"/>
        <v>37</v>
      </c>
      <c r="U49" s="29" t="e">
        <f t="shared" si="6"/>
        <v>#NUM!</v>
      </c>
      <c r="V49" s="28">
        <f t="shared" si="7"/>
        <v>0</v>
      </c>
      <c r="W49" s="29" t="e">
        <f t="shared" si="3"/>
        <v>#NUM!</v>
      </c>
      <c r="X49" s="65"/>
      <c r="Y49" s="73"/>
    </row>
    <row r="50" spans="5:25" ht="49" thickTop="1" thickBot="1" x14ac:dyDescent="0.6">
      <c r="E50" s="71"/>
      <c r="F50" s="71"/>
      <c r="G50" s="27">
        <f t="shared" si="8"/>
        <v>38</v>
      </c>
      <c r="H50" s="29" t="e">
        <f t="shared" si="4"/>
        <v>#NUM!</v>
      </c>
      <c r="I50" s="28">
        <f t="shared" si="5"/>
        <v>0</v>
      </c>
      <c r="J50" s="29" t="e">
        <f t="shared" si="1"/>
        <v>#NUM!</v>
      </c>
      <c r="K50" s="65"/>
      <c r="S50" s="71"/>
      <c r="T50" s="27">
        <f t="shared" si="9"/>
        <v>38</v>
      </c>
      <c r="U50" s="29" t="e">
        <f t="shared" si="6"/>
        <v>#NUM!</v>
      </c>
      <c r="V50" s="28">
        <f t="shared" si="7"/>
        <v>0</v>
      </c>
      <c r="W50" s="29" t="e">
        <f t="shared" si="3"/>
        <v>#NUM!</v>
      </c>
      <c r="X50" s="65"/>
      <c r="Y50" s="73"/>
    </row>
    <row r="51" spans="5:25" ht="49" thickTop="1" thickBot="1" x14ac:dyDescent="0.6">
      <c r="E51" s="71"/>
      <c r="F51" s="71"/>
      <c r="G51" s="27">
        <f t="shared" si="8"/>
        <v>39</v>
      </c>
      <c r="H51" s="29" t="e">
        <f t="shared" si="4"/>
        <v>#NUM!</v>
      </c>
      <c r="I51" s="28">
        <f t="shared" si="5"/>
        <v>0</v>
      </c>
      <c r="J51" s="29" t="e">
        <f t="shared" si="1"/>
        <v>#NUM!</v>
      </c>
      <c r="K51" s="65"/>
      <c r="S51" s="71"/>
      <c r="T51" s="27">
        <f t="shared" si="9"/>
        <v>39</v>
      </c>
      <c r="U51" s="29" t="e">
        <f t="shared" si="6"/>
        <v>#NUM!</v>
      </c>
      <c r="V51" s="28">
        <f t="shared" si="7"/>
        <v>0</v>
      </c>
      <c r="W51" s="29" t="e">
        <f t="shared" si="3"/>
        <v>#NUM!</v>
      </c>
      <c r="X51" s="65"/>
      <c r="Y51" s="73"/>
    </row>
    <row r="52" spans="5:25" ht="49" thickTop="1" thickBot="1" x14ac:dyDescent="0.6">
      <c r="E52" s="71"/>
      <c r="F52" s="71"/>
      <c r="G52" s="27">
        <f t="shared" si="8"/>
        <v>40</v>
      </c>
      <c r="H52" s="29" t="e">
        <f t="shared" si="4"/>
        <v>#NUM!</v>
      </c>
      <c r="I52" s="28">
        <f t="shared" si="5"/>
        <v>0</v>
      </c>
      <c r="J52" s="29" t="e">
        <f t="shared" si="1"/>
        <v>#NUM!</v>
      </c>
      <c r="K52" s="65"/>
      <c r="S52" s="71"/>
      <c r="T52" s="27">
        <f t="shared" si="9"/>
        <v>40</v>
      </c>
      <c r="U52" s="29" t="e">
        <f t="shared" si="6"/>
        <v>#NUM!</v>
      </c>
      <c r="V52" s="28">
        <f t="shared" si="7"/>
        <v>0</v>
      </c>
      <c r="W52" s="29" t="e">
        <f t="shared" si="3"/>
        <v>#NUM!</v>
      </c>
      <c r="X52" s="65"/>
      <c r="Y52" s="73"/>
    </row>
    <row r="53" spans="5:25" ht="49" thickTop="1" thickBot="1" x14ac:dyDescent="0.6">
      <c r="E53" s="71"/>
      <c r="F53" s="71"/>
      <c r="G53" s="27">
        <f t="shared" si="8"/>
        <v>41</v>
      </c>
      <c r="H53" s="29" t="e">
        <f t="shared" si="4"/>
        <v>#NUM!</v>
      </c>
      <c r="I53" s="28">
        <f t="shared" si="5"/>
        <v>0</v>
      </c>
      <c r="J53" s="29" t="e">
        <f t="shared" si="1"/>
        <v>#NUM!</v>
      </c>
      <c r="K53" s="65"/>
      <c r="S53" s="71"/>
      <c r="T53" s="27">
        <f t="shared" si="9"/>
        <v>41</v>
      </c>
      <c r="U53" s="29" t="e">
        <f t="shared" si="6"/>
        <v>#NUM!</v>
      </c>
      <c r="V53" s="28">
        <f t="shared" si="7"/>
        <v>0</v>
      </c>
      <c r="W53" s="29" t="e">
        <f t="shared" si="3"/>
        <v>#NUM!</v>
      </c>
      <c r="X53" s="65"/>
      <c r="Y53" s="73"/>
    </row>
    <row r="54" spans="5:25" ht="49" thickTop="1" thickBot="1" x14ac:dyDescent="0.6">
      <c r="E54" s="71"/>
      <c r="F54" s="71"/>
      <c r="G54" s="27">
        <f t="shared" si="8"/>
        <v>42</v>
      </c>
      <c r="H54" s="29" t="e">
        <f t="shared" si="4"/>
        <v>#NUM!</v>
      </c>
      <c r="I54" s="28">
        <f t="shared" si="5"/>
        <v>0</v>
      </c>
      <c r="J54" s="29" t="e">
        <f t="shared" si="1"/>
        <v>#NUM!</v>
      </c>
      <c r="K54" s="65"/>
      <c r="S54" s="71"/>
      <c r="T54" s="27">
        <f t="shared" si="9"/>
        <v>42</v>
      </c>
      <c r="U54" s="29" t="e">
        <f t="shared" si="6"/>
        <v>#NUM!</v>
      </c>
      <c r="V54" s="28">
        <f t="shared" si="7"/>
        <v>0</v>
      </c>
      <c r="W54" s="29" t="e">
        <f t="shared" si="3"/>
        <v>#NUM!</v>
      </c>
      <c r="X54" s="65"/>
      <c r="Y54" s="73"/>
    </row>
    <row r="55" spans="5:25" ht="49" thickTop="1" thickBot="1" x14ac:dyDescent="0.6">
      <c r="E55" s="71"/>
      <c r="F55" s="71"/>
      <c r="G55" s="27">
        <f t="shared" si="8"/>
        <v>43</v>
      </c>
      <c r="H55" s="29" t="e">
        <f t="shared" si="4"/>
        <v>#NUM!</v>
      </c>
      <c r="I55" s="28">
        <f t="shared" si="5"/>
        <v>0</v>
      </c>
      <c r="J55" s="29" t="e">
        <f t="shared" si="1"/>
        <v>#NUM!</v>
      </c>
      <c r="K55" s="65"/>
      <c r="S55" s="71"/>
      <c r="T55" s="27">
        <f t="shared" si="9"/>
        <v>43</v>
      </c>
      <c r="U55" s="29" t="e">
        <f t="shared" si="6"/>
        <v>#NUM!</v>
      </c>
      <c r="V55" s="28">
        <f t="shared" si="7"/>
        <v>0</v>
      </c>
      <c r="W55" s="29" t="e">
        <f t="shared" si="3"/>
        <v>#NUM!</v>
      </c>
      <c r="X55" s="65"/>
      <c r="Y55" s="73"/>
    </row>
    <row r="56" spans="5:25" ht="49" thickTop="1" thickBot="1" x14ac:dyDescent="0.6">
      <c r="E56" s="71"/>
      <c r="F56" s="71"/>
      <c r="G56" s="27">
        <f t="shared" si="8"/>
        <v>44</v>
      </c>
      <c r="H56" s="29" t="e">
        <f t="shared" si="4"/>
        <v>#NUM!</v>
      </c>
      <c r="I56" s="28">
        <f t="shared" si="5"/>
        <v>0</v>
      </c>
      <c r="J56" s="29" t="e">
        <f t="shared" si="1"/>
        <v>#NUM!</v>
      </c>
      <c r="K56" s="65"/>
      <c r="S56" s="71"/>
      <c r="T56" s="27">
        <f t="shared" si="9"/>
        <v>44</v>
      </c>
      <c r="U56" s="29" t="e">
        <f t="shared" si="6"/>
        <v>#NUM!</v>
      </c>
      <c r="V56" s="28">
        <f t="shared" si="7"/>
        <v>0</v>
      </c>
      <c r="W56" s="29" t="e">
        <f t="shared" si="3"/>
        <v>#NUM!</v>
      </c>
      <c r="X56" s="65"/>
      <c r="Y56" s="73"/>
    </row>
    <row r="57" spans="5:25" ht="49" thickTop="1" thickBot="1" x14ac:dyDescent="0.6">
      <c r="E57" s="71"/>
      <c r="F57" s="71"/>
      <c r="G57" s="27">
        <f t="shared" si="8"/>
        <v>45</v>
      </c>
      <c r="H57" s="29" t="e">
        <f t="shared" si="4"/>
        <v>#NUM!</v>
      </c>
      <c r="I57" s="28">
        <f t="shared" si="5"/>
        <v>0</v>
      </c>
      <c r="J57" s="29" t="e">
        <f t="shared" si="1"/>
        <v>#NUM!</v>
      </c>
      <c r="K57" s="65"/>
      <c r="S57" s="71"/>
      <c r="T57" s="27">
        <f t="shared" si="9"/>
        <v>45</v>
      </c>
      <c r="U57" s="29" t="e">
        <f t="shared" si="6"/>
        <v>#NUM!</v>
      </c>
      <c r="V57" s="28">
        <f t="shared" si="7"/>
        <v>0</v>
      </c>
      <c r="W57" s="29" t="e">
        <f t="shared" si="3"/>
        <v>#NUM!</v>
      </c>
      <c r="X57" s="65"/>
      <c r="Y57" s="73"/>
    </row>
    <row r="58" spans="5:25" ht="49" thickTop="1" thickBot="1" x14ac:dyDescent="0.6">
      <c r="E58" s="71"/>
      <c r="F58" s="71"/>
      <c r="G58" s="27">
        <f t="shared" si="8"/>
        <v>46</v>
      </c>
      <c r="H58" s="29" t="e">
        <f t="shared" si="4"/>
        <v>#NUM!</v>
      </c>
      <c r="I58" s="28">
        <f t="shared" si="5"/>
        <v>0</v>
      </c>
      <c r="J58" s="29" t="e">
        <f t="shared" si="1"/>
        <v>#NUM!</v>
      </c>
      <c r="K58" s="65"/>
      <c r="S58" s="71"/>
      <c r="T58" s="27">
        <f t="shared" si="9"/>
        <v>46</v>
      </c>
      <c r="U58" s="29" t="e">
        <f t="shared" si="6"/>
        <v>#NUM!</v>
      </c>
      <c r="V58" s="28">
        <f t="shared" si="7"/>
        <v>0</v>
      </c>
      <c r="W58" s="29" t="e">
        <f t="shared" si="3"/>
        <v>#NUM!</v>
      </c>
      <c r="X58" s="65"/>
      <c r="Y58" s="73"/>
    </row>
    <row r="59" spans="5:25" ht="49" thickTop="1" thickBot="1" x14ac:dyDescent="0.6">
      <c r="E59" s="71"/>
      <c r="F59" s="71"/>
      <c r="G59" s="27">
        <f t="shared" si="8"/>
        <v>47</v>
      </c>
      <c r="H59" s="29" t="e">
        <f t="shared" si="4"/>
        <v>#NUM!</v>
      </c>
      <c r="I59" s="28">
        <f t="shared" si="5"/>
        <v>0</v>
      </c>
      <c r="J59" s="29" t="e">
        <f t="shared" si="1"/>
        <v>#NUM!</v>
      </c>
      <c r="K59" s="65"/>
      <c r="S59" s="71"/>
      <c r="T59" s="27">
        <f t="shared" si="9"/>
        <v>47</v>
      </c>
      <c r="U59" s="29" t="e">
        <f t="shared" si="6"/>
        <v>#NUM!</v>
      </c>
      <c r="V59" s="28">
        <f t="shared" si="7"/>
        <v>0</v>
      </c>
      <c r="W59" s="29" t="e">
        <f t="shared" si="3"/>
        <v>#NUM!</v>
      </c>
      <c r="X59" s="65"/>
      <c r="Y59" s="73"/>
    </row>
    <row r="60" spans="5:25" ht="49" thickTop="1" thickBot="1" x14ac:dyDescent="0.6">
      <c r="E60" s="71"/>
      <c r="F60" s="71"/>
      <c r="G60" s="27">
        <f t="shared" si="8"/>
        <v>48</v>
      </c>
      <c r="H60" s="29" t="e">
        <f t="shared" si="4"/>
        <v>#NUM!</v>
      </c>
      <c r="I60" s="28">
        <f t="shared" si="5"/>
        <v>0</v>
      </c>
      <c r="J60" s="29" t="e">
        <f t="shared" si="1"/>
        <v>#NUM!</v>
      </c>
      <c r="K60" s="65"/>
      <c r="S60" s="71"/>
      <c r="T60" s="27">
        <f t="shared" si="9"/>
        <v>48</v>
      </c>
      <c r="U60" s="29" t="e">
        <f t="shared" si="6"/>
        <v>#NUM!</v>
      </c>
      <c r="V60" s="28">
        <f t="shared" si="7"/>
        <v>0</v>
      </c>
      <c r="W60" s="29" t="e">
        <f t="shared" si="3"/>
        <v>#NUM!</v>
      </c>
      <c r="X60" s="65"/>
      <c r="Y60" s="73"/>
    </row>
    <row r="61" spans="5:25" ht="49" thickTop="1" thickBot="1" x14ac:dyDescent="0.6">
      <c r="E61" s="71"/>
      <c r="F61" s="71"/>
      <c r="G61" s="27">
        <f t="shared" si="8"/>
        <v>49</v>
      </c>
      <c r="H61" s="29" t="e">
        <f t="shared" si="4"/>
        <v>#NUM!</v>
      </c>
      <c r="I61" s="28">
        <f t="shared" si="5"/>
        <v>0</v>
      </c>
      <c r="J61" s="29" t="e">
        <f t="shared" si="1"/>
        <v>#NUM!</v>
      </c>
      <c r="K61" s="65"/>
      <c r="S61" s="71"/>
      <c r="T61" s="27">
        <f t="shared" si="9"/>
        <v>49</v>
      </c>
      <c r="U61" s="29" t="e">
        <f t="shared" si="6"/>
        <v>#NUM!</v>
      </c>
      <c r="V61" s="28">
        <f t="shared" si="7"/>
        <v>0</v>
      </c>
      <c r="W61" s="29" t="e">
        <f t="shared" si="3"/>
        <v>#NUM!</v>
      </c>
      <c r="X61" s="65"/>
      <c r="Y61" s="73"/>
    </row>
    <row r="62" spans="5:25" ht="49" thickTop="1" thickBot="1" x14ac:dyDescent="0.6">
      <c r="E62" s="71"/>
      <c r="F62" s="71"/>
      <c r="G62" s="27">
        <f t="shared" si="8"/>
        <v>50</v>
      </c>
      <c r="H62" s="29" t="e">
        <f t="shared" si="4"/>
        <v>#NUM!</v>
      </c>
      <c r="I62" s="28">
        <f t="shared" si="5"/>
        <v>0</v>
      </c>
      <c r="J62" s="29" t="e">
        <f t="shared" si="1"/>
        <v>#NUM!</v>
      </c>
      <c r="K62" s="65"/>
      <c r="S62" s="71"/>
      <c r="T62" s="27">
        <f t="shared" si="9"/>
        <v>50</v>
      </c>
      <c r="U62" s="29" t="e">
        <f t="shared" si="6"/>
        <v>#NUM!</v>
      </c>
      <c r="V62" s="28">
        <f t="shared" si="7"/>
        <v>0</v>
      </c>
      <c r="W62" s="29" t="e">
        <f t="shared" si="3"/>
        <v>#NUM!</v>
      </c>
      <c r="X62" s="65"/>
      <c r="Y62" s="73"/>
    </row>
    <row r="63" spans="5:25" ht="49" thickTop="1" thickBot="1" x14ac:dyDescent="0.6">
      <c r="E63" s="71"/>
      <c r="F63" s="71"/>
      <c r="G63" s="27">
        <f t="shared" si="8"/>
        <v>51</v>
      </c>
      <c r="H63" s="29" t="e">
        <f t="shared" si="4"/>
        <v>#NUM!</v>
      </c>
      <c r="I63" s="28">
        <f t="shared" si="5"/>
        <v>0</v>
      </c>
      <c r="J63" s="29" t="e">
        <f t="shared" si="1"/>
        <v>#NUM!</v>
      </c>
      <c r="K63" s="65"/>
      <c r="S63" s="71"/>
      <c r="T63" s="27">
        <f t="shared" si="9"/>
        <v>51</v>
      </c>
      <c r="U63" s="29" t="e">
        <f t="shared" si="6"/>
        <v>#NUM!</v>
      </c>
      <c r="V63" s="28">
        <f t="shared" si="7"/>
        <v>0</v>
      </c>
      <c r="W63" s="29" t="e">
        <f t="shared" si="3"/>
        <v>#NUM!</v>
      </c>
      <c r="X63" s="65"/>
      <c r="Y63" s="73"/>
    </row>
    <row r="64" spans="5:25" ht="49" thickTop="1" thickBot="1" x14ac:dyDescent="0.6">
      <c r="E64" s="71"/>
      <c r="F64" s="71"/>
      <c r="G64" s="27">
        <f t="shared" si="8"/>
        <v>52</v>
      </c>
      <c r="H64" s="29" t="e">
        <f t="shared" si="4"/>
        <v>#NUM!</v>
      </c>
      <c r="I64" s="28">
        <f t="shared" si="5"/>
        <v>0</v>
      </c>
      <c r="J64" s="29" t="e">
        <f t="shared" si="1"/>
        <v>#NUM!</v>
      </c>
      <c r="K64" s="65"/>
      <c r="S64" s="71"/>
      <c r="T64" s="27">
        <f t="shared" si="9"/>
        <v>52</v>
      </c>
      <c r="U64" s="29" t="e">
        <f t="shared" si="6"/>
        <v>#NUM!</v>
      </c>
      <c r="V64" s="28">
        <f t="shared" si="7"/>
        <v>0</v>
      </c>
      <c r="W64" s="29" t="e">
        <f t="shared" si="3"/>
        <v>#NUM!</v>
      </c>
      <c r="X64" s="65"/>
      <c r="Y64" s="73"/>
    </row>
    <row r="65" spans="5:25" ht="49" thickTop="1" thickBot="1" x14ac:dyDescent="0.6">
      <c r="E65" s="71"/>
      <c r="F65" s="71"/>
      <c r="G65" s="27">
        <f t="shared" si="8"/>
        <v>53</v>
      </c>
      <c r="H65" s="29" t="e">
        <f t="shared" si="4"/>
        <v>#NUM!</v>
      </c>
      <c r="I65" s="28">
        <f t="shared" si="5"/>
        <v>0</v>
      </c>
      <c r="J65" s="29" t="e">
        <f t="shared" si="1"/>
        <v>#NUM!</v>
      </c>
      <c r="K65" s="65"/>
      <c r="S65" s="71"/>
      <c r="T65" s="27">
        <f t="shared" si="9"/>
        <v>53</v>
      </c>
      <c r="U65" s="29" t="e">
        <f t="shared" si="6"/>
        <v>#NUM!</v>
      </c>
      <c r="V65" s="28">
        <f t="shared" si="7"/>
        <v>0</v>
      </c>
      <c r="W65" s="29" t="e">
        <f t="shared" si="3"/>
        <v>#NUM!</v>
      </c>
      <c r="X65" s="65"/>
      <c r="Y65" s="73"/>
    </row>
    <row r="66" spans="5:25" ht="49" thickTop="1" thickBot="1" x14ac:dyDescent="0.6">
      <c r="E66" s="71"/>
      <c r="F66" s="71"/>
      <c r="G66" s="27">
        <f t="shared" si="8"/>
        <v>54</v>
      </c>
      <c r="H66" s="29" t="e">
        <f t="shared" si="4"/>
        <v>#NUM!</v>
      </c>
      <c r="I66" s="28">
        <f t="shared" si="5"/>
        <v>0</v>
      </c>
      <c r="J66" s="29" t="e">
        <f t="shared" si="1"/>
        <v>#NUM!</v>
      </c>
      <c r="K66" s="65"/>
      <c r="S66" s="71"/>
      <c r="T66" s="27">
        <f t="shared" si="9"/>
        <v>54</v>
      </c>
      <c r="U66" s="29" t="e">
        <f t="shared" si="6"/>
        <v>#NUM!</v>
      </c>
      <c r="V66" s="28">
        <f t="shared" si="7"/>
        <v>0</v>
      </c>
      <c r="W66" s="29" t="e">
        <f t="shared" si="3"/>
        <v>#NUM!</v>
      </c>
      <c r="X66" s="65"/>
      <c r="Y66" s="73"/>
    </row>
    <row r="67" spans="5:25" ht="49" thickTop="1" thickBot="1" x14ac:dyDescent="0.6">
      <c r="E67" s="71"/>
      <c r="F67" s="71"/>
      <c r="G67" s="27">
        <f t="shared" si="8"/>
        <v>55</v>
      </c>
      <c r="H67" s="29" t="e">
        <f t="shared" si="4"/>
        <v>#NUM!</v>
      </c>
      <c r="I67" s="28">
        <f t="shared" si="5"/>
        <v>0</v>
      </c>
      <c r="J67" s="29" t="e">
        <f t="shared" si="1"/>
        <v>#NUM!</v>
      </c>
      <c r="K67" s="65"/>
      <c r="S67" s="71"/>
      <c r="T67" s="27">
        <f t="shared" si="9"/>
        <v>55</v>
      </c>
      <c r="U67" s="29" t="e">
        <f t="shared" si="6"/>
        <v>#NUM!</v>
      </c>
      <c r="V67" s="28">
        <f t="shared" si="7"/>
        <v>0</v>
      </c>
      <c r="W67" s="29" t="e">
        <f t="shared" si="3"/>
        <v>#NUM!</v>
      </c>
      <c r="X67" s="65"/>
      <c r="Y67" s="73"/>
    </row>
    <row r="68" spans="5:25" ht="49" thickTop="1" thickBot="1" x14ac:dyDescent="0.6">
      <c r="E68" s="71"/>
      <c r="F68" s="71"/>
      <c r="G68" s="27">
        <f t="shared" si="8"/>
        <v>56</v>
      </c>
      <c r="H68" s="29" t="e">
        <f t="shared" si="4"/>
        <v>#NUM!</v>
      </c>
      <c r="I68" s="28">
        <f t="shared" si="5"/>
        <v>0</v>
      </c>
      <c r="J68" s="29" t="e">
        <f t="shared" si="1"/>
        <v>#NUM!</v>
      </c>
      <c r="K68" s="65"/>
      <c r="S68" s="71"/>
      <c r="T68" s="27">
        <f t="shared" si="9"/>
        <v>56</v>
      </c>
      <c r="U68" s="29" t="e">
        <f t="shared" si="6"/>
        <v>#NUM!</v>
      </c>
      <c r="V68" s="28">
        <f t="shared" si="7"/>
        <v>0</v>
      </c>
      <c r="W68" s="29" t="e">
        <f t="shared" si="3"/>
        <v>#NUM!</v>
      </c>
      <c r="X68" s="65"/>
      <c r="Y68" s="73"/>
    </row>
    <row r="69" spans="5:25" ht="49" thickTop="1" thickBot="1" x14ac:dyDescent="0.6">
      <c r="E69" s="71"/>
      <c r="F69" s="71"/>
      <c r="G69" s="27">
        <f t="shared" si="8"/>
        <v>57</v>
      </c>
      <c r="H69" s="29" t="e">
        <f t="shared" si="4"/>
        <v>#NUM!</v>
      </c>
      <c r="I69" s="28">
        <f t="shared" si="5"/>
        <v>0</v>
      </c>
      <c r="J69" s="29" t="e">
        <f t="shared" si="1"/>
        <v>#NUM!</v>
      </c>
      <c r="K69" s="65"/>
      <c r="S69" s="71"/>
      <c r="T69" s="27">
        <f t="shared" si="9"/>
        <v>57</v>
      </c>
      <c r="U69" s="29" t="e">
        <f t="shared" si="6"/>
        <v>#NUM!</v>
      </c>
      <c r="V69" s="28">
        <f t="shared" si="7"/>
        <v>0</v>
      </c>
      <c r="W69" s="29" t="e">
        <f t="shared" si="3"/>
        <v>#NUM!</v>
      </c>
      <c r="X69" s="65"/>
      <c r="Y69" s="73"/>
    </row>
    <row r="70" spans="5:25" ht="49" thickTop="1" thickBot="1" x14ac:dyDescent="0.6">
      <c r="E70" s="71"/>
      <c r="F70" s="71"/>
      <c r="G70" s="27">
        <f t="shared" si="8"/>
        <v>58</v>
      </c>
      <c r="H70" s="29" t="e">
        <f t="shared" si="4"/>
        <v>#NUM!</v>
      </c>
      <c r="I70" s="28">
        <f t="shared" si="5"/>
        <v>0</v>
      </c>
      <c r="J70" s="29" t="e">
        <f t="shared" si="1"/>
        <v>#NUM!</v>
      </c>
      <c r="K70" s="65"/>
      <c r="S70" s="71"/>
      <c r="T70" s="27">
        <f t="shared" si="9"/>
        <v>58</v>
      </c>
      <c r="U70" s="29" t="e">
        <f t="shared" si="6"/>
        <v>#NUM!</v>
      </c>
      <c r="V70" s="28">
        <f t="shared" si="7"/>
        <v>0</v>
      </c>
      <c r="W70" s="29" t="e">
        <f t="shared" si="3"/>
        <v>#NUM!</v>
      </c>
      <c r="X70" s="65"/>
      <c r="Y70" s="73"/>
    </row>
    <row r="71" spans="5:25" ht="49" thickTop="1" thickBot="1" x14ac:dyDescent="0.6">
      <c r="E71" s="71"/>
      <c r="F71" s="71"/>
      <c r="G71" s="27">
        <f t="shared" si="8"/>
        <v>59</v>
      </c>
      <c r="H71" s="29" t="e">
        <f t="shared" si="4"/>
        <v>#NUM!</v>
      </c>
      <c r="I71" s="28">
        <f t="shared" si="5"/>
        <v>0</v>
      </c>
      <c r="J71" s="29" t="e">
        <f t="shared" si="1"/>
        <v>#NUM!</v>
      </c>
      <c r="K71" s="65"/>
      <c r="S71" s="71"/>
      <c r="T71" s="27">
        <f t="shared" si="9"/>
        <v>59</v>
      </c>
      <c r="U71" s="29" t="e">
        <f t="shared" si="6"/>
        <v>#NUM!</v>
      </c>
      <c r="V71" s="28">
        <f t="shared" si="7"/>
        <v>0</v>
      </c>
      <c r="W71" s="29" t="e">
        <f t="shared" si="3"/>
        <v>#NUM!</v>
      </c>
      <c r="X71" s="65"/>
      <c r="Y71" s="73"/>
    </row>
    <row r="72" spans="5:25" ht="49" thickTop="1" thickBot="1" x14ac:dyDescent="0.6">
      <c r="E72" s="71"/>
      <c r="F72" s="71"/>
      <c r="G72" s="27">
        <f t="shared" si="8"/>
        <v>60</v>
      </c>
      <c r="H72" s="29" t="e">
        <f t="shared" si="4"/>
        <v>#NUM!</v>
      </c>
      <c r="I72" s="28">
        <f t="shared" si="5"/>
        <v>0</v>
      </c>
      <c r="J72" s="29" t="e">
        <f t="shared" si="1"/>
        <v>#NUM!</v>
      </c>
      <c r="K72" s="65"/>
      <c r="S72" s="71"/>
      <c r="T72" s="27">
        <f t="shared" si="9"/>
        <v>60</v>
      </c>
      <c r="U72" s="29" t="e">
        <f t="shared" si="6"/>
        <v>#NUM!</v>
      </c>
      <c r="V72" s="28">
        <f t="shared" si="7"/>
        <v>0</v>
      </c>
      <c r="W72" s="29" t="e">
        <f t="shared" si="3"/>
        <v>#NUM!</v>
      </c>
      <c r="X72" s="65"/>
      <c r="Y72" s="73"/>
    </row>
    <row r="73" spans="5:25" ht="14" customHeight="1" thickTop="1" thickBot="1" x14ac:dyDescent="0.6">
      <c r="E73" s="71"/>
      <c r="F73" s="72"/>
      <c r="G73" s="54"/>
      <c r="H73" s="54"/>
      <c r="I73" s="54"/>
      <c r="J73" s="54"/>
      <c r="K73" s="55"/>
      <c r="S73" s="72"/>
      <c r="T73" s="54"/>
      <c r="U73" s="54"/>
      <c r="V73" s="54"/>
      <c r="W73" s="54"/>
      <c r="X73" s="55"/>
      <c r="Y73" s="73"/>
    </row>
    <row r="74" spans="5:25" ht="27" customHeight="1" thickTop="1" thickBot="1" x14ac:dyDescent="0.6">
      <c r="E74" s="72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5"/>
    </row>
    <row r="75" spans="5:25" ht="48" thickTop="1" x14ac:dyDescent="0.55000000000000004"/>
  </sheetData>
  <mergeCells count="31">
    <mergeCell ref="E2:Y2"/>
    <mergeCell ref="E3:E74"/>
    <mergeCell ref="F3:K3"/>
    <mergeCell ref="S3:X3"/>
    <mergeCell ref="Y3:Y73"/>
    <mergeCell ref="F4:F73"/>
    <mergeCell ref="G4:J4"/>
    <mergeCell ref="K4:K72"/>
    <mergeCell ref="S4:S73"/>
    <mergeCell ref="T4:W4"/>
    <mergeCell ref="M20:Q20"/>
    <mergeCell ref="X4:X72"/>
    <mergeCell ref="G6:I6"/>
    <mergeCell ref="T6:V6"/>
    <mergeCell ref="G7:I7"/>
    <mergeCell ref="T7:V7"/>
    <mergeCell ref="G8:I8"/>
    <mergeCell ref="T8:V8"/>
    <mergeCell ref="G9:I9"/>
    <mergeCell ref="T9:V9"/>
    <mergeCell ref="G10:I10"/>
    <mergeCell ref="T10:V10"/>
    <mergeCell ref="M14:Q14"/>
    <mergeCell ref="N15:Q15"/>
    <mergeCell ref="N16:Q16"/>
    <mergeCell ref="N17:Q17"/>
    <mergeCell ref="N21:Q21"/>
    <mergeCell ref="N22:Q22"/>
    <mergeCell ref="G73:K73"/>
    <mergeCell ref="T73:X73"/>
    <mergeCell ref="F74:Y74"/>
  </mergeCells>
  <hyperlinks>
    <hyperlink ref="N17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64FEFDFC-7313-974B-B809-394D996C462B}"/>
    <hyperlink ref="N15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C37FADF7-548B-4345-BE6C-B2B049F59B80}"/>
    <hyperlink ref="N16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D458940B-9646-F24D-BAD9-2BDA2D7C3768}"/>
    <hyperlink ref="N21" r:id="rId4" xr:uid="{853281DC-2726-3442-B767-11A3AC14F65E}"/>
    <hyperlink ref="N22" r:id="rId5" xr:uid="{D84562C8-A6B3-9548-89EC-85E8337ABB3F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Minor + Major Investment</vt:lpstr>
      <vt:lpstr>One time gift</vt:lpstr>
      <vt:lpstr>Wealth 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2024-08-02T04:19:02Z</dcterms:created>
  <dcterms:modified xsi:type="dcterms:W3CDTF">2024-09-19T11:37:35Z</dcterms:modified>
</cp:coreProperties>
</file>