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raisebashanaik/Downloads/"/>
    </mc:Choice>
  </mc:AlternateContent>
  <xr:revisionPtr revIDLastSave="0" documentId="13_ncr:1_{6C42B8FA-0668-994F-95AB-6C392AFF6DF7}" xr6:coauthVersionLast="47" xr6:coauthVersionMax="47" xr10:uidLastSave="{00000000-0000-0000-0000-000000000000}"/>
  <bookViews>
    <workbookView xWindow="160" yWindow="900" windowWidth="34320" windowHeight="19880" activeTab="2" xr2:uid="{00000000-000D-0000-FFFF-FFFF00000000}"/>
  </bookViews>
  <sheets>
    <sheet name="Funds &amp; Performance" sheetId="2" r:id="rId1"/>
    <sheet name="NPS Funds Returns" sheetId="3" r:id="rId2"/>
    <sheet name="New NPS Vs Old NPS" sheetId="4" r:id="rId3"/>
  </sheets>
  <definedNames>
    <definedName name="_xlnm._FilterDatabase" localSheetId="0" hidden="1">'Funds &amp; Performance'!#REF!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4" l="1"/>
  <c r="D29" i="4" s="1"/>
  <c r="D27" i="4"/>
  <c r="D26" i="4"/>
  <c r="R10" i="4"/>
  <c r="R9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8" i="4"/>
  <c r="O11" i="4"/>
  <c r="O9" i="4"/>
  <c r="O10" i="4" s="1"/>
  <c r="I9" i="4"/>
  <c r="R6" i="4"/>
  <c r="R5" i="4"/>
  <c r="K8" i="4"/>
  <c r="L5" i="4"/>
  <c r="D12" i="4"/>
  <c r="D11" i="4"/>
  <c r="L8" i="4"/>
  <c r="J9" i="4" l="1"/>
  <c r="R8" i="4"/>
  <c r="O12" i="4"/>
  <c r="K9" i="4"/>
  <c r="I10" i="4"/>
  <c r="D7" i="3"/>
  <c r="E7" i="3"/>
  <c r="F7" i="3"/>
  <c r="G7" i="3"/>
  <c r="C7" i="3"/>
  <c r="D5" i="3"/>
  <c r="E5" i="3"/>
  <c r="F5" i="3"/>
  <c r="G5" i="3"/>
  <c r="H5" i="3"/>
  <c r="C5" i="3"/>
  <c r="D4" i="3"/>
  <c r="E4" i="3"/>
  <c r="F4" i="3"/>
  <c r="G4" i="3"/>
  <c r="H4" i="3"/>
  <c r="C4" i="3"/>
  <c r="L14" i="2"/>
  <c r="K14" i="2"/>
  <c r="J14" i="2"/>
  <c r="I14" i="2"/>
  <c r="H14" i="2"/>
  <c r="G14" i="2"/>
  <c r="L64" i="2"/>
  <c r="L65" i="2"/>
  <c r="K65" i="2"/>
  <c r="J65" i="2"/>
  <c r="G65" i="2"/>
  <c r="I65" i="2"/>
  <c r="H65" i="2"/>
  <c r="L13" i="2"/>
  <c r="P9" i="4" l="1"/>
  <c r="P10" i="4" s="1"/>
  <c r="P11" i="4" s="1"/>
  <c r="R11" i="4" s="1"/>
  <c r="L9" i="4"/>
  <c r="J10" i="4" s="1"/>
  <c r="L10" i="4" s="1"/>
  <c r="J11" i="4" s="1"/>
  <c r="O13" i="4"/>
  <c r="K10" i="4"/>
  <c r="I11" i="4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P12" i="4" l="1"/>
  <c r="R12" i="4" s="1"/>
  <c r="O14" i="4"/>
  <c r="K11" i="4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I29" i="4"/>
  <c r="O15" i="4" l="1"/>
  <c r="L11" i="4"/>
  <c r="J12" i="4" s="1"/>
  <c r="L12" i="4" s="1"/>
  <c r="J13" i="4" s="1"/>
  <c r="L13" i="4" s="1"/>
  <c r="I30" i="4"/>
  <c r="K29" i="4"/>
  <c r="O16" i="4" l="1"/>
  <c r="I31" i="4"/>
  <c r="K30" i="4"/>
  <c r="J14" i="4"/>
  <c r="L14" i="4" s="1"/>
  <c r="P13" i="4" l="1"/>
  <c r="O17" i="4"/>
  <c r="I32" i="4"/>
  <c r="K31" i="4"/>
  <c r="J15" i="4"/>
  <c r="L15" i="4" s="1"/>
  <c r="R13" i="4" l="1"/>
  <c r="P14" i="4" s="1"/>
  <c r="O18" i="4"/>
  <c r="I33" i="4"/>
  <c r="K32" i="4"/>
  <c r="J16" i="4"/>
  <c r="L16" i="4" s="1"/>
  <c r="P15" i="4" l="1"/>
  <c r="R15" i="4" s="1"/>
  <c r="P16" i="4" s="1"/>
  <c r="R16" i="4" s="1"/>
  <c r="P17" i="4" s="1"/>
  <c r="R17" i="4" s="1"/>
  <c r="P18" i="4" s="1"/>
  <c r="R18" i="4" s="1"/>
  <c r="R14" i="4"/>
  <c r="O19" i="4"/>
  <c r="I34" i="4"/>
  <c r="K33" i="4"/>
  <c r="J17" i="4"/>
  <c r="L17" i="4" s="1"/>
  <c r="O20" i="4" l="1"/>
  <c r="P19" i="4"/>
  <c r="R19" i="4" s="1"/>
  <c r="I35" i="4"/>
  <c r="K34" i="4"/>
  <c r="J18" i="4"/>
  <c r="L18" i="4" s="1"/>
  <c r="P20" i="4" l="1"/>
  <c r="R20" i="4" s="1"/>
  <c r="O21" i="4"/>
  <c r="I36" i="4"/>
  <c r="K35" i="4"/>
  <c r="J19" i="4"/>
  <c r="L19" i="4" s="1"/>
  <c r="P21" i="4" l="1"/>
  <c r="R21" i="4" s="1"/>
  <c r="O22" i="4"/>
  <c r="I37" i="4"/>
  <c r="K36" i="4"/>
  <c r="J20" i="4"/>
  <c r="L20" i="4" s="1"/>
  <c r="P22" i="4" l="1"/>
  <c r="R22" i="4" s="1"/>
  <c r="O23" i="4"/>
  <c r="I38" i="4"/>
  <c r="K37" i="4"/>
  <c r="J21" i="4"/>
  <c r="L21" i="4" s="1"/>
  <c r="O24" i="4" l="1"/>
  <c r="P23" i="4"/>
  <c r="R23" i="4" s="1"/>
  <c r="I39" i="4"/>
  <c r="K38" i="4"/>
  <c r="J22" i="4"/>
  <c r="L22" i="4" s="1"/>
  <c r="P24" i="4" l="1"/>
  <c r="R24" i="4" s="1"/>
  <c r="O25" i="4"/>
  <c r="I40" i="4"/>
  <c r="K39" i="4"/>
  <c r="J23" i="4"/>
  <c r="L23" i="4" s="1"/>
  <c r="O26" i="4" l="1"/>
  <c r="P25" i="4"/>
  <c r="R25" i="4" s="1"/>
  <c r="I41" i="4"/>
  <c r="K40" i="4"/>
  <c r="J24" i="4"/>
  <c r="L24" i="4" s="1"/>
  <c r="O27" i="4" l="1"/>
  <c r="P26" i="4"/>
  <c r="R26" i="4" s="1"/>
  <c r="I42" i="4"/>
  <c r="K41" i="4"/>
  <c r="J25" i="4"/>
  <c r="L25" i="4" s="1"/>
  <c r="O28" i="4" l="1"/>
  <c r="P27" i="4"/>
  <c r="R27" i="4" s="1"/>
  <c r="K42" i="4"/>
  <c r="J26" i="4"/>
  <c r="L26" i="4" s="1"/>
  <c r="O29" i="4" l="1"/>
  <c r="P28" i="4"/>
  <c r="R28" i="4" s="1"/>
  <c r="J27" i="4"/>
  <c r="L27" i="4" s="1"/>
  <c r="O30" i="4" l="1"/>
  <c r="P29" i="4"/>
  <c r="R29" i="4" s="1"/>
  <c r="J28" i="4"/>
  <c r="L28" i="4" s="1"/>
  <c r="O31" i="4" l="1"/>
  <c r="P30" i="4"/>
  <c r="R30" i="4" s="1"/>
  <c r="J29" i="4"/>
  <c r="L29" i="4" s="1"/>
  <c r="O32" i="4" l="1"/>
  <c r="P31" i="4"/>
  <c r="R31" i="4" s="1"/>
  <c r="J30" i="4"/>
  <c r="L30" i="4" s="1"/>
  <c r="P32" i="4" l="1"/>
  <c r="R32" i="4" s="1"/>
  <c r="O33" i="4"/>
  <c r="J31" i="4"/>
  <c r="L31" i="4" s="1"/>
  <c r="O34" i="4" l="1"/>
  <c r="P33" i="4"/>
  <c r="R33" i="4" s="1"/>
  <c r="J32" i="4"/>
  <c r="L32" i="4" s="1"/>
  <c r="O35" i="4" l="1"/>
  <c r="P34" i="4"/>
  <c r="R34" i="4" s="1"/>
  <c r="J33" i="4"/>
  <c r="L33" i="4" s="1"/>
  <c r="P35" i="4" l="1"/>
  <c r="R35" i="4" s="1"/>
  <c r="O36" i="4"/>
  <c r="J34" i="4"/>
  <c r="L34" i="4" s="1"/>
  <c r="O37" i="4" l="1"/>
  <c r="P36" i="4"/>
  <c r="R36" i="4" s="1"/>
  <c r="J35" i="4"/>
  <c r="L35" i="4" s="1"/>
  <c r="P37" i="4" l="1"/>
  <c r="R37" i="4" s="1"/>
  <c r="O38" i="4"/>
  <c r="J36" i="4"/>
  <c r="L36" i="4" s="1"/>
  <c r="O39" i="4" l="1"/>
  <c r="P38" i="4"/>
  <c r="R38" i="4" s="1"/>
  <c r="J37" i="4"/>
  <c r="L37" i="4" s="1"/>
  <c r="O40" i="4" l="1"/>
  <c r="P39" i="4"/>
  <c r="R39" i="4" s="1"/>
  <c r="J38" i="4"/>
  <c r="L38" i="4" s="1"/>
  <c r="O41" i="4" l="1"/>
  <c r="P40" i="4"/>
  <c r="R40" i="4" s="1"/>
  <c r="J39" i="4"/>
  <c r="L39" i="4" s="1"/>
  <c r="O42" i="4" l="1"/>
  <c r="P41" i="4"/>
  <c r="R41" i="4" s="1"/>
  <c r="J40" i="4"/>
  <c r="L40" i="4" s="1"/>
  <c r="P42" i="4" l="1"/>
  <c r="R42" i="4" s="1"/>
  <c r="J41" i="4"/>
  <c r="L41" i="4" s="1"/>
  <c r="J42" i="4" l="1"/>
  <c r="L42" i="4" s="1"/>
</calcChain>
</file>

<file path=xl/sharedStrings.xml><?xml version="1.0" encoding="utf-8"?>
<sst xmlns="http://schemas.openxmlformats.org/spreadsheetml/2006/main" count="495" uniqueCount="74">
  <si>
    <t>SCHEME - E Tier-I</t>
  </si>
  <si>
    <t>Pension Fund</t>
  </si>
  <si>
    <t>Inception
Date</t>
  </si>
  <si>
    <t>AUM
(Rs Crs)</t>
  </si>
  <si>
    <t>Subscribers</t>
  </si>
  <si>
    <t>NAV</t>
  </si>
  <si>
    <t>Returns
 1 Year</t>
  </si>
  <si>
    <t>Returns 
3 Years</t>
  </si>
  <si>
    <t>Returns 
5 Years</t>
  </si>
  <si>
    <t>Returns 
7 Years</t>
  </si>
  <si>
    <t>Returns 
10 Years</t>
  </si>
  <si>
    <t>Returns 
Inception</t>
  </si>
  <si>
    <t>Aditya Birla Sun Life Pension Fund Management Limited</t>
  </si>
  <si>
    <t>Axis Pension Fund Management Limited</t>
  </si>
  <si>
    <t>HDFC Pension Fund Management Ltd.</t>
  </si>
  <si>
    <t>ICICI Pru. Pension Fund Mgmt Co. Ltd.</t>
  </si>
  <si>
    <t>Kotak Mahindra Pension Fund Ltd.</t>
  </si>
  <si>
    <t>LIC Pension Fund Ltd.</t>
  </si>
  <si>
    <t>SBI Pension Funds Pvt. Ltd</t>
  </si>
  <si>
    <t>Tata Pension Fund Management Pvt. Ltd.</t>
  </si>
  <si>
    <t>UTI Pension Fund Ltd.</t>
  </si>
  <si>
    <t>DSP Pension Fund Managers Private Limited</t>
  </si>
  <si>
    <t>SCHEME - C Tier-I</t>
  </si>
  <si>
    <t>Inception Date</t>
  </si>
  <si>
    <t>AUM 
(Rs Crs)</t>
  </si>
  <si>
    <t>SCHEME - G Tier-I</t>
  </si>
  <si>
    <t>SCHEME -A Tier-I</t>
  </si>
  <si>
    <t>SCHEME - E Tier-II</t>
  </si>
  <si>
    <t>SCHEME - C Tier-II</t>
  </si>
  <si>
    <t>SCHEME - G Tier-II</t>
  </si>
  <si>
    <t>SCHEME -CG</t>
  </si>
  <si>
    <t>SCHEME - SG</t>
  </si>
  <si>
    <t>SCHEME-Corporate CG</t>
  </si>
  <si>
    <t xml:space="preserve">SCHEME- NPS Lite </t>
  </si>
  <si>
    <t>SCHEME - APY</t>
  </si>
  <si>
    <t>Subscribers*</t>
  </si>
  <si>
    <t>SCHEME - TTS</t>
  </si>
  <si>
    <t>SCHEME - Tier II Composite</t>
  </si>
  <si>
    <t>SCHEME - UPS CG</t>
  </si>
  <si>
    <t>* Subscribers count pertains to Associated Subscribers</t>
  </si>
  <si>
    <t>NA</t>
  </si>
  <si>
    <t>Benchmark Return as on 19-09-2025</t>
  </si>
  <si>
    <t>E</t>
  </si>
  <si>
    <t>Equity Tier1</t>
  </si>
  <si>
    <t>Equity Tier2</t>
  </si>
  <si>
    <t>No. of Funds</t>
  </si>
  <si>
    <t>Benchmark</t>
  </si>
  <si>
    <t>Year</t>
  </si>
  <si>
    <t>Investment</t>
  </si>
  <si>
    <t>Contribution</t>
  </si>
  <si>
    <t>End Value</t>
  </si>
  <si>
    <t>Expected Growth in Salary</t>
  </si>
  <si>
    <t>Expected Return on Investment</t>
  </si>
  <si>
    <t>Name</t>
  </si>
  <si>
    <t>Age</t>
  </si>
  <si>
    <t>Planned Vesting Age</t>
  </si>
  <si>
    <t>Planned Investment Amount</t>
  </si>
  <si>
    <t>abc</t>
  </si>
  <si>
    <t>Contribution to Old NPS</t>
  </si>
  <si>
    <t>Contribution to New NPS</t>
  </si>
  <si>
    <t>The Difference in Gains</t>
  </si>
  <si>
    <t>End Corpus from Old NPS</t>
  </si>
  <si>
    <t>End Corpus from New NPS</t>
  </si>
  <si>
    <t>The Additional Corpus from New NPS</t>
  </si>
  <si>
    <t>Rate of Additional Return</t>
  </si>
  <si>
    <t>Calculation of Investment in Old NPS</t>
  </si>
  <si>
    <t>Calculation of Investment in New NPS</t>
  </si>
  <si>
    <t>TO SUPPORT OUR CHANNEL USE THE LINKS BELOW</t>
  </si>
  <si>
    <t>https://angel-one.onelink.me/Wjgr/8vxyj8iq</t>
  </si>
  <si>
    <t>LINK FOR ANGEL ONE</t>
  </si>
  <si>
    <t>https://tinyurl.com/y8sbw9w8</t>
  </si>
  <si>
    <t xml:space="preserve">LINK FOR UPSTOX </t>
  </si>
  <si>
    <t>https://zerodha.com/open-account?c=ZMPVNW</t>
  </si>
  <si>
    <t>LINK FOR ZERODHA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</si>
</sst>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₹&quot;#,##0.00_);[Red]\(&quot;₹&quot;#,##0.00\)"/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  <numFmt numFmtId="166" formatCode="0.0000"/>
    <numFmt numFmtId="167" formatCode="&quot;₹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 Antiqua"/>
      <family val="2"/>
    </font>
    <font>
      <b/>
      <sz val="14"/>
      <color rgb="FF000000"/>
      <name val="Book Antiqua"/>
      <family val="1"/>
    </font>
    <font>
      <sz val="12"/>
      <color rgb="FF000000"/>
      <name val="Book Antiqua"/>
      <family val="1"/>
    </font>
    <font>
      <sz val="14"/>
      <color rgb="FF000000"/>
      <name val="Book Antiqua"/>
      <family val="1"/>
    </font>
    <font>
      <b/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9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36"/>
      <color rgb="FF000000"/>
      <name val="Book Antiqua"/>
      <family val="1"/>
    </font>
    <font>
      <sz val="36"/>
      <color theme="1"/>
      <name val="Book Antiqua"/>
      <family val="1"/>
    </font>
    <font>
      <b/>
      <sz val="36"/>
      <color theme="1"/>
      <name val="Book Antiqua"/>
      <family val="1"/>
    </font>
    <font>
      <b/>
      <sz val="36"/>
      <color theme="0"/>
      <name val="Book Antiqua"/>
      <family val="1"/>
    </font>
    <font>
      <u/>
      <sz val="11"/>
      <color theme="10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28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9D5B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9E5A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54E19"/>
        <bgColor indexed="64"/>
      </patternFill>
    </fill>
    <fill>
      <patternFill patternType="solid">
        <fgColor rgb="FFF8E4B7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29">
    <xf numFmtId="0" fontId="0" fillId="0" borderId="0" xfId="0"/>
    <xf numFmtId="0" fontId="16" fillId="0" borderId="14" xfId="3" applyFont="1" applyBorder="1" applyAlignment="1" applyProtection="1">
      <alignment horizontal="left"/>
      <protection hidden="1"/>
    </xf>
    <xf numFmtId="0" fontId="16" fillId="0" borderId="14" xfId="3" applyFont="1" applyBorder="1" applyAlignment="1" applyProtection="1">
      <protection hidden="1"/>
    </xf>
    <xf numFmtId="0" fontId="15" fillId="11" borderId="14" xfId="0" applyFont="1" applyFill="1" applyBorder="1" applyAlignment="1" applyProtection="1">
      <alignment horizontal="center"/>
      <protection hidden="1"/>
    </xf>
    <xf numFmtId="0" fontId="15" fillId="11" borderId="15" xfId="0" applyFont="1" applyFill="1" applyBorder="1" applyAlignment="1" applyProtection="1">
      <alignment horizontal="center"/>
      <protection hidden="1"/>
    </xf>
    <xf numFmtId="0" fontId="15" fillId="11" borderId="16" xfId="0" applyFont="1" applyFill="1" applyBorder="1" applyAlignment="1" applyProtection="1">
      <alignment horizontal="center"/>
      <protection hidden="1"/>
    </xf>
    <xf numFmtId="8" fontId="15" fillId="11" borderId="14" xfId="0" applyNumberFormat="1" applyFont="1" applyFill="1" applyBorder="1" applyAlignment="1" applyProtection="1">
      <alignment horizontal="center"/>
      <protection hidden="1"/>
    </xf>
    <xf numFmtId="8" fontId="15" fillId="11" borderId="16" xfId="0" applyNumberFormat="1" applyFont="1" applyFill="1" applyBorder="1" applyAlignment="1" applyProtection="1">
      <alignment horizontal="center"/>
      <protection hidden="1"/>
    </xf>
    <xf numFmtId="8" fontId="15" fillId="11" borderId="15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Protection="1">
      <protection hidden="1"/>
    </xf>
    <xf numFmtId="164" fontId="2" fillId="0" borderId="0" xfId="2" applyNumberFormat="1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center"/>
      <protection hidden="1"/>
    </xf>
    <xf numFmtId="10" fontId="0" fillId="0" borderId="0" xfId="1" applyNumberFormat="1" applyFont="1" applyProtection="1">
      <protection hidden="1"/>
    </xf>
    <xf numFmtId="0" fontId="0" fillId="0" borderId="0" xfId="0" applyProtection="1">
      <protection hidden="1"/>
    </xf>
    <xf numFmtId="0" fontId="3" fillId="2" borderId="1" xfId="0" applyFont="1" applyFill="1" applyBorder="1" applyAlignment="1" applyProtection="1">
      <alignment horizontal="center" vertical="center" textRotation="90"/>
      <protection hidden="1"/>
    </xf>
    <xf numFmtId="0" fontId="3" fillId="3" borderId="2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164" fontId="3" fillId="3" borderId="2" xfId="2" applyNumberFormat="1" applyFont="1" applyFill="1" applyBorder="1" applyAlignment="1" applyProtection="1">
      <alignment horizontal="right" vertical="center"/>
      <protection hidden="1"/>
    </xf>
    <xf numFmtId="10" fontId="3" fillId="3" borderId="2" xfId="1" applyNumberFormat="1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textRotation="90"/>
      <protection hidden="1"/>
    </xf>
    <xf numFmtId="0" fontId="4" fillId="4" borderId="2" xfId="0" applyFont="1" applyFill="1" applyBorder="1" applyProtection="1">
      <protection hidden="1"/>
    </xf>
    <xf numFmtId="15" fontId="5" fillId="4" borderId="2" xfId="0" applyNumberFormat="1" applyFont="1" applyFill="1" applyBorder="1" applyAlignment="1" applyProtection="1">
      <alignment horizontal="center"/>
      <protection hidden="1"/>
    </xf>
    <xf numFmtId="43" fontId="5" fillId="4" borderId="2" xfId="0" applyNumberFormat="1" applyFont="1" applyFill="1" applyBorder="1" applyAlignment="1" applyProtection="1">
      <alignment horizontal="center"/>
      <protection hidden="1"/>
    </xf>
    <xf numFmtId="164" fontId="5" fillId="4" borderId="2" xfId="2" applyNumberFormat="1" applyFont="1" applyFill="1" applyBorder="1" applyAlignment="1" applyProtection="1">
      <alignment horizontal="right"/>
      <protection hidden="1"/>
    </xf>
    <xf numFmtId="165" fontId="5" fillId="4" borderId="2" xfId="0" applyNumberFormat="1" applyFont="1" applyFill="1" applyBorder="1" applyAlignment="1" applyProtection="1">
      <alignment horizontal="center"/>
      <protection hidden="1"/>
    </xf>
    <xf numFmtId="10" fontId="5" fillId="4" borderId="2" xfId="1" applyNumberFormat="1" applyFont="1" applyFill="1" applyBorder="1" applyAlignment="1" applyProtection="1">
      <alignment horizontal="right"/>
      <protection hidden="1"/>
    </xf>
    <xf numFmtId="0" fontId="4" fillId="6" borderId="2" xfId="0" applyFont="1" applyFill="1" applyBorder="1" applyAlignment="1" applyProtection="1">
      <alignment wrapText="1"/>
      <protection hidden="1"/>
    </xf>
    <xf numFmtId="0" fontId="4" fillId="4" borderId="2" xfId="0" applyFont="1" applyFill="1" applyBorder="1" applyAlignment="1" applyProtection="1">
      <alignment wrapText="1"/>
      <protection hidden="1"/>
    </xf>
    <xf numFmtId="0" fontId="3" fillId="2" borderId="4" xfId="0" applyFont="1" applyFill="1" applyBorder="1" applyAlignment="1" applyProtection="1">
      <alignment horizontal="center" vertical="center" textRotation="90"/>
      <protection hidden="1"/>
    </xf>
    <xf numFmtId="0" fontId="4" fillId="5" borderId="0" xfId="0" applyFont="1" applyFill="1" applyAlignment="1" applyProtection="1">
      <alignment horizontal="left" wrapText="1"/>
      <protection hidden="1"/>
    </xf>
    <xf numFmtId="15" fontId="5" fillId="4" borderId="0" xfId="0" applyNumberFormat="1" applyFont="1" applyFill="1" applyAlignment="1" applyProtection="1">
      <alignment horizontal="center"/>
      <protection hidden="1"/>
    </xf>
    <xf numFmtId="43" fontId="5" fillId="4" borderId="0" xfId="0" applyNumberFormat="1" applyFont="1" applyFill="1" applyAlignment="1" applyProtection="1">
      <alignment horizontal="center"/>
      <protection hidden="1"/>
    </xf>
    <xf numFmtId="164" fontId="5" fillId="4" borderId="0" xfId="2" applyNumberFormat="1" applyFont="1" applyFill="1" applyAlignment="1" applyProtection="1">
      <alignment horizontal="right"/>
      <protection hidden="1"/>
    </xf>
    <xf numFmtId="166" fontId="5" fillId="4" borderId="0" xfId="0" applyNumberFormat="1" applyFont="1" applyFill="1" applyAlignment="1" applyProtection="1">
      <alignment horizontal="center"/>
      <protection hidden="1"/>
    </xf>
    <xf numFmtId="10" fontId="5" fillId="4" borderId="0" xfId="0" applyNumberFormat="1" applyFont="1" applyFill="1" applyAlignment="1" applyProtection="1">
      <alignment horizontal="right"/>
      <protection hidden="1"/>
    </xf>
    <xf numFmtId="10" fontId="5" fillId="4" borderId="0" xfId="1" applyNumberFormat="1" applyFont="1" applyFill="1" applyAlignment="1" applyProtection="1">
      <alignment horizontal="right"/>
      <protection hidden="1"/>
    </xf>
    <xf numFmtId="0" fontId="5" fillId="0" borderId="0" xfId="0" applyFont="1" applyProtection="1">
      <protection hidden="1"/>
    </xf>
    <xf numFmtId="164" fontId="5" fillId="0" borderId="0" xfId="2" applyNumberFormat="1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center"/>
      <protection hidden="1"/>
    </xf>
    <xf numFmtId="10" fontId="2" fillId="0" borderId="0" xfId="0" applyNumberFormat="1" applyFont="1" applyProtection="1">
      <protection hidden="1"/>
    </xf>
    <xf numFmtId="2" fontId="5" fillId="4" borderId="2" xfId="0" applyNumberFormat="1" applyFont="1" applyFill="1" applyBorder="1" applyProtection="1">
      <protection hidden="1"/>
    </xf>
    <xf numFmtId="10" fontId="5" fillId="4" borderId="2" xfId="1" applyNumberFormat="1" applyFont="1" applyFill="1" applyBorder="1" applyProtection="1">
      <protection hidden="1"/>
    </xf>
    <xf numFmtId="10" fontId="5" fillId="4" borderId="2" xfId="1" applyNumberFormat="1" applyFont="1" applyFill="1" applyBorder="1" applyAlignment="1" applyProtection="1">
      <protection hidden="1"/>
    </xf>
    <xf numFmtId="0" fontId="4" fillId="5" borderId="0" xfId="0" applyFont="1" applyFill="1" applyAlignment="1" applyProtection="1">
      <alignment wrapText="1"/>
      <protection hidden="1"/>
    </xf>
    <xf numFmtId="2" fontId="5" fillId="4" borderId="0" xfId="0" applyNumberFormat="1" applyFont="1" applyFill="1" applyProtection="1">
      <protection hidden="1"/>
    </xf>
    <xf numFmtId="165" fontId="5" fillId="4" borderId="0" xfId="0" applyNumberFormat="1" applyFont="1" applyFill="1" applyAlignment="1" applyProtection="1">
      <alignment horizontal="right"/>
      <protection hidden="1"/>
    </xf>
    <xf numFmtId="10" fontId="5" fillId="4" borderId="0" xfId="1" applyNumberFormat="1" applyFont="1" applyFill="1" applyBorder="1" applyAlignment="1" applyProtection="1">
      <alignment horizontal="right"/>
      <protection hidden="1"/>
    </xf>
    <xf numFmtId="10" fontId="5" fillId="4" borderId="0" xfId="1" applyNumberFormat="1" applyFont="1" applyFill="1" applyBorder="1" applyAlignment="1" applyProtection="1">
      <protection hidden="1"/>
    </xf>
    <xf numFmtId="10" fontId="5" fillId="4" borderId="0" xfId="1" applyNumberFormat="1" applyFont="1" applyFill="1" applyBorder="1" applyProtection="1">
      <protection hidden="1"/>
    </xf>
    <xf numFmtId="0" fontId="4" fillId="0" borderId="0" xfId="0" applyFont="1" applyProtection="1">
      <protection hidden="1"/>
    </xf>
    <xf numFmtId="0" fontId="3" fillId="2" borderId="5" xfId="0" applyFont="1" applyFill="1" applyBorder="1" applyAlignment="1" applyProtection="1">
      <alignment horizontal="center" vertical="center" textRotation="90"/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vertical="center" wrapText="1"/>
      <protection hidden="1"/>
    </xf>
    <xf numFmtId="0" fontId="3" fillId="2" borderId="0" xfId="0" applyFont="1" applyFill="1" applyAlignment="1" applyProtection="1">
      <alignment horizontal="center" vertical="center" textRotation="90"/>
      <protection hidden="1"/>
    </xf>
    <xf numFmtId="165" fontId="5" fillId="4" borderId="2" xfId="0" applyNumberFormat="1" applyFont="1" applyFill="1" applyBorder="1" applyAlignment="1" applyProtection="1">
      <alignment horizontal="right"/>
      <protection hidden="1"/>
    </xf>
    <xf numFmtId="10" fontId="5" fillId="4" borderId="2" xfId="0" applyNumberFormat="1" applyFont="1" applyFill="1" applyBorder="1" applyAlignment="1" applyProtection="1">
      <alignment horizontal="right"/>
      <protection hidden="1"/>
    </xf>
    <xf numFmtId="2" fontId="5" fillId="4" borderId="2" xfId="0" applyNumberFormat="1" applyFont="1" applyFill="1" applyBorder="1" applyAlignment="1" applyProtection="1">
      <alignment horizontal="right"/>
      <protection hidden="1"/>
    </xf>
    <xf numFmtId="0" fontId="7" fillId="0" borderId="0" xfId="0" applyFont="1" applyProtection="1">
      <protection hidden="1"/>
    </xf>
    <xf numFmtId="0" fontId="3" fillId="2" borderId="6" xfId="0" applyFont="1" applyFill="1" applyBorder="1" applyAlignment="1" applyProtection="1">
      <alignment horizontal="center" vertical="center" textRotation="90"/>
      <protection hidden="1"/>
    </xf>
    <xf numFmtId="0" fontId="3" fillId="2" borderId="7" xfId="0" applyFont="1" applyFill="1" applyBorder="1" applyAlignment="1" applyProtection="1">
      <alignment horizontal="center" vertical="center" textRotation="90"/>
      <protection hidden="1"/>
    </xf>
    <xf numFmtId="43" fontId="5" fillId="4" borderId="2" xfId="2" applyFont="1" applyFill="1" applyBorder="1" applyProtection="1">
      <protection hidden="1"/>
    </xf>
    <xf numFmtId="0" fontId="4" fillId="4" borderId="2" xfId="0" applyFont="1" applyFill="1" applyBorder="1" applyAlignment="1" applyProtection="1">
      <alignment horizontal="left" wrapText="1"/>
      <protection hidden="1"/>
    </xf>
    <xf numFmtId="43" fontId="5" fillId="4" borderId="2" xfId="2" applyFont="1" applyFill="1" applyBorder="1" applyAlignment="1" applyProtection="1">
      <alignment horizontal="right"/>
      <protection hidden="1"/>
    </xf>
    <xf numFmtId="15" fontId="5" fillId="7" borderId="0" xfId="0" applyNumberFormat="1" applyFont="1" applyFill="1" applyAlignment="1" applyProtection="1">
      <alignment horizontal="center"/>
      <protection hidden="1"/>
    </xf>
    <xf numFmtId="0" fontId="6" fillId="2" borderId="5" xfId="0" applyFont="1" applyFill="1" applyBorder="1" applyAlignment="1" applyProtection="1">
      <alignment horizontal="center" vertical="center" textRotation="90"/>
      <protection hidden="1"/>
    </xf>
    <xf numFmtId="0" fontId="6" fillId="2" borderId="0" xfId="0" applyFont="1" applyFill="1" applyAlignment="1" applyProtection="1">
      <alignment horizontal="center" vertical="center" textRotation="90"/>
      <protection hidden="1"/>
    </xf>
    <xf numFmtId="43" fontId="5" fillId="6" borderId="2" xfId="0" applyNumberFormat="1" applyFont="1" applyFill="1" applyBorder="1" applyProtection="1">
      <protection hidden="1"/>
    </xf>
    <xf numFmtId="10" fontId="5" fillId="6" borderId="2" xfId="1" applyNumberFormat="1" applyFont="1" applyFill="1" applyBorder="1" applyProtection="1">
      <protection hidden="1"/>
    </xf>
    <xf numFmtId="10" fontId="5" fillId="6" borderId="2" xfId="1" applyNumberFormat="1" applyFont="1" applyFill="1" applyBorder="1" applyAlignment="1" applyProtection="1">
      <protection hidden="1"/>
    </xf>
    <xf numFmtId="43" fontId="5" fillId="4" borderId="2" xfId="0" applyNumberFormat="1" applyFont="1" applyFill="1" applyBorder="1" applyProtection="1">
      <protection hidden="1"/>
    </xf>
    <xf numFmtId="15" fontId="5" fillId="5" borderId="0" xfId="0" applyNumberFormat="1" applyFont="1" applyFill="1" applyAlignment="1" applyProtection="1">
      <alignment horizontal="center"/>
      <protection hidden="1"/>
    </xf>
    <xf numFmtId="43" fontId="5" fillId="5" borderId="0" xfId="0" applyNumberFormat="1" applyFont="1" applyFill="1" applyProtection="1">
      <protection hidden="1"/>
    </xf>
    <xf numFmtId="164" fontId="5" fillId="5" borderId="0" xfId="2" applyNumberFormat="1" applyFont="1" applyFill="1" applyAlignment="1" applyProtection="1">
      <alignment horizontal="right"/>
      <protection hidden="1"/>
    </xf>
    <xf numFmtId="15" fontId="5" fillId="8" borderId="2" xfId="0" applyNumberFormat="1" applyFont="1" applyFill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left" vertical="center" textRotation="90" wrapText="1"/>
      <protection hidden="1"/>
    </xf>
    <xf numFmtId="0" fontId="8" fillId="2" borderId="3" xfId="0" applyFont="1" applyFill="1" applyBorder="1" applyAlignment="1" applyProtection="1">
      <alignment horizontal="left" vertical="center" textRotation="90" wrapText="1"/>
      <protection hidden="1"/>
    </xf>
    <xf numFmtId="164" fontId="5" fillId="6" borderId="2" xfId="2" applyNumberFormat="1" applyFont="1" applyFill="1" applyBorder="1" applyAlignment="1" applyProtection="1">
      <alignment horizontal="right"/>
      <protection hidden="1"/>
    </xf>
    <xf numFmtId="10" fontId="5" fillId="6" borderId="2" xfId="1" applyNumberFormat="1" applyFont="1" applyFill="1" applyBorder="1" applyAlignment="1" applyProtection="1">
      <alignment horizontal="right"/>
      <protection hidden="1"/>
    </xf>
    <xf numFmtId="0" fontId="8" fillId="2" borderId="0" xfId="0" applyFont="1" applyFill="1" applyAlignment="1" applyProtection="1">
      <alignment horizontal="left" vertical="center" textRotation="90"/>
      <protection hidden="1"/>
    </xf>
    <xf numFmtId="43" fontId="5" fillId="4" borderId="0" xfId="0" applyNumberFormat="1" applyFont="1" applyFill="1" applyProtection="1">
      <protection hidden="1"/>
    </xf>
    <xf numFmtId="0" fontId="6" fillId="2" borderId="1" xfId="0" applyFont="1" applyFill="1" applyBorder="1" applyAlignment="1" applyProtection="1">
      <alignment horizontal="center" vertical="center" textRotation="90"/>
      <protection hidden="1"/>
    </xf>
    <xf numFmtId="10" fontId="3" fillId="3" borderId="6" xfId="1" applyNumberFormat="1" applyFont="1" applyFill="1" applyBorder="1" applyAlignment="1" applyProtection="1">
      <alignment horizontal="center" vertical="center" wrapText="1"/>
      <protection hidden="1"/>
    </xf>
    <xf numFmtId="0" fontId="6" fillId="2" borderId="3" xfId="0" applyFont="1" applyFill="1" applyBorder="1" applyAlignment="1" applyProtection="1">
      <alignment horizontal="center" vertical="center" textRotation="90"/>
      <protection hidden="1"/>
    </xf>
    <xf numFmtId="10" fontId="5" fillId="4" borderId="8" xfId="1" applyNumberFormat="1" applyFont="1" applyFill="1" applyBorder="1" applyProtection="1">
      <protection hidden="1"/>
    </xf>
    <xf numFmtId="0" fontId="6" fillId="2" borderId="4" xfId="0" applyFont="1" applyFill="1" applyBorder="1" applyAlignment="1" applyProtection="1">
      <alignment horizontal="center" vertical="center" textRotation="90"/>
      <protection hidden="1"/>
    </xf>
    <xf numFmtId="10" fontId="5" fillId="4" borderId="9" xfId="1" applyNumberFormat="1" applyFont="1" applyFill="1" applyBorder="1" applyProtection="1">
      <protection hidden="1"/>
    </xf>
    <xf numFmtId="0" fontId="6" fillId="2" borderId="0" xfId="0" applyFont="1" applyFill="1" applyAlignment="1" applyProtection="1">
      <alignment horizontal="center" vertical="center" textRotation="90"/>
      <protection hidden="1"/>
    </xf>
    <xf numFmtId="164" fontId="4" fillId="5" borderId="0" xfId="2" applyNumberFormat="1" applyFont="1" applyFill="1" applyAlignment="1" applyProtection="1">
      <alignment horizontal="right"/>
      <protection hidden="1"/>
    </xf>
    <xf numFmtId="164" fontId="4" fillId="5" borderId="0" xfId="0" applyNumberFormat="1" applyFont="1" applyFill="1" applyProtection="1">
      <protection hidden="1"/>
    </xf>
    <xf numFmtId="10" fontId="2" fillId="0" borderId="0" xfId="1" applyNumberFormat="1" applyFont="1" applyProtection="1">
      <protection hidden="1"/>
    </xf>
    <xf numFmtId="0" fontId="9" fillId="2" borderId="1" xfId="0" applyFont="1" applyFill="1" applyBorder="1" applyAlignment="1" applyProtection="1">
      <alignment horizontal="center" vertical="center" textRotation="90"/>
      <protection hidden="1"/>
    </xf>
    <xf numFmtId="0" fontId="9" fillId="2" borderId="3" xfId="0" applyFont="1" applyFill="1" applyBorder="1" applyAlignment="1" applyProtection="1">
      <alignment horizontal="center" vertical="center" textRotation="90"/>
      <protection hidden="1"/>
    </xf>
    <xf numFmtId="0" fontId="9" fillId="2" borderId="4" xfId="0" applyFont="1" applyFill="1" applyBorder="1" applyAlignment="1" applyProtection="1">
      <alignment horizontal="center" vertical="center" textRotation="90"/>
      <protection hidden="1"/>
    </xf>
    <xf numFmtId="0" fontId="6" fillId="0" borderId="0" xfId="0" applyFont="1" applyAlignment="1" applyProtection="1">
      <alignment horizontal="center" vertical="center" textRotation="90"/>
      <protection hidden="1"/>
    </xf>
    <xf numFmtId="15" fontId="5" fillId="0" borderId="0" xfId="0" applyNumberFormat="1" applyFont="1" applyAlignment="1" applyProtection="1">
      <alignment horizontal="center"/>
      <protection hidden="1"/>
    </xf>
    <xf numFmtId="43" fontId="5" fillId="0" borderId="0" xfId="0" applyNumberFormat="1" applyFont="1" applyProtection="1">
      <protection hidden="1"/>
    </xf>
    <xf numFmtId="164" fontId="4" fillId="0" borderId="0" xfId="2" applyNumberFormat="1" applyFont="1" applyFill="1" applyAlignment="1" applyProtection="1">
      <alignment horizontal="right"/>
      <protection hidden="1"/>
    </xf>
    <xf numFmtId="165" fontId="5" fillId="0" borderId="0" xfId="0" applyNumberFormat="1" applyFont="1" applyAlignment="1" applyProtection="1">
      <alignment horizontal="right"/>
      <protection hidden="1"/>
    </xf>
    <xf numFmtId="10" fontId="5" fillId="0" borderId="0" xfId="1" applyNumberFormat="1" applyFont="1" applyFill="1" applyBorder="1" applyProtection="1">
      <protection hidden="1"/>
    </xf>
    <xf numFmtId="10" fontId="5" fillId="0" borderId="0" xfId="1" applyNumberFormat="1" applyFont="1" applyFill="1" applyBorder="1" applyAlignment="1" applyProtection="1">
      <alignment horizontal="right"/>
      <protection hidden="1"/>
    </xf>
    <xf numFmtId="0" fontId="9" fillId="2" borderId="10" xfId="0" applyFont="1" applyFill="1" applyBorder="1" applyAlignment="1" applyProtection="1">
      <alignment horizontal="center" vertical="center" textRotation="90"/>
      <protection hidden="1"/>
    </xf>
    <xf numFmtId="0" fontId="9" fillId="2" borderId="11" xfId="0" applyFont="1" applyFill="1" applyBorder="1" applyAlignment="1" applyProtection="1">
      <alignment horizontal="center" vertical="center" textRotation="90"/>
      <protection hidden="1"/>
    </xf>
    <xf numFmtId="43" fontId="5" fillId="4" borderId="2" xfId="2" applyFont="1" applyFill="1" applyBorder="1" applyAlignment="1" applyProtection="1">
      <protection hidden="1"/>
    </xf>
    <xf numFmtId="0" fontId="9" fillId="2" borderId="12" xfId="0" applyFont="1" applyFill="1" applyBorder="1" applyAlignment="1" applyProtection="1">
      <alignment horizontal="center" vertical="center" textRotation="90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13" xfId="0" applyFont="1" applyBorder="1" applyProtection="1">
      <protection hidden="1"/>
    </xf>
    <xf numFmtId="0" fontId="10" fillId="3" borderId="13" xfId="0" applyFont="1" applyFill="1" applyBorder="1" applyAlignment="1" applyProtection="1">
      <alignment horizontal="center" vertical="center" wrapText="1"/>
      <protection hidden="1"/>
    </xf>
    <xf numFmtId="10" fontId="10" fillId="3" borderId="13" xfId="1" applyNumberFormat="1" applyFont="1" applyFill="1" applyBorder="1" applyAlignment="1" applyProtection="1">
      <alignment horizontal="center" vertical="center" wrapText="1"/>
      <protection hidden="1"/>
    </xf>
    <xf numFmtId="0" fontId="12" fillId="9" borderId="13" xfId="0" applyFont="1" applyFill="1" applyBorder="1" applyProtection="1">
      <protection hidden="1"/>
    </xf>
    <xf numFmtId="10" fontId="11" fillId="0" borderId="13" xfId="0" applyNumberFormat="1" applyFont="1" applyBorder="1" applyAlignment="1" applyProtection="1">
      <alignment horizontal="center"/>
      <protection hidden="1"/>
    </xf>
    <xf numFmtId="0" fontId="11" fillId="0" borderId="13" xfId="0" applyFont="1" applyBorder="1" applyAlignment="1" applyProtection="1">
      <alignment horizontal="center"/>
      <protection hidden="1"/>
    </xf>
    <xf numFmtId="10" fontId="11" fillId="0" borderId="0" xfId="0" applyNumberFormat="1" applyFont="1" applyProtection="1">
      <protection hidden="1"/>
    </xf>
    <xf numFmtId="0" fontId="13" fillId="11" borderId="14" xfId="0" applyFont="1" applyFill="1" applyBorder="1" applyAlignment="1" applyProtection="1">
      <alignment horizontal="center"/>
      <protection hidden="1"/>
    </xf>
    <xf numFmtId="0" fontId="13" fillId="11" borderId="15" xfId="0" applyFont="1" applyFill="1" applyBorder="1" applyAlignment="1" applyProtection="1">
      <alignment horizontal="center"/>
      <protection hidden="1"/>
    </xf>
    <xf numFmtId="0" fontId="13" fillId="11" borderId="16" xfId="0" applyFont="1" applyFill="1" applyBorder="1" applyAlignment="1" applyProtection="1">
      <alignment horizontal="center"/>
      <protection hidden="1"/>
    </xf>
    <xf numFmtId="167" fontId="11" fillId="0" borderId="13" xfId="0" applyNumberFormat="1" applyFont="1" applyBorder="1" applyAlignment="1" applyProtection="1">
      <alignment horizontal="center"/>
      <protection hidden="1"/>
    </xf>
    <xf numFmtId="167" fontId="11" fillId="0" borderId="0" xfId="0" applyNumberFormat="1" applyFont="1" applyProtection="1">
      <protection hidden="1"/>
    </xf>
    <xf numFmtId="0" fontId="11" fillId="0" borderId="17" xfId="0" applyFont="1" applyBorder="1" applyProtection="1">
      <protection hidden="1"/>
    </xf>
    <xf numFmtId="167" fontId="11" fillId="0" borderId="17" xfId="0" applyNumberFormat="1" applyFont="1" applyBorder="1" applyAlignment="1" applyProtection="1">
      <alignment horizontal="center"/>
      <protection hidden="1"/>
    </xf>
    <xf numFmtId="10" fontId="13" fillId="10" borderId="13" xfId="1" applyNumberFormat="1" applyFont="1" applyFill="1" applyBorder="1" applyAlignment="1" applyProtection="1">
      <alignment horizontal="center"/>
      <protection hidden="1"/>
    </xf>
    <xf numFmtId="9" fontId="11" fillId="0" borderId="0" xfId="0" applyNumberFormat="1" applyFont="1" applyProtection="1">
      <protection hidden="1"/>
    </xf>
    <xf numFmtId="10" fontId="11" fillId="0" borderId="0" xfId="1" applyNumberFormat="1" applyFont="1" applyProtection="1">
      <protection hidden="1"/>
    </xf>
    <xf numFmtId="0" fontId="11" fillId="12" borderId="13" xfId="0" applyFont="1" applyFill="1" applyBorder="1" applyProtection="1">
      <protection locked="0"/>
    </xf>
    <xf numFmtId="167" fontId="11" fillId="12" borderId="13" xfId="0" applyNumberFormat="1" applyFont="1" applyFill="1" applyBorder="1" applyProtection="1">
      <protection locked="0"/>
    </xf>
    <xf numFmtId="9" fontId="11" fillId="0" borderId="0" xfId="1" applyFont="1" applyBorder="1" applyProtection="1">
      <protection locked="0"/>
    </xf>
    <xf numFmtId="0" fontId="11" fillId="0" borderId="0" xfId="0" applyFont="1" applyProtection="1">
      <protection locked="0"/>
    </xf>
    <xf numFmtId="10" fontId="11" fillId="12" borderId="13" xfId="1" applyNumberFormat="1" applyFont="1" applyFill="1" applyBorder="1" applyProtection="1">
      <protection locked="0"/>
    </xf>
    <xf numFmtId="10" fontId="11" fillId="12" borderId="13" xfId="1" applyNumberFormat="1" applyFont="1" applyFill="1" applyBorder="1" applyAlignment="1" applyProtection="1">
      <alignment horizontal="center"/>
      <protection locked="0"/>
    </xf>
  </cellXfs>
  <cellStyles count="4">
    <cellStyle name="Comma 2" xfId="2" xr:uid="{00000000-0005-0000-0000-000000000000}"/>
    <cellStyle name="Hyperlink" xfId="3" builtinId="8"/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8E4B7"/>
      <color rgb="FF754E19"/>
      <color rgb="FF945200"/>
      <color rgb="FFFF9E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524934</xdr:colOff>
      <xdr:row>1</xdr:row>
      <xdr:rowOff>111940</xdr:rowOff>
    </xdr:from>
    <xdr:ext cx="3183466" cy="2356603"/>
    <xdr:pic>
      <xdr:nvPicPr>
        <xdr:cNvPr id="2" name="Picture 1">
          <a:extLst>
            <a:ext uri="{FF2B5EF4-FFF2-40B4-BE49-F238E27FC236}">
              <a16:creationId xmlns:a16="http://schemas.microsoft.com/office/drawing/2014/main" id="{6EE828FC-3C1A-424F-9663-F960DEB07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4267" y="704607"/>
          <a:ext cx="3183466" cy="235660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838200</xdr:colOff>
      <xdr:row>9</xdr:row>
      <xdr:rowOff>558800</xdr:rowOff>
    </xdr:from>
    <xdr:ext cx="3860800" cy="2858009"/>
    <xdr:pic>
      <xdr:nvPicPr>
        <xdr:cNvPr id="2" name="Picture 1">
          <a:extLst>
            <a:ext uri="{FF2B5EF4-FFF2-40B4-BE49-F238E27FC236}">
              <a16:creationId xmlns:a16="http://schemas.microsoft.com/office/drawing/2014/main" id="{811BA166-A9D2-BD4A-8741-F3F6626CC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62200" y="6197600"/>
          <a:ext cx="3860800" cy="28580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zerodha.com/open-account?c=ZMPVNW" TargetMode="External"/><Relationship Id="rId2" Type="http://schemas.openxmlformats.org/officeDocument/2006/relationships/hyperlink" Target="https://tinyurl.com/y8sbw9w8" TargetMode="External"/><Relationship Id="rId1" Type="http://schemas.openxmlformats.org/officeDocument/2006/relationships/hyperlink" Target="https://angel-one.onelink.me/Wjgr/8vxyj8iq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45"/>
  <sheetViews>
    <sheetView zoomScale="125" zoomScaleNormal="85" zoomScalePageLayoutView="60" workbookViewId="0">
      <selection activeCell="B156" sqref="B156"/>
    </sheetView>
  </sheetViews>
  <sheetFormatPr baseColWidth="10" defaultColWidth="9.1640625" defaultRowHeight="15" x14ac:dyDescent="0.2"/>
  <cols>
    <col min="1" max="1" width="12.33203125" style="9" customWidth="1"/>
    <col min="2" max="2" width="57.5" style="9" customWidth="1"/>
    <col min="3" max="3" width="20.5" style="9" customWidth="1"/>
    <col min="4" max="4" width="20.1640625" style="9" bestFit="1" customWidth="1"/>
    <col min="5" max="5" width="19.1640625" style="10" bestFit="1" customWidth="1"/>
    <col min="6" max="6" width="14" style="11" customWidth="1"/>
    <col min="7" max="7" width="14.1640625" style="9" bestFit="1" customWidth="1"/>
    <col min="8" max="8" width="13.33203125" style="9" customWidth="1"/>
    <col min="9" max="9" width="13.5" style="9" customWidth="1"/>
    <col min="10" max="10" width="13.6640625" style="9" customWidth="1"/>
    <col min="11" max="11" width="12.1640625" style="9" customWidth="1"/>
    <col min="12" max="12" width="13.5" style="89" customWidth="1"/>
    <col min="13" max="13" width="9.1640625" style="13"/>
    <col min="14" max="17" width="9.1640625" style="9"/>
    <col min="18" max="18" width="21.5" style="9" customWidth="1"/>
    <col min="19" max="19" width="13.1640625" style="9" customWidth="1"/>
    <col min="20" max="21" width="13.83203125" style="9" customWidth="1"/>
    <col min="22" max="22" width="17.5" style="9" customWidth="1"/>
    <col min="23" max="23" width="14.33203125" style="9" customWidth="1"/>
    <col min="24" max="24" width="15.5" style="9" customWidth="1"/>
    <col min="25" max="16384" width="9.1640625" style="9"/>
  </cols>
  <sheetData>
    <row r="1" spans="1:24" ht="16" thickBot="1" x14ac:dyDescent="0.25">
      <c r="L1" s="12"/>
    </row>
    <row r="2" spans="1:24" ht="42" customHeight="1" thickBot="1" x14ac:dyDescent="0.25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15" t="s">
        <v>5</v>
      </c>
      <c r="G2" s="16" t="s">
        <v>6</v>
      </c>
      <c r="H2" s="16" t="s">
        <v>7</v>
      </c>
      <c r="I2" s="16" t="s">
        <v>8</v>
      </c>
      <c r="J2" s="16" t="s">
        <v>9</v>
      </c>
      <c r="K2" s="16" t="s">
        <v>10</v>
      </c>
      <c r="L2" s="18" t="s">
        <v>11</v>
      </c>
    </row>
    <row r="3" spans="1:24" ht="18" customHeight="1" thickBot="1" x14ac:dyDescent="0.3">
      <c r="A3" s="19"/>
      <c r="B3" s="20" t="s">
        <v>12</v>
      </c>
      <c r="C3" s="21">
        <v>42864</v>
      </c>
      <c r="D3" s="22">
        <v>1983.3273000029994</v>
      </c>
      <c r="E3" s="23">
        <v>122208</v>
      </c>
      <c r="F3" s="24">
        <v>28.974799999999998</v>
      </c>
      <c r="G3" s="25">
        <v>-1.6910277811706953E-2</v>
      </c>
      <c r="H3" s="25">
        <v>0.15219553666056851</v>
      </c>
      <c r="I3" s="25">
        <v>0.18311118787340841</v>
      </c>
      <c r="J3" s="25">
        <v>0.13224127086083537</v>
      </c>
      <c r="K3" s="25" t="s">
        <v>40</v>
      </c>
      <c r="L3" s="25">
        <v>0.13553488007434722</v>
      </c>
    </row>
    <row r="4" spans="1:24" ht="18" customHeight="1" thickBot="1" x14ac:dyDescent="0.3">
      <c r="A4" s="19"/>
      <c r="B4" s="20" t="s">
        <v>13</v>
      </c>
      <c r="C4" s="21">
        <v>44855</v>
      </c>
      <c r="D4" s="22">
        <v>4812.3909529509992</v>
      </c>
      <c r="E4" s="23">
        <v>402817</v>
      </c>
      <c r="F4" s="24">
        <v>14.8743</v>
      </c>
      <c r="G4" s="25">
        <v>-1.9699206495663368E-2</v>
      </c>
      <c r="H4" s="25" t="s">
        <v>40</v>
      </c>
      <c r="I4" s="25" t="s">
        <v>40</v>
      </c>
      <c r="J4" s="25" t="s">
        <v>40</v>
      </c>
      <c r="K4" s="25" t="s">
        <v>40</v>
      </c>
      <c r="L4" s="25">
        <v>0.14591792024978401</v>
      </c>
    </row>
    <row r="5" spans="1:24" ht="18" customHeight="1" thickBot="1" x14ac:dyDescent="0.3">
      <c r="A5" s="19"/>
      <c r="B5" s="20" t="s">
        <v>14</v>
      </c>
      <c r="C5" s="21">
        <v>41487</v>
      </c>
      <c r="D5" s="22">
        <v>65132.281066505006</v>
      </c>
      <c r="E5" s="23">
        <v>2598153</v>
      </c>
      <c r="F5" s="24">
        <v>54.885800000000003</v>
      </c>
      <c r="G5" s="25">
        <v>1.7338677296190319E-3</v>
      </c>
      <c r="H5" s="25">
        <v>0.15715613406212481</v>
      </c>
      <c r="I5" s="25">
        <v>0.19365161923513963</v>
      </c>
      <c r="J5" s="25">
        <v>0.14193168215850549</v>
      </c>
      <c r="K5" s="25">
        <v>0.14105568012304781</v>
      </c>
      <c r="L5" s="25">
        <v>0.15053285843543307</v>
      </c>
    </row>
    <row r="6" spans="1:24" ht="18" customHeight="1" thickBot="1" x14ac:dyDescent="0.3">
      <c r="A6" s="19"/>
      <c r="B6" s="20" t="s">
        <v>15</v>
      </c>
      <c r="C6" s="21">
        <v>39951</v>
      </c>
      <c r="D6" s="22">
        <v>23275.761372364999</v>
      </c>
      <c r="E6" s="23">
        <v>1029684</v>
      </c>
      <c r="F6" s="24">
        <v>74.317099999999996</v>
      </c>
      <c r="G6" s="25">
        <v>1.2650102210143288E-4</v>
      </c>
      <c r="H6" s="25">
        <v>0.16685180291968504</v>
      </c>
      <c r="I6" s="25">
        <v>0.20242436384222295</v>
      </c>
      <c r="J6" s="25">
        <v>0.14314453740199595</v>
      </c>
      <c r="K6" s="25">
        <v>0.13807192225385134</v>
      </c>
      <c r="L6" s="25">
        <v>0.13051249785285801</v>
      </c>
    </row>
    <row r="7" spans="1:24" ht="18" customHeight="1" thickBot="1" x14ac:dyDescent="0.3">
      <c r="A7" s="19"/>
      <c r="B7" s="20" t="s">
        <v>16</v>
      </c>
      <c r="C7" s="21">
        <v>39948</v>
      </c>
      <c r="D7" s="22">
        <v>3535.2078001010004</v>
      </c>
      <c r="E7" s="23">
        <v>144524</v>
      </c>
      <c r="F7" s="24">
        <v>69.943100000000001</v>
      </c>
      <c r="G7" s="25">
        <v>2.107311575542048E-2</v>
      </c>
      <c r="H7" s="25">
        <v>0.17184920129173964</v>
      </c>
      <c r="I7" s="25">
        <v>0.20361828266745108</v>
      </c>
      <c r="J7" s="25">
        <v>0.14849466390695887</v>
      </c>
      <c r="K7" s="25">
        <v>0.14122669253006648</v>
      </c>
      <c r="L7" s="25">
        <v>0.12625888849287836</v>
      </c>
    </row>
    <row r="8" spans="1:24" ht="18" customHeight="1" thickBot="1" x14ac:dyDescent="0.3">
      <c r="A8" s="19"/>
      <c r="B8" s="26" t="s">
        <v>17</v>
      </c>
      <c r="C8" s="21">
        <v>41478</v>
      </c>
      <c r="D8" s="22">
        <v>7184.121438567001</v>
      </c>
      <c r="E8" s="23">
        <v>496748</v>
      </c>
      <c r="F8" s="24">
        <v>46.0762</v>
      </c>
      <c r="G8" s="25">
        <v>3.6157542332639903E-3</v>
      </c>
      <c r="H8" s="25">
        <v>0.15349116777193839</v>
      </c>
      <c r="I8" s="25">
        <v>0.19872341900508061</v>
      </c>
      <c r="J8" s="25">
        <v>0.13480079800073264</v>
      </c>
      <c r="K8" s="25">
        <v>0.12925521556134068</v>
      </c>
      <c r="L8" s="25">
        <v>0.13378388857301315</v>
      </c>
    </row>
    <row r="9" spans="1:24" ht="18" customHeight="1" thickBot="1" x14ac:dyDescent="0.3">
      <c r="A9" s="19"/>
      <c r="B9" s="27" t="s">
        <v>18</v>
      </c>
      <c r="C9" s="21">
        <v>39948</v>
      </c>
      <c r="D9" s="22">
        <v>24583.632735403997</v>
      </c>
      <c r="E9" s="23">
        <v>2189087</v>
      </c>
      <c r="F9" s="24">
        <v>57.5503</v>
      </c>
      <c r="G9" s="25">
        <v>-2.2435456446371793E-2</v>
      </c>
      <c r="H9" s="25">
        <v>0.14019682612157625</v>
      </c>
      <c r="I9" s="25">
        <v>0.17917023425510759</v>
      </c>
      <c r="J9" s="25">
        <v>0.12652883518422753</v>
      </c>
      <c r="K9" s="25">
        <v>0.12801081313924456</v>
      </c>
      <c r="L9" s="25">
        <v>0.11291190712585507</v>
      </c>
    </row>
    <row r="10" spans="1:24" ht="18" customHeight="1" thickBot="1" x14ac:dyDescent="0.3">
      <c r="A10" s="19"/>
      <c r="B10" s="27" t="s">
        <v>19</v>
      </c>
      <c r="C10" s="21">
        <v>44792</v>
      </c>
      <c r="D10" s="22">
        <v>2091.929346079</v>
      </c>
      <c r="E10" s="23">
        <v>83286</v>
      </c>
      <c r="F10" s="24">
        <v>16.186699999999998</v>
      </c>
      <c r="G10" s="25">
        <v>1.4829186310172382E-4</v>
      </c>
      <c r="H10" s="25">
        <v>0.16937163135433697</v>
      </c>
      <c r="I10" s="25" t="s">
        <v>40</v>
      </c>
      <c r="J10" s="25" t="s">
        <v>40</v>
      </c>
      <c r="K10" s="25" t="s">
        <v>40</v>
      </c>
      <c r="L10" s="25">
        <v>0.16879899050272562</v>
      </c>
    </row>
    <row r="11" spans="1:24" ht="18" customHeight="1" thickBot="1" x14ac:dyDescent="0.3">
      <c r="A11" s="19"/>
      <c r="B11" s="27" t="s">
        <v>20</v>
      </c>
      <c r="C11" s="21">
        <v>39954</v>
      </c>
      <c r="D11" s="22">
        <v>4992.3230276729992</v>
      </c>
      <c r="E11" s="23">
        <v>203269</v>
      </c>
      <c r="F11" s="24">
        <v>74.009500000000003</v>
      </c>
      <c r="G11" s="25">
        <v>-1.0410747164321554E-2</v>
      </c>
      <c r="H11" s="25">
        <v>0.17275462817283072</v>
      </c>
      <c r="I11" s="25">
        <v>0.20431771027740495</v>
      </c>
      <c r="J11" s="25">
        <v>0.14197302197882289</v>
      </c>
      <c r="K11" s="25">
        <v>0.13988473973764037</v>
      </c>
      <c r="L11" s="25">
        <v>0.13029534954749167</v>
      </c>
    </row>
    <row r="12" spans="1:24" ht="20" thickBot="1" x14ac:dyDescent="0.3">
      <c r="A12" s="19"/>
      <c r="B12" s="27" t="s">
        <v>21</v>
      </c>
      <c r="C12" s="21">
        <v>45286</v>
      </c>
      <c r="D12" s="22">
        <v>2882.0004988119999</v>
      </c>
      <c r="E12" s="23">
        <v>54242</v>
      </c>
      <c r="F12" s="24">
        <v>13.2935</v>
      </c>
      <c r="G12" s="25">
        <v>4.0066033454864147E-2</v>
      </c>
      <c r="H12" s="25" t="s">
        <v>40</v>
      </c>
      <c r="I12" s="25" t="s">
        <v>40</v>
      </c>
      <c r="J12" s="25" t="s">
        <v>40</v>
      </c>
      <c r="K12" s="25" t="s">
        <v>40</v>
      </c>
      <c r="L12" s="25">
        <v>0.1784002509624272</v>
      </c>
    </row>
    <row r="13" spans="1:24" ht="18" customHeight="1" thickBot="1" x14ac:dyDescent="0.3">
      <c r="A13" s="28"/>
      <c r="B13" s="29" t="s">
        <v>41</v>
      </c>
      <c r="C13" s="30"/>
      <c r="D13" s="31"/>
      <c r="E13" s="32"/>
      <c r="F13" s="33"/>
      <c r="G13" s="34">
        <v>-5.2048015514757351E-3</v>
      </c>
      <c r="H13" s="34">
        <v>0.15503853977828741</v>
      </c>
      <c r="I13" s="34">
        <v>0.19906203587639548</v>
      </c>
      <c r="J13" s="34">
        <v>0.14436863335286909</v>
      </c>
      <c r="K13" s="34">
        <v>0.14053006655907341</v>
      </c>
      <c r="L13" s="35">
        <f>AVERAGE(L3:L11)</f>
        <v>0.1371719089838207</v>
      </c>
    </row>
    <row r="14" spans="1:24" ht="12.75" customHeight="1" thickBot="1" x14ac:dyDescent="0.3">
      <c r="A14" s="36"/>
      <c r="B14" s="36"/>
      <c r="C14" s="36"/>
      <c r="D14" s="36"/>
      <c r="E14" s="37"/>
      <c r="F14" s="38"/>
      <c r="G14" s="39">
        <f>AVERAGE(G3:G12)</f>
        <v>-2.6921238596928633E-4</v>
      </c>
      <c r="H14" s="39">
        <f>AVERAGE(H3,H5,H6,H7,H8,H9,H10,H11)</f>
        <v>0.16048336604435004</v>
      </c>
      <c r="I14" s="39">
        <f>AVERAGE(I3,I5,I6,I7,I8,I9,I11)</f>
        <v>0.19500240245083075</v>
      </c>
      <c r="J14" s="39">
        <f>AVERAGE(J3,J5,J6,J7,J8,J9,J11)</f>
        <v>0.13844497278458268</v>
      </c>
      <c r="K14" s="39">
        <f>AVERAGE(K5:K9,K11)</f>
        <v>0.1362508438908652</v>
      </c>
      <c r="L14" s="12">
        <f>AVERAGE(L3:L12)</f>
        <v>0.14129474318168134</v>
      </c>
    </row>
    <row r="15" spans="1:24" ht="38.25" customHeight="1" thickBot="1" x14ac:dyDescent="0.25">
      <c r="A15" s="14" t="s">
        <v>22</v>
      </c>
      <c r="B15" s="15" t="s">
        <v>1</v>
      </c>
      <c r="C15" s="16" t="s">
        <v>23</v>
      </c>
      <c r="D15" s="16" t="s">
        <v>24</v>
      </c>
      <c r="E15" s="17" t="s">
        <v>4</v>
      </c>
      <c r="F15" s="15" t="s">
        <v>5</v>
      </c>
      <c r="G15" s="16" t="s">
        <v>6</v>
      </c>
      <c r="H15" s="16" t="s">
        <v>7</v>
      </c>
      <c r="I15" s="16" t="s">
        <v>8</v>
      </c>
      <c r="J15" s="16" t="s">
        <v>9</v>
      </c>
      <c r="K15" s="16" t="s">
        <v>10</v>
      </c>
      <c r="L15" s="18" t="s">
        <v>11</v>
      </c>
      <c r="S15" s="16" t="s">
        <v>6</v>
      </c>
      <c r="T15" s="16" t="s">
        <v>7</v>
      </c>
      <c r="U15" s="16" t="s">
        <v>8</v>
      </c>
      <c r="V15" s="16" t="s">
        <v>9</v>
      </c>
      <c r="W15" s="16" t="s">
        <v>10</v>
      </c>
      <c r="X15" s="18" t="s">
        <v>11</v>
      </c>
    </row>
    <row r="16" spans="1:24" ht="18" customHeight="1" thickBot="1" x14ac:dyDescent="0.3">
      <c r="A16" s="19"/>
      <c r="B16" s="20" t="s">
        <v>12</v>
      </c>
      <c r="C16" s="21">
        <v>42864</v>
      </c>
      <c r="D16" s="40">
        <v>1267.701729467</v>
      </c>
      <c r="E16" s="23">
        <v>122188</v>
      </c>
      <c r="F16" s="24">
        <v>19.6234</v>
      </c>
      <c r="G16" s="25">
        <v>8.2174783409528343E-2</v>
      </c>
      <c r="H16" s="25">
        <v>8.1592051057121306E-2</v>
      </c>
      <c r="I16" s="25">
        <v>6.89646591264792E-2</v>
      </c>
      <c r="J16" s="25">
        <v>8.7504408495007416E-2</v>
      </c>
      <c r="K16" s="25" t="s">
        <v>40</v>
      </c>
      <c r="L16" s="41">
        <v>8.3875939450874556E-2</v>
      </c>
      <c r="R16" s="9" t="s">
        <v>42</v>
      </c>
    </row>
    <row r="17" spans="1:12" ht="18" customHeight="1" thickBot="1" x14ac:dyDescent="0.3">
      <c r="A17" s="19"/>
      <c r="B17" s="20" t="s">
        <v>13</v>
      </c>
      <c r="C17" s="21">
        <v>44855</v>
      </c>
      <c r="D17" s="40">
        <v>3196.1459659349998</v>
      </c>
      <c r="E17" s="23">
        <v>398713</v>
      </c>
      <c r="F17" s="24">
        <v>12.5547</v>
      </c>
      <c r="G17" s="25">
        <v>8.3712418751996184E-2</v>
      </c>
      <c r="H17" s="25" t="s">
        <v>40</v>
      </c>
      <c r="I17" s="25" t="s">
        <v>40</v>
      </c>
      <c r="J17" s="25" t="s">
        <v>40</v>
      </c>
      <c r="K17" s="25" t="s">
        <v>40</v>
      </c>
      <c r="L17" s="25">
        <v>8.1172602437900032E-2</v>
      </c>
    </row>
    <row r="18" spans="1:12" ht="18" customHeight="1" thickBot="1" x14ac:dyDescent="0.3">
      <c r="A18" s="19"/>
      <c r="B18" s="20" t="s">
        <v>14</v>
      </c>
      <c r="C18" s="21">
        <v>41487</v>
      </c>
      <c r="D18" s="40">
        <v>27537.155216696996</v>
      </c>
      <c r="E18" s="23">
        <v>2567923</v>
      </c>
      <c r="F18" s="24">
        <v>29.305299999999999</v>
      </c>
      <c r="G18" s="25">
        <v>8.7806887950170331E-2</v>
      </c>
      <c r="H18" s="25">
        <v>8.344321308063464E-2</v>
      </c>
      <c r="I18" s="25">
        <v>7.2509177111179213E-2</v>
      </c>
      <c r="J18" s="25">
        <v>9.0195403602868041E-2</v>
      </c>
      <c r="K18" s="25">
        <v>8.6177328149399823E-2</v>
      </c>
      <c r="L18" s="41">
        <v>9.2586896760190177E-2</v>
      </c>
    </row>
    <row r="19" spans="1:12" ht="18" customHeight="1" thickBot="1" x14ac:dyDescent="0.3">
      <c r="A19" s="19"/>
      <c r="B19" s="20" t="s">
        <v>15</v>
      </c>
      <c r="C19" s="21">
        <v>39951</v>
      </c>
      <c r="D19" s="40">
        <v>10875.183916657999</v>
      </c>
      <c r="E19" s="23">
        <v>1012032</v>
      </c>
      <c r="F19" s="24">
        <v>44.093499999999999</v>
      </c>
      <c r="G19" s="25">
        <v>8.5135391210830344E-2</v>
      </c>
      <c r="H19" s="25">
        <v>8.1927477613169555E-2</v>
      </c>
      <c r="I19" s="25">
        <v>6.9828926670792324E-2</v>
      </c>
      <c r="J19" s="42">
        <v>8.5912669264530242E-2</v>
      </c>
      <c r="K19" s="42">
        <v>8.40224043345974E-2</v>
      </c>
      <c r="L19" s="41">
        <v>9.4988701360092964E-2</v>
      </c>
    </row>
    <row r="20" spans="1:12" ht="18" customHeight="1" thickBot="1" x14ac:dyDescent="0.3">
      <c r="A20" s="19"/>
      <c r="B20" s="20" t="s">
        <v>16</v>
      </c>
      <c r="C20" s="21">
        <v>39948</v>
      </c>
      <c r="D20" s="40">
        <v>1368.2612730209999</v>
      </c>
      <c r="E20" s="23">
        <v>139083</v>
      </c>
      <c r="F20" s="24">
        <v>42.286799999999999</v>
      </c>
      <c r="G20" s="25">
        <v>8.4079565002268777E-2</v>
      </c>
      <c r="H20" s="25">
        <v>8.0843443577091278E-2</v>
      </c>
      <c r="I20" s="25">
        <v>6.811981853075344E-2</v>
      </c>
      <c r="J20" s="42">
        <v>8.1630839414236434E-2</v>
      </c>
      <c r="K20" s="42">
        <v>8.008865005377519E-2</v>
      </c>
      <c r="L20" s="41">
        <v>9.2142084548862968E-2</v>
      </c>
    </row>
    <row r="21" spans="1:12" ht="18" customHeight="1" thickBot="1" x14ac:dyDescent="0.3">
      <c r="A21" s="19"/>
      <c r="B21" s="26" t="s">
        <v>17</v>
      </c>
      <c r="C21" s="21">
        <v>41478</v>
      </c>
      <c r="D21" s="40">
        <v>3956.9692992959999</v>
      </c>
      <c r="E21" s="23">
        <v>497347</v>
      </c>
      <c r="F21" s="24">
        <v>28.411300000000001</v>
      </c>
      <c r="G21" s="25">
        <v>8.2092025030564564E-2</v>
      </c>
      <c r="H21" s="25">
        <v>7.9233420492294204E-2</v>
      </c>
      <c r="I21" s="25">
        <v>6.7183369931585357E-2</v>
      </c>
      <c r="J21" s="25">
        <v>8.6536348370885197E-2</v>
      </c>
      <c r="K21" s="25">
        <v>8.2202816670202683E-2</v>
      </c>
      <c r="L21" s="41">
        <v>8.9611912771862645E-2</v>
      </c>
    </row>
    <row r="22" spans="1:12" ht="18" customHeight="1" thickBot="1" x14ac:dyDescent="0.3">
      <c r="A22" s="19"/>
      <c r="B22" s="27" t="s">
        <v>18</v>
      </c>
      <c r="C22" s="21">
        <v>39948</v>
      </c>
      <c r="D22" s="40">
        <v>13122.988674402</v>
      </c>
      <c r="E22" s="23">
        <v>2182242</v>
      </c>
      <c r="F22" s="24">
        <v>44.28</v>
      </c>
      <c r="G22" s="25">
        <v>8.582904813400738E-2</v>
      </c>
      <c r="H22" s="25">
        <v>8.1830121328196004E-2</v>
      </c>
      <c r="I22" s="25">
        <v>6.9447255085831161E-2</v>
      </c>
      <c r="J22" s="42">
        <v>8.6764596693209337E-2</v>
      </c>
      <c r="K22" s="42">
        <v>8.3675966060178464E-2</v>
      </c>
      <c r="L22" s="41">
        <v>9.5221318790182252E-2</v>
      </c>
    </row>
    <row r="23" spans="1:12" ht="18" customHeight="1" thickBot="1" x14ac:dyDescent="0.3">
      <c r="A23" s="19"/>
      <c r="B23" s="27" t="s">
        <v>19</v>
      </c>
      <c r="C23" s="21">
        <v>44792</v>
      </c>
      <c r="D23" s="40">
        <v>967.05973348600003</v>
      </c>
      <c r="E23" s="23">
        <v>79418</v>
      </c>
      <c r="F23" s="24">
        <v>12.571199999999999</v>
      </c>
      <c r="G23" s="25">
        <v>8.4247567791347469E-2</v>
      </c>
      <c r="H23" s="25">
        <v>7.8543790624563625E-2</v>
      </c>
      <c r="I23" s="25" t="s">
        <v>40</v>
      </c>
      <c r="J23" s="25" t="s">
        <v>40</v>
      </c>
      <c r="K23" s="25" t="s">
        <v>40</v>
      </c>
      <c r="L23" s="41">
        <v>7.6923891921299337E-2</v>
      </c>
    </row>
    <row r="24" spans="1:12" ht="18" customHeight="1" thickBot="1" x14ac:dyDescent="0.3">
      <c r="A24" s="19"/>
      <c r="B24" s="27" t="s">
        <v>20</v>
      </c>
      <c r="C24" s="21">
        <v>39954</v>
      </c>
      <c r="D24" s="40">
        <v>2083.885180024</v>
      </c>
      <c r="E24" s="23">
        <v>194194</v>
      </c>
      <c r="F24" s="24">
        <v>39.163699999999999</v>
      </c>
      <c r="G24" s="25">
        <v>8.5284915798603755E-2</v>
      </c>
      <c r="H24" s="25">
        <v>8.1521280644782035E-2</v>
      </c>
      <c r="I24" s="25">
        <v>6.7269516464897983E-2</v>
      </c>
      <c r="J24" s="42">
        <v>8.4403763099159423E-2</v>
      </c>
      <c r="K24" s="42">
        <v>8.1049070283691224E-2</v>
      </c>
      <c r="L24" s="41">
        <v>8.712308617355502E-2</v>
      </c>
    </row>
    <row r="25" spans="1:12" ht="20" thickBot="1" x14ac:dyDescent="0.3">
      <c r="A25" s="19"/>
      <c r="B25" s="27" t="s">
        <v>21</v>
      </c>
      <c r="C25" s="21">
        <v>45286</v>
      </c>
      <c r="D25" s="40">
        <v>1255.9572792649999</v>
      </c>
      <c r="E25" s="23">
        <v>48061</v>
      </c>
      <c r="F25" s="24">
        <v>11.563499999999999</v>
      </c>
      <c r="G25" s="25">
        <v>8.4420395187230893E-2</v>
      </c>
      <c r="H25" s="25" t="s">
        <v>40</v>
      </c>
      <c r="I25" s="25" t="s">
        <v>40</v>
      </c>
      <c r="J25" s="25" t="s">
        <v>40</v>
      </c>
      <c r="K25" s="25" t="s">
        <v>40</v>
      </c>
      <c r="L25" s="25">
        <v>8.7372909834597667E-2</v>
      </c>
    </row>
    <row r="26" spans="1:12" ht="18" customHeight="1" thickBot="1" x14ac:dyDescent="0.3">
      <c r="A26" s="28"/>
      <c r="B26" s="43" t="s">
        <v>41</v>
      </c>
      <c r="C26" s="30"/>
      <c r="D26" s="44"/>
      <c r="E26" s="32"/>
      <c r="F26" s="45"/>
      <c r="G26" s="46">
        <v>7.8317221876469834E-2</v>
      </c>
      <c r="H26" s="46">
        <v>7.7718333443842269E-2</v>
      </c>
      <c r="I26" s="46">
        <v>7.0755054025940733E-2</v>
      </c>
      <c r="J26" s="47">
        <v>8.9466248563291773E-2</v>
      </c>
      <c r="K26" s="47">
        <v>8.4478647969509657E-2</v>
      </c>
      <c r="L26" s="48"/>
    </row>
    <row r="27" spans="1:12" ht="12.75" customHeight="1" thickBot="1" x14ac:dyDescent="0.3">
      <c r="A27" s="36"/>
      <c r="B27" s="49"/>
      <c r="C27" s="36"/>
      <c r="D27" s="36"/>
      <c r="E27" s="37"/>
      <c r="F27" s="38"/>
      <c r="L27" s="12"/>
    </row>
    <row r="28" spans="1:12" ht="38.25" customHeight="1" thickBot="1" x14ac:dyDescent="0.25">
      <c r="A28" s="50" t="s">
        <v>25</v>
      </c>
      <c r="B28" s="51" t="s">
        <v>1</v>
      </c>
      <c r="C28" s="16" t="s">
        <v>23</v>
      </c>
      <c r="D28" s="16" t="s">
        <v>24</v>
      </c>
      <c r="E28" s="17" t="s">
        <v>4</v>
      </c>
      <c r="F28" s="15" t="s">
        <v>5</v>
      </c>
      <c r="G28" s="16" t="s">
        <v>6</v>
      </c>
      <c r="H28" s="16" t="s">
        <v>7</v>
      </c>
      <c r="I28" s="16" t="s">
        <v>8</v>
      </c>
      <c r="J28" s="52" t="s">
        <v>9</v>
      </c>
      <c r="K28" s="52" t="s">
        <v>10</v>
      </c>
      <c r="L28" s="18" t="s">
        <v>11</v>
      </c>
    </row>
    <row r="29" spans="1:12" ht="18" customHeight="1" thickBot="1" x14ac:dyDescent="0.3">
      <c r="A29" s="53"/>
      <c r="B29" s="20" t="s">
        <v>12</v>
      </c>
      <c r="C29" s="21">
        <v>42864</v>
      </c>
      <c r="D29" s="40">
        <v>2121.067096194</v>
      </c>
      <c r="E29" s="23">
        <v>123707</v>
      </c>
      <c r="F29" s="54">
        <v>18.907499999999999</v>
      </c>
      <c r="G29" s="25">
        <v>5.5777671063064638E-2</v>
      </c>
      <c r="H29" s="25">
        <v>8.3186726509791864E-2</v>
      </c>
      <c r="I29" s="25">
        <v>6.4915468464165071E-2</v>
      </c>
      <c r="J29" s="25">
        <v>8.98623164008059E-2</v>
      </c>
      <c r="K29" s="25" t="s">
        <v>40</v>
      </c>
      <c r="L29" s="41">
        <v>7.9073956797836242E-2</v>
      </c>
    </row>
    <row r="30" spans="1:12" ht="18" customHeight="1" thickBot="1" x14ac:dyDescent="0.3">
      <c r="A30" s="53"/>
      <c r="B30" s="20" t="s">
        <v>13</v>
      </c>
      <c r="C30" s="21">
        <v>44855</v>
      </c>
      <c r="D30" s="40">
        <v>4500.4296455549993</v>
      </c>
      <c r="E30" s="23">
        <v>399604</v>
      </c>
      <c r="F30" s="54">
        <v>12.5054</v>
      </c>
      <c r="G30" s="55">
        <v>4.6853679566706052E-2</v>
      </c>
      <c r="H30" s="25" t="s">
        <v>40</v>
      </c>
      <c r="I30" s="25" t="s">
        <v>40</v>
      </c>
      <c r="J30" s="25" t="s">
        <v>40</v>
      </c>
      <c r="K30" s="25" t="s">
        <v>40</v>
      </c>
      <c r="L30" s="25">
        <v>7.9714299041066639E-2</v>
      </c>
    </row>
    <row r="31" spans="1:12" ht="18" customHeight="1" thickBot="1" x14ac:dyDescent="0.3">
      <c r="A31" s="53"/>
      <c r="B31" s="20" t="s">
        <v>14</v>
      </c>
      <c r="C31" s="21">
        <v>41487</v>
      </c>
      <c r="D31" s="40">
        <v>44498.746843110996</v>
      </c>
      <c r="E31" s="23">
        <v>2542755</v>
      </c>
      <c r="F31" s="54">
        <v>27.914300000000001</v>
      </c>
      <c r="G31" s="25">
        <v>4.4532670762829296E-2</v>
      </c>
      <c r="H31" s="25">
        <v>7.9403963655140686E-2</v>
      </c>
      <c r="I31" s="25">
        <v>6.1326089007529117E-2</v>
      </c>
      <c r="J31" s="25">
        <v>8.8635095020808338E-2</v>
      </c>
      <c r="K31" s="25">
        <v>8.20861655547407E-2</v>
      </c>
      <c r="L31" s="41">
        <v>8.8219952780427047E-2</v>
      </c>
    </row>
    <row r="32" spans="1:12" ht="18" customHeight="1" thickBot="1" x14ac:dyDescent="0.3">
      <c r="A32" s="53"/>
      <c r="B32" s="20" t="s">
        <v>15</v>
      </c>
      <c r="C32" s="21">
        <v>39951</v>
      </c>
      <c r="D32" s="40">
        <v>17509.133577059001</v>
      </c>
      <c r="E32" s="23">
        <v>1003815</v>
      </c>
      <c r="F32" s="54">
        <v>37.428699999999999</v>
      </c>
      <c r="G32" s="25">
        <v>5.1388650900439092E-2</v>
      </c>
      <c r="H32" s="25">
        <v>8.0008588143968495E-2</v>
      </c>
      <c r="I32" s="25">
        <v>6.1945053531193839E-2</v>
      </c>
      <c r="J32" s="42">
        <v>8.7118543536401916E-2</v>
      </c>
      <c r="K32" s="42">
        <v>8.1486536508291518E-2</v>
      </c>
      <c r="L32" s="41">
        <v>8.4068999873258013E-2</v>
      </c>
    </row>
    <row r="33" spans="1:12" ht="18" customHeight="1" thickBot="1" x14ac:dyDescent="0.3">
      <c r="A33" s="53"/>
      <c r="B33" s="20" t="s">
        <v>16</v>
      </c>
      <c r="C33" s="21">
        <v>39948</v>
      </c>
      <c r="D33" s="40">
        <v>2365.9340652189999</v>
      </c>
      <c r="E33" s="23">
        <v>139488</v>
      </c>
      <c r="F33" s="54">
        <v>37.097000000000001</v>
      </c>
      <c r="G33" s="25">
        <v>4.001143824748099E-2</v>
      </c>
      <c r="H33" s="25">
        <v>7.7115731693121692E-2</v>
      </c>
      <c r="I33" s="25">
        <v>6.1034198272255979E-2</v>
      </c>
      <c r="J33" s="42">
        <v>8.7550856825897375E-2</v>
      </c>
      <c r="K33" s="42">
        <v>8.1958959747666427E-2</v>
      </c>
      <c r="L33" s="41">
        <v>8.3435323404130943E-2</v>
      </c>
    </row>
    <row r="34" spans="1:12" ht="18" customHeight="1" thickBot="1" x14ac:dyDescent="0.3">
      <c r="A34" s="53"/>
      <c r="B34" s="26" t="s">
        <v>17</v>
      </c>
      <c r="C34" s="21">
        <v>41478</v>
      </c>
      <c r="D34" s="40">
        <v>7660.4935848429996</v>
      </c>
      <c r="E34" s="23">
        <v>531065</v>
      </c>
      <c r="F34" s="54">
        <v>30.3736</v>
      </c>
      <c r="G34" s="25">
        <v>5.4697483193510754E-2</v>
      </c>
      <c r="H34" s="25">
        <v>8.1592449592375882E-2</v>
      </c>
      <c r="I34" s="25">
        <v>6.387376760861363E-2</v>
      </c>
      <c r="J34" s="25">
        <v>9.3158942987199497E-2</v>
      </c>
      <c r="K34" s="25">
        <v>8.778082323218328E-2</v>
      </c>
      <c r="L34" s="41">
        <v>9.5609373759290683E-2</v>
      </c>
    </row>
    <row r="35" spans="1:12" ht="18" customHeight="1" thickBot="1" x14ac:dyDescent="0.3">
      <c r="A35" s="53"/>
      <c r="B35" s="27" t="s">
        <v>18</v>
      </c>
      <c r="C35" s="21">
        <v>39948</v>
      </c>
      <c r="D35" s="40">
        <v>25172.230198324</v>
      </c>
      <c r="E35" s="23">
        <v>2199627</v>
      </c>
      <c r="F35" s="54">
        <v>40.755200000000002</v>
      </c>
      <c r="G35" s="25">
        <v>5.6099589793290106E-2</v>
      </c>
      <c r="H35" s="25">
        <v>8.3335232090032255E-2</v>
      </c>
      <c r="I35" s="25">
        <v>6.3404949887747364E-2</v>
      </c>
      <c r="J35" s="42">
        <v>8.7806425298460056E-2</v>
      </c>
      <c r="K35" s="42">
        <v>8.3080782209882256E-2</v>
      </c>
      <c r="L35" s="41">
        <v>8.9681931441051077E-2</v>
      </c>
    </row>
    <row r="36" spans="1:12" ht="18" customHeight="1" thickBot="1" x14ac:dyDescent="0.3">
      <c r="A36" s="53"/>
      <c r="B36" s="27" t="s">
        <v>19</v>
      </c>
      <c r="C36" s="21">
        <v>44792</v>
      </c>
      <c r="D36" s="40">
        <v>1404.3585360320001</v>
      </c>
      <c r="E36" s="23">
        <v>80491</v>
      </c>
      <c r="F36" s="54">
        <v>12.626099999999999</v>
      </c>
      <c r="G36" s="25">
        <v>4.720079621796458E-2</v>
      </c>
      <c r="H36" s="25">
        <v>8.0899619799750244E-2</v>
      </c>
      <c r="I36" s="25" t="s">
        <v>40</v>
      </c>
      <c r="J36" s="25" t="s">
        <v>40</v>
      </c>
      <c r="K36" s="25" t="s">
        <v>40</v>
      </c>
      <c r="L36" s="41">
        <v>7.8444822795729507E-2</v>
      </c>
    </row>
    <row r="37" spans="1:12" ht="18" customHeight="1" thickBot="1" x14ac:dyDescent="0.3">
      <c r="A37" s="53"/>
      <c r="B37" s="27" t="s">
        <v>20</v>
      </c>
      <c r="C37" s="21">
        <v>39954</v>
      </c>
      <c r="D37" s="40">
        <v>3703.0616217720003</v>
      </c>
      <c r="E37" s="23">
        <v>196940</v>
      </c>
      <c r="F37" s="54">
        <v>36.418900000000001</v>
      </c>
      <c r="G37" s="25">
        <v>5.5519327136824614E-2</v>
      </c>
      <c r="H37" s="25">
        <v>8.2783625209942535E-2</v>
      </c>
      <c r="I37" s="25">
        <v>6.3155844761561442E-2</v>
      </c>
      <c r="J37" s="42">
        <v>8.7819566319755182E-2</v>
      </c>
      <c r="K37" s="42">
        <v>8.040415693224201E-2</v>
      </c>
      <c r="L37" s="41">
        <v>8.2300212314952326E-2</v>
      </c>
    </row>
    <row r="38" spans="1:12" ht="20" thickBot="1" x14ac:dyDescent="0.3">
      <c r="A38" s="53"/>
      <c r="B38" s="27" t="s">
        <v>21</v>
      </c>
      <c r="C38" s="21">
        <v>45286</v>
      </c>
      <c r="D38" s="40">
        <v>1877.5266407579998</v>
      </c>
      <c r="E38" s="23">
        <v>49342</v>
      </c>
      <c r="F38" s="54">
        <v>11.563800000000001</v>
      </c>
      <c r="G38" s="25">
        <v>4.7796815961871353E-2</v>
      </c>
      <c r="H38" s="56" t="s">
        <v>40</v>
      </c>
      <c r="I38" s="56" t="s">
        <v>40</v>
      </c>
      <c r="J38" s="56" t="s">
        <v>40</v>
      </c>
      <c r="K38" s="56" t="s">
        <v>40</v>
      </c>
      <c r="L38" s="25">
        <v>8.7389176451113895E-2</v>
      </c>
    </row>
    <row r="39" spans="1:12" ht="18" customHeight="1" x14ac:dyDescent="0.25">
      <c r="A39" s="53"/>
      <c r="B39" s="43" t="s">
        <v>41</v>
      </c>
      <c r="C39" s="30"/>
      <c r="D39" s="44"/>
      <c r="E39" s="32"/>
      <c r="F39" s="45"/>
      <c r="G39" s="46">
        <v>5.9792288029856255E-2</v>
      </c>
      <c r="H39" s="46">
        <v>8.3648769823720714E-2</v>
      </c>
      <c r="I39" s="46">
        <v>6.1594142229175697E-2</v>
      </c>
      <c r="J39" s="47">
        <v>8.6560488795376589E-2</v>
      </c>
      <c r="K39" s="47">
        <v>7.9223654890406836E-2</v>
      </c>
      <c r="L39" s="48"/>
    </row>
    <row r="40" spans="1:12" ht="12.75" customHeight="1" thickBot="1" x14ac:dyDescent="0.25">
      <c r="B40" s="57"/>
      <c r="L40" s="12"/>
    </row>
    <row r="41" spans="1:12" ht="37.5" customHeight="1" thickBot="1" x14ac:dyDescent="0.25">
      <c r="A41" s="58" t="s">
        <v>26</v>
      </c>
      <c r="B41" s="51" t="s">
        <v>1</v>
      </c>
      <c r="C41" s="16" t="s">
        <v>2</v>
      </c>
      <c r="D41" s="16" t="s">
        <v>3</v>
      </c>
      <c r="E41" s="17" t="s">
        <v>4</v>
      </c>
      <c r="F41" s="15" t="s">
        <v>5</v>
      </c>
      <c r="G41" s="16" t="s">
        <v>6</v>
      </c>
      <c r="H41" s="16" t="s">
        <v>7</v>
      </c>
      <c r="I41" s="16" t="s">
        <v>8</v>
      </c>
      <c r="J41" s="16" t="s">
        <v>9</v>
      </c>
      <c r="K41" s="52" t="s">
        <v>10</v>
      </c>
      <c r="L41" s="18" t="s">
        <v>11</v>
      </c>
    </row>
    <row r="42" spans="1:12" ht="23.25" customHeight="1" thickBot="1" x14ac:dyDescent="0.3">
      <c r="A42" s="59"/>
      <c r="B42" s="20" t="s">
        <v>12</v>
      </c>
      <c r="C42" s="21">
        <v>42870</v>
      </c>
      <c r="D42" s="40">
        <v>6.8394176799999995</v>
      </c>
      <c r="E42" s="23">
        <v>6328</v>
      </c>
      <c r="F42" s="54">
        <v>18.197800000000001</v>
      </c>
      <c r="G42" s="25">
        <v>0.13830871912277076</v>
      </c>
      <c r="H42" s="25">
        <v>8.6440740985656669E-2</v>
      </c>
      <c r="I42" s="25">
        <v>8.2828525727912439E-2</v>
      </c>
      <c r="J42" s="25">
        <v>7.5304344182600236E-2</v>
      </c>
      <c r="K42" s="25" t="s">
        <v>40</v>
      </c>
      <c r="L42" s="41">
        <v>7.4304067560656106E-2</v>
      </c>
    </row>
    <row r="43" spans="1:12" ht="20" thickBot="1" x14ac:dyDescent="0.3">
      <c r="A43" s="59"/>
      <c r="B43" s="20" t="s">
        <v>13</v>
      </c>
      <c r="C43" s="21">
        <v>44855</v>
      </c>
      <c r="D43" s="40">
        <v>5.8774756640000003</v>
      </c>
      <c r="E43" s="23">
        <v>13140</v>
      </c>
      <c r="F43" s="54">
        <v>12.5913</v>
      </c>
      <c r="G43" s="55">
        <v>0.11323990981831056</v>
      </c>
      <c r="H43" s="25" t="s">
        <v>40</v>
      </c>
      <c r="I43" s="25" t="s">
        <v>40</v>
      </c>
      <c r="J43" s="25" t="s">
        <v>40</v>
      </c>
      <c r="K43" s="25" t="s">
        <v>40</v>
      </c>
      <c r="L43" s="25">
        <v>8.2252806005403092E-2</v>
      </c>
    </row>
    <row r="44" spans="1:12" ht="26.25" customHeight="1" thickBot="1" x14ac:dyDescent="0.3">
      <c r="A44" s="59"/>
      <c r="B44" s="20" t="s">
        <v>14</v>
      </c>
      <c r="C44" s="21">
        <v>42653</v>
      </c>
      <c r="D44" s="40">
        <v>475.50891734800007</v>
      </c>
      <c r="E44" s="23">
        <v>235006</v>
      </c>
      <c r="F44" s="54">
        <v>22.424199999999999</v>
      </c>
      <c r="G44" s="25">
        <v>0.16188166778066204</v>
      </c>
      <c r="H44" s="25">
        <v>0.10437939964411713</v>
      </c>
      <c r="I44" s="25">
        <v>0.10279677387645346</v>
      </c>
      <c r="J44" s="25">
        <v>0.10388849380875677</v>
      </c>
      <c r="K44" s="25" t="s">
        <v>40</v>
      </c>
      <c r="L44" s="41">
        <v>9.444829996931281E-2</v>
      </c>
    </row>
    <row r="45" spans="1:12" ht="20" thickBot="1" x14ac:dyDescent="0.3">
      <c r="A45" s="59"/>
      <c r="B45" s="27" t="s">
        <v>15</v>
      </c>
      <c r="C45" s="21">
        <v>42695</v>
      </c>
      <c r="D45" s="40">
        <v>117.116709825</v>
      </c>
      <c r="E45" s="23">
        <v>89192</v>
      </c>
      <c r="F45" s="54">
        <v>20.3292</v>
      </c>
      <c r="G45" s="25">
        <v>0.16967583802257757</v>
      </c>
      <c r="H45" s="25">
        <v>9.8616602702858991E-2</v>
      </c>
      <c r="I45" s="25">
        <v>9.5709750271682173E-2</v>
      </c>
      <c r="J45" s="25">
        <v>9.0757777017129046E-2</v>
      </c>
      <c r="K45" s="25" t="s">
        <v>40</v>
      </c>
      <c r="L45" s="41">
        <v>8.363580240313094E-2</v>
      </c>
    </row>
    <row r="46" spans="1:12" ht="25.5" customHeight="1" thickBot="1" x14ac:dyDescent="0.3">
      <c r="A46" s="59"/>
      <c r="B46" s="20" t="s">
        <v>16</v>
      </c>
      <c r="C46" s="21">
        <v>42657</v>
      </c>
      <c r="D46" s="40">
        <v>22.316659625</v>
      </c>
      <c r="E46" s="23">
        <v>11486</v>
      </c>
      <c r="F46" s="54">
        <v>19.780100000000001</v>
      </c>
      <c r="G46" s="25">
        <v>0.13981375836992482</v>
      </c>
      <c r="H46" s="25">
        <v>9.1124306682766498E-2</v>
      </c>
      <c r="I46" s="25">
        <v>8.0820227954744972E-2</v>
      </c>
      <c r="J46" s="42">
        <v>9.220209998030772E-2</v>
      </c>
      <c r="K46" s="25" t="s">
        <v>40</v>
      </c>
      <c r="L46" s="41">
        <v>7.9310372499317827E-2</v>
      </c>
    </row>
    <row r="47" spans="1:12" ht="20" thickBot="1" x14ac:dyDescent="0.3">
      <c r="A47" s="59"/>
      <c r="B47" s="26" t="s">
        <v>17</v>
      </c>
      <c r="C47" s="21">
        <v>42656</v>
      </c>
      <c r="D47" s="40">
        <v>30.223681207999999</v>
      </c>
      <c r="E47" s="23">
        <v>28091</v>
      </c>
      <c r="F47" s="54">
        <v>19.976800000000001</v>
      </c>
      <c r="G47" s="25">
        <v>0.12004575093772619</v>
      </c>
      <c r="H47" s="25">
        <v>8.6232984107316391E-2</v>
      </c>
      <c r="I47" s="25">
        <v>8.349670585132675E-2</v>
      </c>
      <c r="J47" s="25">
        <v>8.5255988391900406E-2</v>
      </c>
      <c r="K47" s="25" t="s">
        <v>40</v>
      </c>
      <c r="L47" s="41">
        <v>8.0480429764580239E-2</v>
      </c>
    </row>
    <row r="48" spans="1:12" ht="21" customHeight="1" thickBot="1" x14ac:dyDescent="0.3">
      <c r="A48" s="59"/>
      <c r="B48" s="27" t="s">
        <v>18</v>
      </c>
      <c r="C48" s="21">
        <v>42656</v>
      </c>
      <c r="D48" s="40">
        <v>134.339805313</v>
      </c>
      <c r="E48" s="23">
        <v>129007</v>
      </c>
      <c r="F48" s="54">
        <v>22.937000000000001</v>
      </c>
      <c r="G48" s="25">
        <v>0.15751651468280214</v>
      </c>
      <c r="H48" s="25">
        <v>9.7500860097976774E-2</v>
      </c>
      <c r="I48" s="25">
        <v>9.6512575214300581E-2</v>
      </c>
      <c r="J48" s="42">
        <v>0.10645174858743811</v>
      </c>
      <c r="K48" s="25" t="s">
        <v>40</v>
      </c>
      <c r="L48" s="41">
        <v>9.7310958315617757E-2</v>
      </c>
    </row>
    <row r="49" spans="1:12" ht="21" customHeight="1" thickBot="1" x14ac:dyDescent="0.3">
      <c r="A49" s="59"/>
      <c r="B49" s="27" t="s">
        <v>19</v>
      </c>
      <c r="C49" s="21">
        <v>44792</v>
      </c>
      <c r="D49" s="40">
        <v>9.6512151599999996</v>
      </c>
      <c r="E49" s="23">
        <v>6837</v>
      </c>
      <c r="F49" s="54">
        <v>14.163500000000001</v>
      </c>
      <c r="G49" s="25">
        <v>0.18471460117773031</v>
      </c>
      <c r="H49" s="25">
        <v>0.12198824734409296</v>
      </c>
      <c r="I49" s="25" t="s">
        <v>40</v>
      </c>
      <c r="J49" s="25" t="s">
        <v>40</v>
      </c>
      <c r="K49" s="25" t="s">
        <v>40</v>
      </c>
      <c r="L49" s="41">
        <v>0.1193332844451267</v>
      </c>
    </row>
    <row r="50" spans="1:12" ht="21" customHeight="1" thickBot="1" x14ac:dyDescent="0.3">
      <c r="A50" s="59"/>
      <c r="B50" s="27" t="s">
        <v>20</v>
      </c>
      <c r="C50" s="21">
        <v>42657</v>
      </c>
      <c r="D50" s="40">
        <v>28.176478409999998</v>
      </c>
      <c r="E50" s="23">
        <v>15061</v>
      </c>
      <c r="F50" s="54">
        <v>20.8064</v>
      </c>
      <c r="G50" s="25">
        <v>0.25457659004847932</v>
      </c>
      <c r="H50" s="25">
        <v>0.1198181654544641</v>
      </c>
      <c r="I50" s="25">
        <v>0.1021572221533984</v>
      </c>
      <c r="J50" s="42">
        <v>9.0285044299885264E-2</v>
      </c>
      <c r="K50" s="25" t="s">
        <v>40</v>
      </c>
      <c r="L50" s="41">
        <v>8.5436700259755138E-2</v>
      </c>
    </row>
    <row r="51" spans="1:12" ht="20" thickBot="1" x14ac:dyDescent="0.3">
      <c r="A51" s="59"/>
      <c r="B51" s="27" t="s">
        <v>21</v>
      </c>
      <c r="C51" s="21">
        <v>45287</v>
      </c>
      <c r="D51" s="40">
        <v>7.3494415279999998</v>
      </c>
      <c r="E51" s="23">
        <v>2895</v>
      </c>
      <c r="F51" s="54">
        <v>11.166499999999999</v>
      </c>
      <c r="G51" s="25">
        <v>6.7063556528137225E-2</v>
      </c>
      <c r="H51" s="56" t="s">
        <v>40</v>
      </c>
      <c r="I51" s="56" t="s">
        <v>40</v>
      </c>
      <c r="J51" s="56" t="s">
        <v>40</v>
      </c>
      <c r="K51" s="56" t="s">
        <v>40</v>
      </c>
      <c r="L51" s="25">
        <v>6.5794867356129494E-2</v>
      </c>
    </row>
    <row r="52" spans="1:12" ht="21" customHeight="1" thickBot="1" x14ac:dyDescent="0.3">
      <c r="A52" s="36"/>
      <c r="B52" s="49"/>
      <c r="C52" s="36"/>
      <c r="D52" s="36"/>
      <c r="E52" s="37"/>
      <c r="F52" s="38"/>
      <c r="L52" s="12"/>
    </row>
    <row r="53" spans="1:12" ht="37.5" customHeight="1" thickBot="1" x14ac:dyDescent="0.25">
      <c r="A53" s="50" t="s">
        <v>27</v>
      </c>
      <c r="B53" s="51" t="s">
        <v>1</v>
      </c>
      <c r="C53" s="16" t="s">
        <v>23</v>
      </c>
      <c r="D53" s="16" t="s">
        <v>24</v>
      </c>
      <c r="E53" s="17" t="s">
        <v>4</v>
      </c>
      <c r="F53" s="15" t="s">
        <v>5</v>
      </c>
      <c r="G53" s="16" t="s">
        <v>6</v>
      </c>
      <c r="H53" s="16" t="s">
        <v>7</v>
      </c>
      <c r="I53" s="16" t="s">
        <v>8</v>
      </c>
      <c r="J53" s="52" t="s">
        <v>9</v>
      </c>
      <c r="K53" s="52" t="s">
        <v>10</v>
      </c>
      <c r="L53" s="18" t="s">
        <v>11</v>
      </c>
    </row>
    <row r="54" spans="1:12" ht="21" customHeight="1" thickBot="1" x14ac:dyDescent="0.3">
      <c r="A54" s="53"/>
      <c r="B54" s="20" t="s">
        <v>12</v>
      </c>
      <c r="C54" s="21">
        <v>42864</v>
      </c>
      <c r="D54" s="60">
        <v>52.604112743000002</v>
      </c>
      <c r="E54" s="23">
        <v>24568</v>
      </c>
      <c r="F54" s="54">
        <v>29.373899999999999</v>
      </c>
      <c r="G54" s="25">
        <v>-7.7089125433669192E-3</v>
      </c>
      <c r="H54" s="25">
        <v>0.15803446138786903</v>
      </c>
      <c r="I54" s="25">
        <v>0.18764956564024682</v>
      </c>
      <c r="J54" s="25">
        <v>0.13481152288771892</v>
      </c>
      <c r="K54" s="25" t="s">
        <v>40</v>
      </c>
      <c r="L54" s="41">
        <v>0.13739236117277409</v>
      </c>
    </row>
    <row r="55" spans="1:12" ht="20" thickBot="1" x14ac:dyDescent="0.3">
      <c r="A55" s="53"/>
      <c r="B55" s="20" t="s">
        <v>13</v>
      </c>
      <c r="C55" s="21">
        <v>44855</v>
      </c>
      <c r="D55" s="60">
        <v>20.527380847</v>
      </c>
      <c r="E55" s="23">
        <v>17461</v>
      </c>
      <c r="F55" s="54">
        <v>15.1866</v>
      </c>
      <c r="G55" s="55">
        <v>-9.6320014607774729E-3</v>
      </c>
      <c r="H55" s="25" t="s">
        <v>40</v>
      </c>
      <c r="I55" s="25" t="s">
        <v>40</v>
      </c>
      <c r="J55" s="25" t="s">
        <v>40</v>
      </c>
      <c r="K55" s="25" t="s">
        <v>40</v>
      </c>
      <c r="L55" s="25">
        <v>0.1541151879038285</v>
      </c>
    </row>
    <row r="56" spans="1:12" ht="20" thickBot="1" x14ac:dyDescent="0.3">
      <c r="A56" s="53"/>
      <c r="B56" s="20" t="s">
        <v>14</v>
      </c>
      <c r="C56" s="21">
        <v>41487</v>
      </c>
      <c r="D56" s="60">
        <v>1717.331727733</v>
      </c>
      <c r="E56" s="23">
        <v>376461</v>
      </c>
      <c r="F56" s="54">
        <v>47.436199999999999</v>
      </c>
      <c r="G56" s="25">
        <v>1.2432114113720694E-3</v>
      </c>
      <c r="H56" s="25">
        <v>0.1575051081503327</v>
      </c>
      <c r="I56" s="25">
        <v>0.19365050749431689</v>
      </c>
      <c r="J56" s="25">
        <v>0.14202694450989939</v>
      </c>
      <c r="K56" s="25">
        <v>0.14165622181405824</v>
      </c>
      <c r="L56" s="41">
        <v>0.13679404658533478</v>
      </c>
    </row>
    <row r="57" spans="1:12" ht="20" thickBot="1" x14ac:dyDescent="0.3">
      <c r="A57" s="53"/>
      <c r="B57" s="61" t="s">
        <v>15</v>
      </c>
      <c r="C57" s="21">
        <v>40168</v>
      </c>
      <c r="D57" s="60">
        <v>700.80280146400003</v>
      </c>
      <c r="E57" s="23">
        <v>147149</v>
      </c>
      <c r="F57" s="54">
        <v>58.605699999999999</v>
      </c>
      <c r="G57" s="25">
        <v>1.2659828195367151E-3</v>
      </c>
      <c r="H57" s="25">
        <v>0.16533793574889</v>
      </c>
      <c r="I57" s="25">
        <v>0.20158897953336541</v>
      </c>
      <c r="J57" s="42">
        <v>0.14317402115870626</v>
      </c>
      <c r="K57" s="42">
        <v>0.13814838011516972</v>
      </c>
      <c r="L57" s="41">
        <v>0.11876535816688992</v>
      </c>
    </row>
    <row r="58" spans="1:12" ht="25.5" customHeight="1" thickBot="1" x14ac:dyDescent="0.3">
      <c r="A58" s="53"/>
      <c r="B58" s="20" t="s">
        <v>16</v>
      </c>
      <c r="C58" s="21">
        <v>40161</v>
      </c>
      <c r="D58" s="60">
        <v>187.89954376399999</v>
      </c>
      <c r="E58" s="23">
        <v>34786</v>
      </c>
      <c r="F58" s="54">
        <v>61.496699999999997</v>
      </c>
      <c r="G58" s="25">
        <v>2.0463464617886284E-2</v>
      </c>
      <c r="H58" s="25">
        <v>0.17170555404581722</v>
      </c>
      <c r="I58" s="25">
        <v>0.20255317128901318</v>
      </c>
      <c r="J58" s="42">
        <v>0.14732186292815053</v>
      </c>
      <c r="K58" s="42">
        <v>0.14044320655317688</v>
      </c>
      <c r="L58" s="41">
        <v>0.12203232386462727</v>
      </c>
    </row>
    <row r="59" spans="1:12" ht="20" thickBot="1" x14ac:dyDescent="0.3">
      <c r="A59" s="53"/>
      <c r="B59" s="26" t="s">
        <v>17</v>
      </c>
      <c r="C59" s="21">
        <v>41498</v>
      </c>
      <c r="D59" s="60">
        <v>184.19514700100001</v>
      </c>
      <c r="E59" s="23">
        <v>91326</v>
      </c>
      <c r="F59" s="54">
        <v>38.349400000000003</v>
      </c>
      <c r="G59" s="25">
        <v>4.8658804046779469E-3</v>
      </c>
      <c r="H59" s="25">
        <v>0.14959670555533844</v>
      </c>
      <c r="I59" s="25">
        <v>0.19818107957684461</v>
      </c>
      <c r="J59" s="25">
        <v>0.13483745329072705</v>
      </c>
      <c r="K59" s="25">
        <v>0.12714621223757372</v>
      </c>
      <c r="L59" s="41">
        <v>0.11736587495727126</v>
      </c>
    </row>
    <row r="60" spans="1:12" ht="18" customHeight="1" thickBot="1" x14ac:dyDescent="0.3">
      <c r="A60" s="53"/>
      <c r="B60" s="27" t="s">
        <v>18</v>
      </c>
      <c r="C60" s="21">
        <v>40161</v>
      </c>
      <c r="D60" s="60">
        <v>645.49935073300003</v>
      </c>
      <c r="E60" s="23">
        <v>346917</v>
      </c>
      <c r="F60" s="54">
        <v>53.9435</v>
      </c>
      <c r="G60" s="25">
        <v>-3.2691611107723895E-2</v>
      </c>
      <c r="H60" s="25">
        <v>0.14523922658363619</v>
      </c>
      <c r="I60" s="25">
        <v>0.18302884346474468</v>
      </c>
      <c r="J60" s="42">
        <v>0.12912940373793336</v>
      </c>
      <c r="K60" s="42">
        <v>0.12974167766139999</v>
      </c>
      <c r="L60" s="41">
        <v>0.11275016973214846</v>
      </c>
    </row>
    <row r="61" spans="1:12" ht="18" customHeight="1" thickBot="1" x14ac:dyDescent="0.3">
      <c r="A61" s="53"/>
      <c r="B61" s="27" t="s">
        <v>19</v>
      </c>
      <c r="C61" s="21">
        <v>44792</v>
      </c>
      <c r="D61" s="60">
        <v>75.773438578000011</v>
      </c>
      <c r="E61" s="23">
        <v>27802</v>
      </c>
      <c r="F61" s="54">
        <v>16.146799999999999</v>
      </c>
      <c r="G61" s="25">
        <v>-6.6223116199903842E-4</v>
      </c>
      <c r="H61" s="25">
        <v>0.17162874629059233</v>
      </c>
      <c r="I61" s="25" t="s">
        <v>40</v>
      </c>
      <c r="J61" s="25" t="s">
        <v>40</v>
      </c>
      <c r="K61" s="25" t="s">
        <v>40</v>
      </c>
      <c r="L61" s="41">
        <v>0.16786512224955311</v>
      </c>
    </row>
    <row r="62" spans="1:12" ht="18" customHeight="1" thickBot="1" x14ac:dyDescent="0.3">
      <c r="A62" s="53"/>
      <c r="B62" s="27" t="s">
        <v>20</v>
      </c>
      <c r="C62" s="21">
        <v>40161</v>
      </c>
      <c r="D62" s="60">
        <v>143.223303571</v>
      </c>
      <c r="E62" s="23">
        <v>43510</v>
      </c>
      <c r="F62" s="54">
        <v>59.1907</v>
      </c>
      <c r="G62" s="25">
        <v>2.6531474440227854E-4</v>
      </c>
      <c r="H62" s="25">
        <v>0.16438462301151582</v>
      </c>
      <c r="I62" s="25">
        <v>0.19974303559804429</v>
      </c>
      <c r="J62" s="42">
        <v>0.13898135588950944</v>
      </c>
      <c r="K62" s="42">
        <v>0.13738453589515598</v>
      </c>
      <c r="L62" s="41">
        <v>0.11931725517784519</v>
      </c>
    </row>
    <row r="63" spans="1:12" ht="20" thickBot="1" x14ac:dyDescent="0.3">
      <c r="A63" s="53"/>
      <c r="B63" s="27" t="s">
        <v>21</v>
      </c>
      <c r="C63" s="21">
        <v>45287</v>
      </c>
      <c r="D63" s="60">
        <v>79.964058354000002</v>
      </c>
      <c r="E63" s="23">
        <v>11777</v>
      </c>
      <c r="F63" s="54">
        <v>13.0534</v>
      </c>
      <c r="G63" s="25">
        <v>5.2430440776902509E-2</v>
      </c>
      <c r="H63" s="62" t="s">
        <v>40</v>
      </c>
      <c r="I63" s="62" t="s">
        <v>40</v>
      </c>
      <c r="J63" s="62" t="s">
        <v>40</v>
      </c>
      <c r="K63" s="62" t="s">
        <v>40</v>
      </c>
      <c r="L63" s="25">
        <v>0.16636389620871506</v>
      </c>
    </row>
    <row r="64" spans="1:12" ht="18" customHeight="1" x14ac:dyDescent="0.25">
      <c r="A64" s="53"/>
      <c r="B64" s="43" t="s">
        <v>41</v>
      </c>
      <c r="C64" s="30"/>
      <c r="D64" s="44"/>
      <c r="E64" s="32"/>
      <c r="F64" s="45"/>
      <c r="G64" s="46">
        <v>-5.2048015514757351E-3</v>
      </c>
      <c r="H64" s="46">
        <v>0.15503853977828741</v>
      </c>
      <c r="I64" s="46">
        <v>0.19906203587639548</v>
      </c>
      <c r="J64" s="47">
        <v>0.14436863335286909</v>
      </c>
      <c r="K64" s="46">
        <v>0.14053006655907341</v>
      </c>
      <c r="L64" s="35">
        <f>AVERAGE(L54:L63)</f>
        <v>0.13527615960189876</v>
      </c>
    </row>
    <row r="65" spans="1:12" ht="22.5" customHeight="1" thickBot="1" x14ac:dyDescent="0.3">
      <c r="A65" s="36"/>
      <c r="B65" s="49"/>
      <c r="C65" s="36"/>
      <c r="D65" s="36"/>
      <c r="E65" s="37"/>
      <c r="F65" s="38"/>
      <c r="G65" s="39">
        <f>AVERAGE(G54:G63)</f>
        <v>2.983953850091048E-3</v>
      </c>
      <c r="H65" s="39">
        <f>AVERAGE(H54,H56,H57,H58,H59,H60,H61,H62)</f>
        <v>0.16042904509674896</v>
      </c>
      <c r="I65" s="39">
        <f>AVERAGE(I54,I56,I57,I58,I59,I60,I62)</f>
        <v>0.19519931179951083</v>
      </c>
      <c r="J65" s="39">
        <f>AVERAGE(J54,J56,J57,J58,J59,J60,J62)</f>
        <v>0.13861179491466355</v>
      </c>
      <c r="K65" s="39">
        <f>AVERAGE(K56:K60,K62)</f>
        <v>0.13575337237942242</v>
      </c>
      <c r="L65" s="12">
        <f>AVERAGE(L54:L63)</f>
        <v>0.13527615960189876</v>
      </c>
    </row>
    <row r="66" spans="1:12" ht="37.5" customHeight="1" thickBot="1" x14ac:dyDescent="0.25">
      <c r="A66" s="50" t="s">
        <v>28</v>
      </c>
      <c r="B66" s="51" t="s">
        <v>1</v>
      </c>
      <c r="C66" s="16" t="s">
        <v>23</v>
      </c>
      <c r="D66" s="16" t="s">
        <v>24</v>
      </c>
      <c r="E66" s="17" t="s">
        <v>4</v>
      </c>
      <c r="F66" s="15" t="s">
        <v>5</v>
      </c>
      <c r="G66" s="16" t="s">
        <v>6</v>
      </c>
      <c r="H66" s="16" t="s">
        <v>7</v>
      </c>
      <c r="I66" s="16" t="s">
        <v>8</v>
      </c>
      <c r="J66" s="52" t="s">
        <v>9</v>
      </c>
      <c r="K66" s="52" t="s">
        <v>10</v>
      </c>
      <c r="L66" s="18" t="s">
        <v>11</v>
      </c>
    </row>
    <row r="67" spans="1:12" ht="18.75" customHeight="1" thickBot="1" x14ac:dyDescent="0.3">
      <c r="A67" s="53"/>
      <c r="B67" s="20" t="s">
        <v>12</v>
      </c>
      <c r="C67" s="21">
        <v>42864</v>
      </c>
      <c r="D67" s="40">
        <v>21.440742135000001</v>
      </c>
      <c r="E67" s="23">
        <v>24075</v>
      </c>
      <c r="F67" s="54">
        <v>18.830100000000002</v>
      </c>
      <c r="G67" s="25">
        <v>7.4440101566289218E-2</v>
      </c>
      <c r="H67" s="25">
        <v>7.945723192221843E-2</v>
      </c>
      <c r="I67" s="25">
        <v>6.8487399894356038E-2</v>
      </c>
      <c r="J67" s="25">
        <v>8.5092114847912015E-2</v>
      </c>
      <c r="K67" s="25" t="s">
        <v>40</v>
      </c>
      <c r="L67" s="41">
        <v>7.8545239241882614E-2</v>
      </c>
    </row>
    <row r="68" spans="1:12" ht="20" thickBot="1" x14ac:dyDescent="0.3">
      <c r="A68" s="53"/>
      <c r="B68" s="20" t="s">
        <v>13</v>
      </c>
      <c r="C68" s="21">
        <v>44855</v>
      </c>
      <c r="D68" s="40">
        <v>6.0483198649999999</v>
      </c>
      <c r="E68" s="23">
        <v>16615</v>
      </c>
      <c r="F68" s="54">
        <v>12.3453</v>
      </c>
      <c r="G68" s="55">
        <v>8.1583304859778702E-2</v>
      </c>
      <c r="H68" s="25" t="s">
        <v>40</v>
      </c>
      <c r="I68" s="25" t="s">
        <v>40</v>
      </c>
      <c r="J68" s="25" t="s">
        <v>40</v>
      </c>
      <c r="K68" s="25" t="s">
        <v>40</v>
      </c>
      <c r="L68" s="25">
        <v>7.4952299789794674E-2</v>
      </c>
    </row>
    <row r="69" spans="1:12" ht="20" thickBot="1" x14ac:dyDescent="0.3">
      <c r="A69" s="53"/>
      <c r="B69" s="20" t="s">
        <v>14</v>
      </c>
      <c r="C69" s="21">
        <v>41487</v>
      </c>
      <c r="D69" s="40">
        <v>597.93188998099993</v>
      </c>
      <c r="E69" s="23">
        <v>360755</v>
      </c>
      <c r="F69" s="54">
        <v>27.298100000000002</v>
      </c>
      <c r="G69" s="25">
        <v>8.3451409974003354E-2</v>
      </c>
      <c r="H69" s="25">
        <v>8.2029572752696969E-2</v>
      </c>
      <c r="I69" s="25">
        <v>7.0253816396885105E-2</v>
      </c>
      <c r="J69" s="25">
        <v>8.7944636397531153E-2</v>
      </c>
      <c r="K69" s="25">
        <v>8.4995969492980064E-2</v>
      </c>
      <c r="L69" s="41">
        <v>8.6221270491103189E-2</v>
      </c>
    </row>
    <row r="70" spans="1:12" ht="20" thickBot="1" x14ac:dyDescent="0.3">
      <c r="A70" s="53"/>
      <c r="B70" s="61" t="s">
        <v>15</v>
      </c>
      <c r="C70" s="21">
        <v>40168</v>
      </c>
      <c r="D70" s="40">
        <v>259.13849028200002</v>
      </c>
      <c r="E70" s="23">
        <v>140631</v>
      </c>
      <c r="F70" s="54">
        <v>40.816000000000003</v>
      </c>
      <c r="G70" s="25">
        <v>8.5090375458922521E-2</v>
      </c>
      <c r="H70" s="25">
        <v>8.1619869415826538E-2</v>
      </c>
      <c r="I70" s="25">
        <v>6.9082746443303034E-2</v>
      </c>
      <c r="J70" s="25">
        <v>8.5123972654476354E-2</v>
      </c>
      <c r="K70" s="25">
        <v>8.3081791796052892E-2</v>
      </c>
      <c r="L70" s="41">
        <v>9.3371405778927663E-2</v>
      </c>
    </row>
    <row r="71" spans="1:12" ht="17.25" customHeight="1" thickBot="1" x14ac:dyDescent="0.3">
      <c r="A71" s="53"/>
      <c r="B71" s="20" t="s">
        <v>16</v>
      </c>
      <c r="C71" s="21">
        <v>40161</v>
      </c>
      <c r="D71" s="40">
        <v>56.558782718999993</v>
      </c>
      <c r="E71" s="23">
        <v>32906</v>
      </c>
      <c r="F71" s="54">
        <v>36.683</v>
      </c>
      <c r="G71" s="25">
        <v>8.1042053458285412E-2</v>
      </c>
      <c r="H71" s="25">
        <v>7.8543276862289568E-2</v>
      </c>
      <c r="I71" s="25">
        <v>6.5432654761989006E-2</v>
      </c>
      <c r="J71" s="25">
        <v>8.2654583205344245E-2</v>
      </c>
      <c r="K71" s="25">
        <v>8.0432068319116201E-2</v>
      </c>
      <c r="L71" s="41">
        <v>8.5879073795937622E-2</v>
      </c>
    </row>
    <row r="72" spans="1:12" ht="20" thickBot="1" x14ac:dyDescent="0.3">
      <c r="A72" s="53"/>
      <c r="B72" s="26" t="s">
        <v>17</v>
      </c>
      <c r="C72" s="21">
        <v>41498</v>
      </c>
      <c r="D72" s="40">
        <v>99.575983648999994</v>
      </c>
      <c r="E72" s="23">
        <v>91262</v>
      </c>
      <c r="F72" s="54">
        <v>26.9877</v>
      </c>
      <c r="G72" s="25">
        <v>8.3390872888432277E-2</v>
      </c>
      <c r="H72" s="25">
        <v>7.9530009589036554E-2</v>
      </c>
      <c r="I72" s="25">
        <v>7.4210473253237375E-2</v>
      </c>
      <c r="J72" s="25">
        <v>8.9240552804874085E-2</v>
      </c>
      <c r="K72" s="25">
        <v>8.3775637651519089E-2</v>
      </c>
      <c r="L72" s="41">
        <v>8.541863378518301E-2</v>
      </c>
    </row>
    <row r="73" spans="1:12" ht="20.25" customHeight="1" thickBot="1" x14ac:dyDescent="0.3">
      <c r="A73" s="53"/>
      <c r="B73" s="27" t="s">
        <v>18</v>
      </c>
      <c r="C73" s="21">
        <v>40161</v>
      </c>
      <c r="D73" s="40">
        <v>301.56228845500004</v>
      </c>
      <c r="E73" s="23">
        <v>343487</v>
      </c>
      <c r="F73" s="54">
        <v>39.512599999999999</v>
      </c>
      <c r="G73" s="25">
        <v>8.3106730115567462E-2</v>
      </c>
      <c r="H73" s="25">
        <v>8.0134039513122493E-2</v>
      </c>
      <c r="I73" s="25">
        <v>6.5953016246431684E-2</v>
      </c>
      <c r="J73" s="42">
        <v>8.2880085497656145E-2</v>
      </c>
      <c r="K73" s="25">
        <v>8.0604223483944151E-2</v>
      </c>
      <c r="L73" s="41">
        <v>9.1005926065361287E-2</v>
      </c>
    </row>
    <row r="74" spans="1:12" ht="20.25" customHeight="1" thickBot="1" x14ac:dyDescent="0.3">
      <c r="A74" s="53"/>
      <c r="B74" s="27" t="s">
        <v>19</v>
      </c>
      <c r="C74" s="21">
        <v>44792</v>
      </c>
      <c r="D74" s="40">
        <v>23.193449335000004</v>
      </c>
      <c r="E74" s="23">
        <v>25339</v>
      </c>
      <c r="F74" s="54">
        <v>12.650700000000001</v>
      </c>
      <c r="G74" s="25">
        <v>8.2422095590122701E-2</v>
      </c>
      <c r="H74" s="25">
        <v>8.0356327544847547E-2</v>
      </c>
      <c r="I74" s="25" t="s">
        <v>40</v>
      </c>
      <c r="J74" s="25" t="s">
        <v>40</v>
      </c>
      <c r="K74" s="25" t="s">
        <v>40</v>
      </c>
      <c r="L74" s="41">
        <v>7.9124882311009781E-2</v>
      </c>
    </row>
    <row r="75" spans="1:12" ht="20.25" customHeight="1" thickBot="1" x14ac:dyDescent="0.3">
      <c r="A75" s="53"/>
      <c r="B75" s="27" t="s">
        <v>20</v>
      </c>
      <c r="C75" s="21">
        <v>40161</v>
      </c>
      <c r="D75" s="40">
        <v>46.392795579000001</v>
      </c>
      <c r="E75" s="23">
        <v>41261</v>
      </c>
      <c r="F75" s="54">
        <v>37.366599999999998</v>
      </c>
      <c r="G75" s="25">
        <v>8.4255822928424498E-2</v>
      </c>
      <c r="H75" s="25">
        <v>8.0193181402754346E-2</v>
      </c>
      <c r="I75" s="25">
        <v>6.6407161825733363E-2</v>
      </c>
      <c r="J75" s="42">
        <v>8.359585932778435E-2</v>
      </c>
      <c r="K75" s="25">
        <v>8.0396194506552998E-2</v>
      </c>
      <c r="L75" s="41">
        <v>8.7150755775938796E-2</v>
      </c>
    </row>
    <row r="76" spans="1:12" ht="20" thickBot="1" x14ac:dyDescent="0.3">
      <c r="A76" s="53"/>
      <c r="B76" s="27" t="s">
        <v>21</v>
      </c>
      <c r="C76" s="21">
        <v>45287</v>
      </c>
      <c r="D76" s="40">
        <v>13.713329928</v>
      </c>
      <c r="E76" s="23">
        <v>9422</v>
      </c>
      <c r="F76" s="54">
        <v>11.7668</v>
      </c>
      <c r="G76" s="25">
        <v>9.2117353331538934E-2</v>
      </c>
      <c r="H76" s="56" t="s">
        <v>40</v>
      </c>
      <c r="I76" s="56" t="s">
        <v>40</v>
      </c>
      <c r="J76" s="56" t="s">
        <v>40</v>
      </c>
      <c r="K76" s="56" t="s">
        <v>40</v>
      </c>
      <c r="L76" s="25">
        <v>9.8518678428054715E-2</v>
      </c>
    </row>
    <row r="77" spans="1:12" ht="20.25" customHeight="1" x14ac:dyDescent="0.25">
      <c r="A77" s="53"/>
      <c r="B77" s="43" t="s">
        <v>41</v>
      </c>
      <c r="C77" s="30"/>
      <c r="D77" s="44"/>
      <c r="E77" s="32"/>
      <c r="F77" s="45"/>
      <c r="G77" s="46">
        <v>7.8317221876469834E-2</v>
      </c>
      <c r="H77" s="46">
        <v>7.7718333443842269E-2</v>
      </c>
      <c r="I77" s="46">
        <v>7.0755054025940733E-2</v>
      </c>
      <c r="J77" s="47">
        <v>8.9466248563291773E-2</v>
      </c>
      <c r="K77" s="46">
        <v>8.4478647969509657E-2</v>
      </c>
      <c r="L77" s="48"/>
    </row>
    <row r="78" spans="1:12" ht="17" thickBot="1" x14ac:dyDescent="0.25">
      <c r="B78" s="57"/>
      <c r="L78" s="12"/>
    </row>
    <row r="79" spans="1:12" ht="37.5" customHeight="1" thickBot="1" x14ac:dyDescent="0.25">
      <c r="A79" s="50" t="s">
        <v>29</v>
      </c>
      <c r="B79" s="51" t="s">
        <v>1</v>
      </c>
      <c r="C79" s="16" t="s">
        <v>2</v>
      </c>
      <c r="D79" s="16" t="s">
        <v>3</v>
      </c>
      <c r="E79" s="17" t="s">
        <v>4</v>
      </c>
      <c r="F79" s="15" t="s">
        <v>5</v>
      </c>
      <c r="G79" s="16" t="s">
        <v>6</v>
      </c>
      <c r="H79" s="16" t="s">
        <v>7</v>
      </c>
      <c r="I79" s="16" t="s">
        <v>8</v>
      </c>
      <c r="J79" s="52" t="s">
        <v>9</v>
      </c>
      <c r="K79" s="52" t="s">
        <v>10</v>
      </c>
      <c r="L79" s="18" t="s">
        <v>11</v>
      </c>
    </row>
    <row r="80" spans="1:12" ht="20" thickBot="1" x14ac:dyDescent="0.3">
      <c r="A80" s="53"/>
      <c r="B80" s="20" t="s">
        <v>12</v>
      </c>
      <c r="C80" s="21">
        <v>42864</v>
      </c>
      <c r="D80" s="40">
        <v>39.402157052</v>
      </c>
      <c r="E80" s="23">
        <v>23919</v>
      </c>
      <c r="F80" s="54">
        <v>18.133700000000001</v>
      </c>
      <c r="G80" s="25">
        <v>5.4861377729689575E-2</v>
      </c>
      <c r="H80" s="25">
        <v>8.1950576632157546E-2</v>
      </c>
      <c r="I80" s="25">
        <v>6.4390154859331972E-2</v>
      </c>
      <c r="J80" s="25">
        <v>8.8923575918466113E-2</v>
      </c>
      <c r="K80" s="25" t="s">
        <v>40</v>
      </c>
      <c r="L80" s="41">
        <v>7.3700100308871086E-2</v>
      </c>
    </row>
    <row r="81" spans="1:12" ht="20" thickBot="1" x14ac:dyDescent="0.3">
      <c r="A81" s="53"/>
      <c r="B81" s="20" t="s">
        <v>13</v>
      </c>
      <c r="C81" s="21">
        <v>44855</v>
      </c>
      <c r="D81" s="40">
        <v>8.6194662229999999</v>
      </c>
      <c r="E81" s="23">
        <v>16561</v>
      </c>
      <c r="F81" s="54">
        <v>12.4077</v>
      </c>
      <c r="G81" s="55">
        <v>5.2454344193463509E-2</v>
      </c>
      <c r="H81" s="25" t="s">
        <v>40</v>
      </c>
      <c r="I81" s="25" t="s">
        <v>40</v>
      </c>
      <c r="J81" s="25" t="s">
        <v>40</v>
      </c>
      <c r="K81" s="25" t="s">
        <v>40</v>
      </c>
      <c r="L81" s="25">
        <v>7.6813117022423105E-2</v>
      </c>
    </row>
    <row r="82" spans="1:12" ht="20" thickBot="1" x14ac:dyDescent="0.3">
      <c r="A82" s="53"/>
      <c r="B82" s="20" t="s">
        <v>14</v>
      </c>
      <c r="C82" s="21">
        <v>41487</v>
      </c>
      <c r="D82" s="40">
        <v>893.76974403400004</v>
      </c>
      <c r="E82" s="23">
        <v>356739</v>
      </c>
      <c r="F82" s="54">
        <v>28.399899999999999</v>
      </c>
      <c r="G82" s="25">
        <v>5.0070806080079189E-2</v>
      </c>
      <c r="H82" s="25">
        <v>8.0690010149048419E-2</v>
      </c>
      <c r="I82" s="25">
        <v>6.1975527402567288E-2</v>
      </c>
      <c r="J82" s="25">
        <v>8.8138659983253209E-2</v>
      </c>
      <c r="K82" s="25">
        <v>8.1597860691899893E-2</v>
      </c>
      <c r="L82" s="41">
        <v>8.9766701544900851E-2</v>
      </c>
    </row>
    <row r="83" spans="1:12" ht="20" thickBot="1" x14ac:dyDescent="0.3">
      <c r="A83" s="53"/>
      <c r="B83" s="27" t="s">
        <v>15</v>
      </c>
      <c r="C83" s="21">
        <v>40177</v>
      </c>
      <c r="D83" s="40">
        <v>399.62937734100001</v>
      </c>
      <c r="E83" s="23">
        <v>137955</v>
      </c>
      <c r="F83" s="54">
        <v>36.001399999999997</v>
      </c>
      <c r="G83" s="25">
        <v>5.5245833406611489E-2</v>
      </c>
      <c r="H83" s="25">
        <v>8.1062370715612619E-2</v>
      </c>
      <c r="I83" s="25">
        <v>6.3251516396388263E-2</v>
      </c>
      <c r="J83" s="42">
        <v>8.7657734667967654E-2</v>
      </c>
      <c r="K83" s="25">
        <v>8.1897131029407641E-2</v>
      </c>
      <c r="L83" s="41">
        <v>8.4834251125464277E-2</v>
      </c>
    </row>
    <row r="84" spans="1:12" ht="20" thickBot="1" x14ac:dyDescent="0.3">
      <c r="A84" s="53"/>
      <c r="B84" s="20" t="s">
        <v>16</v>
      </c>
      <c r="C84" s="21">
        <v>40161</v>
      </c>
      <c r="D84" s="40">
        <v>96.300558691999996</v>
      </c>
      <c r="E84" s="23">
        <v>32585</v>
      </c>
      <c r="F84" s="54">
        <v>34.312199999999997</v>
      </c>
      <c r="G84" s="25">
        <v>4.2271404530901613E-2</v>
      </c>
      <c r="H84" s="25">
        <v>7.6446143733532645E-2</v>
      </c>
      <c r="I84" s="25">
        <v>6.0731370485986869E-2</v>
      </c>
      <c r="J84" s="42">
        <v>8.4995729485313198E-2</v>
      </c>
      <c r="K84" s="25">
        <v>8.0124349626857091E-2</v>
      </c>
      <c r="L84" s="41">
        <v>8.1289833908249065E-2</v>
      </c>
    </row>
    <row r="85" spans="1:12" ht="20" thickBot="1" x14ac:dyDescent="0.3">
      <c r="A85" s="53"/>
      <c r="B85" s="26" t="s">
        <v>17</v>
      </c>
      <c r="C85" s="21">
        <v>41498</v>
      </c>
      <c r="D85" s="40">
        <v>312.19901426799998</v>
      </c>
      <c r="E85" s="23">
        <v>96290</v>
      </c>
      <c r="F85" s="54">
        <v>30.983499999999999</v>
      </c>
      <c r="G85" s="25">
        <v>5.9478664072411203E-2</v>
      </c>
      <c r="H85" s="25">
        <v>8.3144642193984306E-2</v>
      </c>
      <c r="I85" s="25">
        <v>6.5234334128856375E-2</v>
      </c>
      <c r="J85" s="25">
        <v>9.5567728212766281E-2</v>
      </c>
      <c r="K85" s="25">
        <v>8.9338153540418505E-2</v>
      </c>
      <c r="L85" s="41">
        <v>9.7862575557088327E-2</v>
      </c>
    </row>
    <row r="86" spans="1:12" ht="20" thickBot="1" x14ac:dyDescent="0.3">
      <c r="A86" s="53"/>
      <c r="B86" s="27" t="s">
        <v>18</v>
      </c>
      <c r="C86" s="21">
        <v>40161</v>
      </c>
      <c r="D86" s="40">
        <v>634.63541955400001</v>
      </c>
      <c r="E86" s="23">
        <v>345844</v>
      </c>
      <c r="F86" s="54">
        <v>38.781700000000001</v>
      </c>
      <c r="G86" s="25">
        <v>5.9010341145854683E-2</v>
      </c>
      <c r="H86" s="25">
        <v>8.4609663255013956E-2</v>
      </c>
      <c r="I86" s="25">
        <v>6.4040312743372185E-2</v>
      </c>
      <c r="J86" s="42">
        <v>8.8323068178055131E-2</v>
      </c>
      <c r="K86" s="25">
        <v>8.2568207516625622E-2</v>
      </c>
      <c r="L86" s="41">
        <v>8.9715414920151768E-2</v>
      </c>
    </row>
    <row r="87" spans="1:12" ht="20" thickBot="1" x14ac:dyDescent="0.3">
      <c r="A87" s="53"/>
      <c r="B87" s="27" t="s">
        <v>19</v>
      </c>
      <c r="C87" s="21">
        <v>44792</v>
      </c>
      <c r="D87" s="40">
        <v>25.443067331999998</v>
      </c>
      <c r="E87" s="23">
        <v>25267</v>
      </c>
      <c r="F87" s="54">
        <v>12.685700000000001</v>
      </c>
      <c r="G87" s="25">
        <v>4.8127767863044513E-2</v>
      </c>
      <c r="H87" s="25">
        <v>8.1358916741591583E-2</v>
      </c>
      <c r="I87" s="25" t="s">
        <v>40</v>
      </c>
      <c r="J87" s="25" t="s">
        <v>40</v>
      </c>
      <c r="K87" s="25" t="s">
        <v>40</v>
      </c>
      <c r="L87" s="41">
        <v>8.0090907343954645E-2</v>
      </c>
    </row>
    <row r="88" spans="1:12" ht="20" thickBot="1" x14ac:dyDescent="0.3">
      <c r="A88" s="53"/>
      <c r="B88" s="27" t="s">
        <v>20</v>
      </c>
      <c r="C88" s="21">
        <v>40161</v>
      </c>
      <c r="D88" s="40">
        <v>91.899854199999993</v>
      </c>
      <c r="E88" s="23">
        <v>41307</v>
      </c>
      <c r="F88" s="54">
        <v>37.3489</v>
      </c>
      <c r="G88" s="25">
        <v>5.9308862152488206E-2</v>
      </c>
      <c r="H88" s="25">
        <v>8.2039804885509118E-2</v>
      </c>
      <c r="I88" s="25">
        <v>6.3017457851278103E-2</v>
      </c>
      <c r="J88" s="42">
        <v>8.7820488830915297E-2</v>
      </c>
      <c r="K88" s="25">
        <v>8.0933782461773962E-2</v>
      </c>
      <c r="L88" s="41">
        <v>8.7118104736066973E-2</v>
      </c>
    </row>
    <row r="89" spans="1:12" ht="20" thickBot="1" x14ac:dyDescent="0.3">
      <c r="A89" s="53"/>
      <c r="B89" s="27" t="s">
        <v>21</v>
      </c>
      <c r="C89" s="21">
        <v>45287</v>
      </c>
      <c r="D89" s="40">
        <v>18.025823305999999</v>
      </c>
      <c r="E89" s="23">
        <v>9249</v>
      </c>
      <c r="F89" s="54">
        <v>11.5014</v>
      </c>
      <c r="G89" s="25">
        <v>7.2931825814396056E-2</v>
      </c>
      <c r="H89" s="56" t="s">
        <v>40</v>
      </c>
      <c r="I89" s="56" t="s">
        <v>40</v>
      </c>
      <c r="J89" s="56" t="s">
        <v>40</v>
      </c>
      <c r="K89" s="56" t="s">
        <v>40</v>
      </c>
      <c r="L89" s="25">
        <v>8.4140219559320398E-2</v>
      </c>
    </row>
    <row r="90" spans="1:12" ht="19" x14ac:dyDescent="0.25">
      <c r="A90" s="53"/>
      <c r="B90" s="43" t="s">
        <v>41</v>
      </c>
      <c r="C90" s="63"/>
      <c r="D90" s="44"/>
      <c r="E90" s="32"/>
      <c r="F90" s="45"/>
      <c r="G90" s="46">
        <v>5.9792288029856255E-2</v>
      </c>
      <c r="H90" s="46">
        <v>8.3648769823720714E-2</v>
      </c>
      <c r="I90" s="46">
        <v>6.1594142229175697E-2</v>
      </c>
      <c r="J90" s="47">
        <v>8.6560488795376589E-2</v>
      </c>
      <c r="K90" s="46">
        <v>7.9223654890406836E-2</v>
      </c>
      <c r="L90" s="48"/>
    </row>
    <row r="91" spans="1:12" ht="24.75" customHeight="1" thickBot="1" x14ac:dyDescent="0.25">
      <c r="B91" s="57"/>
      <c r="L91" s="12"/>
    </row>
    <row r="92" spans="1:12" ht="37.5" customHeight="1" thickBot="1" x14ac:dyDescent="0.25">
      <c r="A92" s="64" t="s">
        <v>30</v>
      </c>
      <c r="B92" s="51" t="s">
        <v>1</v>
      </c>
      <c r="C92" s="16" t="s">
        <v>2</v>
      </c>
      <c r="D92" s="16" t="s">
        <v>3</v>
      </c>
      <c r="E92" s="17" t="s">
        <v>4</v>
      </c>
      <c r="F92" s="15" t="s">
        <v>5</v>
      </c>
      <c r="G92" s="16" t="s">
        <v>6</v>
      </c>
      <c r="H92" s="16" t="s">
        <v>7</v>
      </c>
      <c r="I92" s="16" t="s">
        <v>8</v>
      </c>
      <c r="J92" s="52" t="s">
        <v>9</v>
      </c>
      <c r="K92" s="52" t="s">
        <v>10</v>
      </c>
      <c r="L92" s="18" t="s">
        <v>11</v>
      </c>
    </row>
    <row r="93" spans="1:12" ht="20" thickBot="1" x14ac:dyDescent="0.3">
      <c r="A93" s="65"/>
      <c r="B93" s="26" t="s">
        <v>17</v>
      </c>
      <c r="C93" s="21">
        <v>39539</v>
      </c>
      <c r="D93" s="66">
        <v>115996.87262609099</v>
      </c>
      <c r="E93" s="23">
        <v>2313408</v>
      </c>
      <c r="F93" s="54">
        <v>48.154499999999999</v>
      </c>
      <c r="G93" s="67">
        <v>6.0139401357908184E-2</v>
      </c>
      <c r="H93" s="67">
        <v>9.2879173845484608E-2</v>
      </c>
      <c r="I93" s="67">
        <v>8.4828851117908055E-2</v>
      </c>
      <c r="J93" s="68">
        <v>9.4905729783875112E-2</v>
      </c>
      <c r="K93" s="68">
        <v>8.985104108579689E-2</v>
      </c>
      <c r="L93" s="67">
        <v>9.4091583559743786E-2</v>
      </c>
    </row>
    <row r="94" spans="1:12" ht="20" thickBot="1" x14ac:dyDescent="0.3">
      <c r="A94" s="65"/>
      <c r="B94" s="27" t="s">
        <v>18</v>
      </c>
      <c r="C94" s="21">
        <v>39539</v>
      </c>
      <c r="D94" s="69">
        <v>121204.906333846</v>
      </c>
      <c r="E94" s="23">
        <v>2313408</v>
      </c>
      <c r="F94" s="54">
        <v>49.289499999999997</v>
      </c>
      <c r="G94" s="41">
        <v>6.0461323642998055E-2</v>
      </c>
      <c r="H94" s="41">
        <v>9.1607897645188174E-2</v>
      </c>
      <c r="I94" s="41">
        <v>8.1834154533119582E-2</v>
      </c>
      <c r="J94" s="42">
        <v>9.4191454808366881E-2</v>
      </c>
      <c r="K94" s="42">
        <v>8.9480548624627301E-2</v>
      </c>
      <c r="L94" s="41">
        <v>9.5550752923197133E-2</v>
      </c>
    </row>
    <row r="95" spans="1:12" ht="20" thickBot="1" x14ac:dyDescent="0.3">
      <c r="A95" s="65"/>
      <c r="B95" s="27" t="s">
        <v>20</v>
      </c>
      <c r="C95" s="21">
        <v>39539</v>
      </c>
      <c r="D95" s="66">
        <v>114924.32057738901</v>
      </c>
      <c r="E95" s="23">
        <v>2313408</v>
      </c>
      <c r="F95" s="54">
        <v>47.9544</v>
      </c>
      <c r="G95" s="41">
        <v>6.0635349645786984E-2</v>
      </c>
      <c r="H95" s="41">
        <v>9.3252312440022175E-2</v>
      </c>
      <c r="I95" s="41">
        <v>8.4351727302937274E-2</v>
      </c>
      <c r="J95" s="42">
        <v>9.4612089771944685E-2</v>
      </c>
      <c r="K95" s="42">
        <v>9.0337191145192217E-2</v>
      </c>
      <c r="L95" s="41">
        <v>9.3830975262077398E-2</v>
      </c>
    </row>
    <row r="96" spans="1:12" ht="19" x14ac:dyDescent="0.25">
      <c r="A96" s="65"/>
      <c r="B96" s="43" t="s">
        <v>41</v>
      </c>
      <c r="C96" s="70"/>
      <c r="D96" s="71"/>
      <c r="E96" s="72"/>
      <c r="F96" s="45"/>
      <c r="G96" s="48">
        <v>5.724124232923633E-2</v>
      </c>
      <c r="H96" s="48">
        <v>9.2191716733764917E-2</v>
      </c>
      <c r="I96" s="48">
        <v>8.4477000870959218E-2</v>
      </c>
      <c r="J96" s="47">
        <v>9.7169363284691945E-2</v>
      </c>
      <c r="K96" s="47">
        <v>9.0268915936807748E-2</v>
      </c>
      <c r="L96" s="48"/>
    </row>
    <row r="97" spans="1:12" ht="17" thickBot="1" x14ac:dyDescent="0.25">
      <c r="B97" s="57"/>
      <c r="L97" s="12"/>
    </row>
    <row r="98" spans="1:12" ht="37.5" customHeight="1" thickBot="1" x14ac:dyDescent="0.25">
      <c r="A98" s="50" t="s">
        <v>31</v>
      </c>
      <c r="B98" s="51" t="s">
        <v>1</v>
      </c>
      <c r="C98" s="16" t="s">
        <v>2</v>
      </c>
      <c r="D98" s="16" t="s">
        <v>3</v>
      </c>
      <c r="E98" s="17" t="s">
        <v>4</v>
      </c>
      <c r="F98" s="15" t="s">
        <v>5</v>
      </c>
      <c r="G98" s="16" t="s">
        <v>6</v>
      </c>
      <c r="H98" s="16" t="s">
        <v>7</v>
      </c>
      <c r="I98" s="16" t="s">
        <v>8</v>
      </c>
      <c r="J98" s="52" t="s">
        <v>9</v>
      </c>
      <c r="K98" s="52" t="s">
        <v>10</v>
      </c>
      <c r="L98" s="18" t="s">
        <v>11</v>
      </c>
    </row>
    <row r="99" spans="1:12" ht="20" thickBot="1" x14ac:dyDescent="0.3">
      <c r="A99" s="53"/>
      <c r="B99" s="26" t="s">
        <v>17</v>
      </c>
      <c r="C99" s="73">
        <v>39989</v>
      </c>
      <c r="D99" s="66">
        <v>251446.83841841202</v>
      </c>
      <c r="E99" s="23">
        <v>7002430</v>
      </c>
      <c r="F99" s="54">
        <v>42.843400000000003</v>
      </c>
      <c r="G99" s="67">
        <v>5.9968579522260423E-2</v>
      </c>
      <c r="H99" s="67">
        <v>9.2726984808298774E-2</v>
      </c>
      <c r="I99" s="67">
        <v>8.4261294150846933E-2</v>
      </c>
      <c r="J99" s="68">
        <v>9.4525082300673358E-2</v>
      </c>
      <c r="K99" s="68">
        <v>8.9210029978746844E-2</v>
      </c>
      <c r="L99" s="67">
        <v>9.3687784689515427E-2</v>
      </c>
    </row>
    <row r="100" spans="1:12" ht="20" thickBot="1" x14ac:dyDescent="0.3">
      <c r="A100" s="53"/>
      <c r="B100" s="27" t="s">
        <v>18</v>
      </c>
      <c r="C100" s="21">
        <v>39989</v>
      </c>
      <c r="D100" s="69">
        <v>255080.88565162002</v>
      </c>
      <c r="E100" s="23">
        <v>7002417</v>
      </c>
      <c r="F100" s="54">
        <v>42.254100000000001</v>
      </c>
      <c r="G100" s="41">
        <v>5.7499887377804981E-2</v>
      </c>
      <c r="H100" s="41">
        <v>9.1252494013034369E-2</v>
      </c>
      <c r="I100" s="41">
        <v>8.1008030746037019E-2</v>
      </c>
      <c r="J100" s="42">
        <v>9.4022165537610114E-2</v>
      </c>
      <c r="K100" s="42">
        <v>8.9239490502659211E-2</v>
      </c>
      <c r="L100" s="41">
        <v>9.2755812387858474E-2</v>
      </c>
    </row>
    <row r="101" spans="1:12" ht="20" thickBot="1" x14ac:dyDescent="0.3">
      <c r="A101" s="53"/>
      <c r="B101" s="27" t="s">
        <v>20</v>
      </c>
      <c r="C101" s="21">
        <v>39989</v>
      </c>
      <c r="D101" s="66">
        <v>244541.563120165</v>
      </c>
      <c r="E101" s="23">
        <v>7002418</v>
      </c>
      <c r="F101" s="54">
        <v>42.687600000000003</v>
      </c>
      <c r="G101" s="41">
        <v>6.0482448513154319E-2</v>
      </c>
      <c r="H101" s="41">
        <v>9.3384553690875935E-2</v>
      </c>
      <c r="I101" s="41">
        <v>8.424403330147312E-2</v>
      </c>
      <c r="J101" s="42">
        <v>9.4636160478920109E-2</v>
      </c>
      <c r="K101" s="42">
        <v>9.0014530368473178E-2</v>
      </c>
      <c r="L101" s="41">
        <v>9.3442563937374809E-2</v>
      </c>
    </row>
    <row r="102" spans="1:12" ht="19" x14ac:dyDescent="0.25">
      <c r="A102" s="53"/>
      <c r="B102" s="43" t="s">
        <v>41</v>
      </c>
      <c r="C102" s="30"/>
      <c r="D102" s="71"/>
      <c r="E102" s="72"/>
      <c r="F102" s="45"/>
      <c r="G102" s="48">
        <v>5.724124232923633E-2</v>
      </c>
      <c r="H102" s="48">
        <v>9.2191716733764917E-2</v>
      </c>
      <c r="I102" s="48">
        <v>8.4477000870959218E-2</v>
      </c>
      <c r="J102" s="47">
        <v>9.7169363284691945E-2</v>
      </c>
      <c r="K102" s="47">
        <v>9.0268915936807748E-2</v>
      </c>
      <c r="L102" s="48"/>
    </row>
    <row r="103" spans="1:12" ht="17" thickBot="1" x14ac:dyDescent="0.25">
      <c r="B103" s="57"/>
      <c r="L103" s="12"/>
    </row>
    <row r="104" spans="1:12" ht="41" thickBot="1" x14ac:dyDescent="0.25">
      <c r="A104" s="74" t="s">
        <v>32</v>
      </c>
      <c r="B104" s="51" t="s">
        <v>1</v>
      </c>
      <c r="C104" s="16" t="s">
        <v>2</v>
      </c>
      <c r="D104" s="16" t="s">
        <v>3</v>
      </c>
      <c r="E104" s="17" t="s">
        <v>4</v>
      </c>
      <c r="F104" s="15" t="s">
        <v>5</v>
      </c>
      <c r="G104" s="16" t="s">
        <v>6</v>
      </c>
      <c r="H104" s="16" t="s">
        <v>7</v>
      </c>
      <c r="I104" s="16" t="s">
        <v>8</v>
      </c>
      <c r="J104" s="52" t="s">
        <v>9</v>
      </c>
      <c r="K104" s="52" t="s">
        <v>10</v>
      </c>
      <c r="L104" s="18" t="s">
        <v>11</v>
      </c>
    </row>
    <row r="105" spans="1:12" ht="20" thickBot="1" x14ac:dyDescent="0.3">
      <c r="A105" s="75"/>
      <c r="B105" s="26" t="s">
        <v>17</v>
      </c>
      <c r="C105" s="21">
        <v>41218</v>
      </c>
      <c r="D105" s="66">
        <v>4792.6807486500002</v>
      </c>
      <c r="E105" s="76">
        <v>32051</v>
      </c>
      <c r="F105" s="54">
        <v>31.725300000000001</v>
      </c>
      <c r="G105" s="67">
        <v>5.7414832665060089E-2</v>
      </c>
      <c r="H105" s="67">
        <v>9.1720695330148802E-2</v>
      </c>
      <c r="I105" s="67">
        <v>8.5056221891774766E-2</v>
      </c>
      <c r="J105" s="77">
        <v>9.5744218133145362E-2</v>
      </c>
      <c r="K105" s="77">
        <v>9.0070052042388049E-2</v>
      </c>
      <c r="L105" s="67">
        <v>9.3780901505368774E-2</v>
      </c>
    </row>
    <row r="106" spans="1:12" ht="20" thickBot="1" x14ac:dyDescent="0.3">
      <c r="A106" s="75"/>
      <c r="B106" s="27" t="s">
        <v>18</v>
      </c>
      <c r="C106" s="21">
        <v>41214</v>
      </c>
      <c r="D106" s="69">
        <v>91560.430433625006</v>
      </c>
      <c r="E106" s="23">
        <v>565625</v>
      </c>
      <c r="F106" s="54">
        <v>31.353400000000001</v>
      </c>
      <c r="G106" s="41">
        <v>5.4899282342530942E-2</v>
      </c>
      <c r="H106" s="41">
        <v>9.0886528483518317E-2</v>
      </c>
      <c r="I106" s="41">
        <v>8.0749582917792426E-2</v>
      </c>
      <c r="J106" s="25">
        <v>9.3918635982590745E-2</v>
      </c>
      <c r="K106" s="25">
        <v>8.9496895804698884E-2</v>
      </c>
      <c r="L106" s="41">
        <v>9.2698373036891546E-2</v>
      </c>
    </row>
    <row r="107" spans="1:12" ht="19" x14ac:dyDescent="0.25">
      <c r="A107" s="78"/>
      <c r="B107" s="43" t="s">
        <v>41</v>
      </c>
      <c r="C107" s="30"/>
      <c r="D107" s="79"/>
      <c r="E107" s="32"/>
      <c r="F107" s="45"/>
      <c r="G107" s="48">
        <v>5.724124232923633E-2</v>
      </c>
      <c r="H107" s="48">
        <v>9.2191716733764917E-2</v>
      </c>
      <c r="I107" s="48">
        <v>8.4477000870959218E-2</v>
      </c>
      <c r="J107" s="46">
        <v>9.7169363284691945E-2</v>
      </c>
      <c r="K107" s="46">
        <v>9.0268915936807748E-2</v>
      </c>
      <c r="L107" s="48"/>
    </row>
    <row r="108" spans="1:12" ht="17" thickBot="1" x14ac:dyDescent="0.25">
      <c r="B108" s="57"/>
      <c r="L108" s="12"/>
    </row>
    <row r="109" spans="1:12" ht="41" thickBot="1" x14ac:dyDescent="0.25">
      <c r="A109" s="80" t="s">
        <v>33</v>
      </c>
      <c r="B109" s="51" t="s">
        <v>1</v>
      </c>
      <c r="C109" s="16" t="s">
        <v>2</v>
      </c>
      <c r="D109" s="16" t="s">
        <v>3</v>
      </c>
      <c r="E109" s="17" t="s">
        <v>4</v>
      </c>
      <c r="F109" s="15" t="s">
        <v>5</v>
      </c>
      <c r="G109" s="16" t="s">
        <v>6</v>
      </c>
      <c r="H109" s="16" t="s">
        <v>7</v>
      </c>
      <c r="I109" s="16" t="s">
        <v>8</v>
      </c>
      <c r="J109" s="52" t="s">
        <v>9</v>
      </c>
      <c r="K109" s="52" t="s">
        <v>10</v>
      </c>
      <c r="L109" s="81" t="s">
        <v>11</v>
      </c>
    </row>
    <row r="110" spans="1:12" ht="20" thickBot="1" x14ac:dyDescent="0.3">
      <c r="A110" s="82"/>
      <c r="B110" s="20" t="s">
        <v>16</v>
      </c>
      <c r="C110" s="21">
        <v>40938</v>
      </c>
      <c r="D110" s="66">
        <v>97.970041749999993</v>
      </c>
      <c r="E110" s="23">
        <v>21857</v>
      </c>
      <c r="F110" s="54">
        <v>34.775399999999998</v>
      </c>
      <c r="G110" s="41">
        <v>6.1044037016356967E-2</v>
      </c>
      <c r="H110" s="41">
        <v>9.4752303172578531E-2</v>
      </c>
      <c r="I110" s="41">
        <v>8.6462310769621423E-2</v>
      </c>
      <c r="J110" s="42">
        <v>9.4229936604877107E-2</v>
      </c>
      <c r="K110" s="25">
        <v>8.9405235074764486E-2</v>
      </c>
      <c r="L110" s="83">
        <v>9.5629172630598239E-2</v>
      </c>
    </row>
    <row r="111" spans="1:12" ht="20" thickBot="1" x14ac:dyDescent="0.3">
      <c r="A111" s="82"/>
      <c r="B111" s="26" t="s">
        <v>17</v>
      </c>
      <c r="C111" s="21">
        <v>40455</v>
      </c>
      <c r="D111" s="66">
        <v>1847.182818477</v>
      </c>
      <c r="E111" s="23">
        <v>2634786</v>
      </c>
      <c r="F111" s="54">
        <v>39.8459</v>
      </c>
      <c r="G111" s="41">
        <v>5.91285810735378E-2</v>
      </c>
      <c r="H111" s="41">
        <v>9.0628304171284521E-2</v>
      </c>
      <c r="I111" s="41">
        <v>8.4804664956561915E-2</v>
      </c>
      <c r="J111" s="42">
        <v>9.5328915438571915E-2</v>
      </c>
      <c r="K111" s="25">
        <v>9.0730190703725899E-2</v>
      </c>
      <c r="L111" s="83">
        <v>9.6746241119969323E-2</v>
      </c>
    </row>
    <row r="112" spans="1:12" ht="20" thickBot="1" x14ac:dyDescent="0.3">
      <c r="A112" s="82"/>
      <c r="B112" s="27" t="s">
        <v>18</v>
      </c>
      <c r="C112" s="21">
        <v>40437</v>
      </c>
      <c r="D112" s="66">
        <v>2540.4412826869998</v>
      </c>
      <c r="E112" s="23">
        <v>3325875</v>
      </c>
      <c r="F112" s="54">
        <v>39.8035</v>
      </c>
      <c r="G112" s="41">
        <v>5.8890975743419949E-2</v>
      </c>
      <c r="H112" s="41">
        <v>9.1559004514789807E-2</v>
      </c>
      <c r="I112" s="41">
        <v>8.2009281958574043E-2</v>
      </c>
      <c r="J112" s="42">
        <v>9.3288050689692023E-2</v>
      </c>
      <c r="K112" s="25">
        <v>8.9240068319759627E-2</v>
      </c>
      <c r="L112" s="83">
        <v>9.6336015507934261E-2</v>
      </c>
    </row>
    <row r="113" spans="1:12" ht="20" thickBot="1" x14ac:dyDescent="0.3">
      <c r="A113" s="84"/>
      <c r="B113" s="27" t="s">
        <v>20</v>
      </c>
      <c r="C113" s="21">
        <v>40455</v>
      </c>
      <c r="D113" s="66">
        <v>1813.039911912</v>
      </c>
      <c r="E113" s="23">
        <v>2634811</v>
      </c>
      <c r="F113" s="54">
        <v>39.6267</v>
      </c>
      <c r="G113" s="41">
        <v>5.9928529778367379E-2</v>
      </c>
      <c r="H113" s="41">
        <v>9.2170670687668169E-2</v>
      </c>
      <c r="I113" s="41">
        <v>8.4503793656630175E-2</v>
      </c>
      <c r="J113" s="42">
        <v>9.3711100086027135E-2</v>
      </c>
      <c r="K113" s="25">
        <v>8.9714193385129093E-2</v>
      </c>
      <c r="L113" s="85">
        <v>9.6342165602654392E-2</v>
      </c>
    </row>
    <row r="114" spans="1:12" ht="19" x14ac:dyDescent="0.25">
      <c r="A114" s="86"/>
      <c r="B114" s="43" t="s">
        <v>41</v>
      </c>
      <c r="C114" s="70"/>
      <c r="D114" s="71"/>
      <c r="E114" s="72"/>
      <c r="F114" s="45"/>
      <c r="G114" s="48">
        <v>5.724124232923633E-2</v>
      </c>
      <c r="H114" s="48">
        <v>9.2191716733764917E-2</v>
      </c>
      <c r="I114" s="48">
        <v>8.4477000870959218E-2</v>
      </c>
      <c r="J114" s="47">
        <v>9.7169363284691945E-2</v>
      </c>
      <c r="K114" s="46">
        <v>9.0268915936807748E-2</v>
      </c>
      <c r="L114" s="48"/>
    </row>
    <row r="115" spans="1:12" ht="17" thickBot="1" x14ac:dyDescent="0.25">
      <c r="B115" s="57"/>
      <c r="L115" s="12"/>
    </row>
    <row r="116" spans="1:12" ht="41" thickBot="1" x14ac:dyDescent="0.25">
      <c r="A116" s="80" t="s">
        <v>34</v>
      </c>
      <c r="B116" s="51" t="s">
        <v>1</v>
      </c>
      <c r="C116" s="16" t="s">
        <v>2</v>
      </c>
      <c r="D116" s="16" t="s">
        <v>3</v>
      </c>
      <c r="E116" s="17" t="s">
        <v>35</v>
      </c>
      <c r="F116" s="15" t="s">
        <v>5</v>
      </c>
      <c r="G116" s="16" t="s">
        <v>6</v>
      </c>
      <c r="H116" s="16" t="s">
        <v>7</v>
      </c>
      <c r="I116" s="16" t="s">
        <v>8</v>
      </c>
      <c r="J116" s="52" t="s">
        <v>9</v>
      </c>
      <c r="K116" s="52" t="s">
        <v>10</v>
      </c>
      <c r="L116" s="18" t="s">
        <v>11</v>
      </c>
    </row>
    <row r="117" spans="1:12" ht="20" thickBot="1" x14ac:dyDescent="0.3">
      <c r="A117" s="82"/>
      <c r="B117" s="26" t="s">
        <v>17</v>
      </c>
      <c r="C117" s="21">
        <v>42159</v>
      </c>
      <c r="D117" s="66">
        <v>16595.184812433999</v>
      </c>
      <c r="E117" s="23">
        <v>68788645</v>
      </c>
      <c r="F117" s="54">
        <v>24.570900000000002</v>
      </c>
      <c r="G117" s="67">
        <v>5.8278562137670242E-2</v>
      </c>
      <c r="H117" s="67">
        <v>9.2592583753651633E-2</v>
      </c>
      <c r="I117" s="77">
        <v>8.4253427819819926E-2</v>
      </c>
      <c r="J117" s="77">
        <v>9.6559505645918975E-2</v>
      </c>
      <c r="K117" s="77">
        <v>9.0302009838882244E-2</v>
      </c>
      <c r="L117" s="67">
        <v>9.1188843807496145E-2</v>
      </c>
    </row>
    <row r="118" spans="1:12" ht="20" thickBot="1" x14ac:dyDescent="0.3">
      <c r="A118" s="82"/>
      <c r="B118" s="27" t="s">
        <v>18</v>
      </c>
      <c r="C118" s="21">
        <v>42159</v>
      </c>
      <c r="D118" s="66">
        <v>16517.074623663</v>
      </c>
      <c r="E118" s="23">
        <v>68788645</v>
      </c>
      <c r="F118" s="54">
        <v>23.8872</v>
      </c>
      <c r="G118" s="41">
        <v>5.5806511496335753E-2</v>
      </c>
      <c r="H118" s="41">
        <v>9.034298297843367E-2</v>
      </c>
      <c r="I118" s="25">
        <v>8.0504619068411998E-2</v>
      </c>
      <c r="J118" s="25">
        <v>9.4933566383653703E-2</v>
      </c>
      <c r="K118" s="25">
        <v>9.0956427547827415E-2</v>
      </c>
      <c r="L118" s="41">
        <v>8.8203679618685124E-2</v>
      </c>
    </row>
    <row r="119" spans="1:12" ht="44.25" customHeight="1" thickBot="1" x14ac:dyDescent="0.3">
      <c r="A119" s="84"/>
      <c r="B119" s="27" t="s">
        <v>20</v>
      </c>
      <c r="C119" s="21">
        <v>42159</v>
      </c>
      <c r="D119" s="66">
        <v>15959.433919628</v>
      </c>
      <c r="E119" s="23">
        <v>68788645</v>
      </c>
      <c r="F119" s="54">
        <v>24.519100000000002</v>
      </c>
      <c r="G119" s="41">
        <v>6.0551403162739215E-2</v>
      </c>
      <c r="H119" s="41">
        <v>9.3420793162061214E-2</v>
      </c>
      <c r="I119" s="41">
        <v>8.3112412546842318E-2</v>
      </c>
      <c r="J119" s="41">
        <v>9.4939759448061878E-2</v>
      </c>
      <c r="K119" s="25">
        <v>9.0360927669735927E-2</v>
      </c>
      <c r="L119" s="41">
        <v>9.0965318173352294E-2</v>
      </c>
    </row>
    <row r="120" spans="1:12" ht="19" x14ac:dyDescent="0.25">
      <c r="A120" s="86"/>
      <c r="B120" s="43" t="s">
        <v>41</v>
      </c>
      <c r="C120" s="70"/>
      <c r="D120" s="71"/>
      <c r="E120" s="87"/>
      <c r="F120" s="48"/>
      <c r="G120" s="48">
        <v>5.724124232923633E-2</v>
      </c>
      <c r="H120" s="48">
        <v>9.2191716733764917E-2</v>
      </c>
      <c r="I120" s="48">
        <v>8.4477000870959218E-2</v>
      </c>
      <c r="J120" s="48">
        <v>9.7169363284691945E-2</v>
      </c>
      <c r="K120" s="46">
        <v>9.0268915936807748E-2</v>
      </c>
      <c r="L120" s="48"/>
    </row>
    <row r="121" spans="1:12" ht="16" thickBot="1" x14ac:dyDescent="0.25">
      <c r="L121" s="12"/>
    </row>
    <row r="122" spans="1:12" ht="37.5" customHeight="1" thickBot="1" x14ac:dyDescent="0.25">
      <c r="A122" s="64" t="s">
        <v>36</v>
      </c>
      <c r="B122" s="15" t="s">
        <v>1</v>
      </c>
      <c r="C122" s="16" t="s">
        <v>2</v>
      </c>
      <c r="D122" s="16" t="s">
        <v>3</v>
      </c>
      <c r="E122" s="17" t="s">
        <v>4</v>
      </c>
      <c r="F122" s="15" t="s">
        <v>5</v>
      </c>
      <c r="G122" s="16" t="s">
        <v>6</v>
      </c>
      <c r="H122" s="16" t="s">
        <v>7</v>
      </c>
      <c r="I122" s="16" t="s">
        <v>8</v>
      </c>
      <c r="J122" s="16" t="s">
        <v>9</v>
      </c>
      <c r="K122" s="16" t="s">
        <v>10</v>
      </c>
      <c r="L122" s="18" t="s">
        <v>11</v>
      </c>
    </row>
    <row r="123" spans="1:12" ht="20" thickBot="1" x14ac:dyDescent="0.3">
      <c r="A123" s="65"/>
      <c r="B123" s="20" t="s">
        <v>12</v>
      </c>
      <c r="C123" s="21">
        <v>44076</v>
      </c>
      <c r="D123" s="69">
        <v>1.031579059</v>
      </c>
      <c r="E123" s="23">
        <v>911</v>
      </c>
      <c r="F123" s="54">
        <v>14.859500000000001</v>
      </c>
      <c r="G123" s="41">
        <v>3.9874874909900271E-2</v>
      </c>
      <c r="H123" s="25">
        <v>9.3270275732638908E-2</v>
      </c>
      <c r="I123" s="25">
        <v>8.2432539377467418E-2</v>
      </c>
      <c r="J123" s="25" t="s">
        <v>40</v>
      </c>
      <c r="K123" s="25" t="s">
        <v>40</v>
      </c>
      <c r="L123" s="41">
        <v>8.1595463637212054E-2</v>
      </c>
    </row>
    <row r="124" spans="1:12" ht="20" thickBot="1" x14ac:dyDescent="0.3">
      <c r="A124" s="65"/>
      <c r="B124" s="20" t="s">
        <v>13</v>
      </c>
      <c r="C124" s="21">
        <v>44855</v>
      </c>
      <c r="D124" s="69">
        <v>0.247617481</v>
      </c>
      <c r="E124" s="23">
        <v>371</v>
      </c>
      <c r="F124" s="54">
        <v>11.9811</v>
      </c>
      <c r="G124" s="55">
        <v>6.3653554212054209E-2</v>
      </c>
      <c r="H124" s="25" t="s">
        <v>40</v>
      </c>
      <c r="I124" s="25" t="s">
        <v>40</v>
      </c>
      <c r="J124" s="25" t="s">
        <v>40</v>
      </c>
      <c r="K124" s="25" t="s">
        <v>40</v>
      </c>
      <c r="L124" s="25">
        <v>6.3966384632544226E-2</v>
      </c>
    </row>
    <row r="125" spans="1:12" ht="18" customHeight="1" thickBot="1" x14ac:dyDescent="0.3">
      <c r="A125" s="65"/>
      <c r="B125" s="20" t="s">
        <v>14</v>
      </c>
      <c r="C125" s="21">
        <v>44060</v>
      </c>
      <c r="D125" s="69">
        <v>6.026994685</v>
      </c>
      <c r="E125" s="23">
        <v>3374</v>
      </c>
      <c r="F125" s="54">
        <v>14.327199999999999</v>
      </c>
      <c r="G125" s="41">
        <v>6.6464199846661076E-2</v>
      </c>
      <c r="H125" s="25">
        <v>9.8208577061275726E-2</v>
      </c>
      <c r="I125" s="25">
        <v>7.4377068803903157E-2</v>
      </c>
      <c r="J125" s="25" t="s">
        <v>40</v>
      </c>
      <c r="K125" s="25" t="s">
        <v>40</v>
      </c>
      <c r="L125" s="41">
        <v>7.3151520447971574E-2</v>
      </c>
    </row>
    <row r="126" spans="1:12" ht="20" thickBot="1" x14ac:dyDescent="0.3">
      <c r="A126" s="65"/>
      <c r="B126" s="27" t="s">
        <v>15</v>
      </c>
      <c r="C126" s="21">
        <v>44077</v>
      </c>
      <c r="D126" s="69">
        <v>2.0913546329999999</v>
      </c>
      <c r="E126" s="23">
        <v>2024</v>
      </c>
      <c r="F126" s="54">
        <v>14.616300000000001</v>
      </c>
      <c r="G126" s="41">
        <v>6.2856768882845415E-2</v>
      </c>
      <c r="H126" s="25">
        <v>9.9118010070157858E-2</v>
      </c>
      <c r="I126" s="25">
        <v>7.8628763684620351E-2</v>
      </c>
      <c r="J126" s="25" t="s">
        <v>40</v>
      </c>
      <c r="K126" s="25" t="s">
        <v>40</v>
      </c>
      <c r="L126" s="41">
        <v>7.8110385016135986E-2</v>
      </c>
    </row>
    <row r="127" spans="1:12" ht="20" thickBot="1" x14ac:dyDescent="0.3">
      <c r="A127" s="65"/>
      <c r="B127" s="20" t="s">
        <v>16</v>
      </c>
      <c r="C127" s="21">
        <v>44078</v>
      </c>
      <c r="D127" s="69">
        <v>0.75927415199999992</v>
      </c>
      <c r="E127" s="23">
        <v>817</v>
      </c>
      <c r="F127" s="54">
        <v>14.995900000000001</v>
      </c>
      <c r="G127" s="41">
        <v>6.0552911306463342E-2</v>
      </c>
      <c r="H127" s="25">
        <v>9.6904356351589449E-2</v>
      </c>
      <c r="I127" s="25">
        <v>8.4232557378002296E-2</v>
      </c>
      <c r="J127" s="25" t="s">
        <v>40</v>
      </c>
      <c r="K127" s="25" t="s">
        <v>40</v>
      </c>
      <c r="L127" s="41">
        <v>8.3648999053213866E-2</v>
      </c>
    </row>
    <row r="128" spans="1:12" ht="20" thickBot="1" x14ac:dyDescent="0.3">
      <c r="A128" s="65"/>
      <c r="B128" s="26" t="s">
        <v>17</v>
      </c>
      <c r="C128" s="21">
        <v>44078</v>
      </c>
      <c r="D128" s="69">
        <v>2.2626180549999999</v>
      </c>
      <c r="E128" s="23">
        <v>2014</v>
      </c>
      <c r="F128" s="54">
        <v>14.842599999999999</v>
      </c>
      <c r="G128" s="41">
        <v>5.1168192859823769E-2</v>
      </c>
      <c r="H128" s="25">
        <v>9.575407751850594E-2</v>
      </c>
      <c r="I128" s="25">
        <v>8.2099658826207969E-2</v>
      </c>
      <c r="J128" s="25" t="s">
        <v>40</v>
      </c>
      <c r="K128" s="25" t="s">
        <v>40</v>
      </c>
      <c r="L128" s="41">
        <v>8.1443614171898382E-2</v>
      </c>
    </row>
    <row r="129" spans="1:12" ht="20" thickBot="1" x14ac:dyDescent="0.3">
      <c r="A129" s="65"/>
      <c r="B129" s="27" t="s">
        <v>18</v>
      </c>
      <c r="C129" s="21">
        <v>44076</v>
      </c>
      <c r="D129" s="69">
        <v>5.2301638439999998</v>
      </c>
      <c r="E129" s="23">
        <v>3380</v>
      </c>
      <c r="F129" s="54">
        <v>13.7254</v>
      </c>
      <c r="G129" s="41">
        <v>4.9824078323390086E-2</v>
      </c>
      <c r="H129" s="25">
        <v>8.7414705548160013E-2</v>
      </c>
      <c r="I129" s="25">
        <v>6.4934236999464545E-2</v>
      </c>
      <c r="J129" s="25" t="s">
        <v>40</v>
      </c>
      <c r="K129" s="25" t="s">
        <v>40</v>
      </c>
      <c r="L129" s="41">
        <v>6.4722346822244425E-2</v>
      </c>
    </row>
    <row r="130" spans="1:12" ht="20" thickBot="1" x14ac:dyDescent="0.3">
      <c r="A130" s="65"/>
      <c r="B130" s="27" t="s">
        <v>19</v>
      </c>
      <c r="C130" s="21">
        <v>44792</v>
      </c>
      <c r="D130" s="69">
        <v>0.83236576699999998</v>
      </c>
      <c r="E130" s="23">
        <v>737</v>
      </c>
      <c r="F130" s="54">
        <v>13.06</v>
      </c>
      <c r="G130" s="25">
        <v>2.7957937157609747E-2</v>
      </c>
      <c r="H130" s="25">
        <v>9.1862379514864312E-2</v>
      </c>
      <c r="I130" s="25" t="s">
        <v>40</v>
      </c>
      <c r="J130" s="25" t="s">
        <v>40</v>
      </c>
      <c r="K130" s="25" t="s">
        <v>40</v>
      </c>
      <c r="L130" s="41">
        <v>9.0310924135017068E-2</v>
      </c>
    </row>
    <row r="131" spans="1:12" ht="20" thickBot="1" x14ac:dyDescent="0.3">
      <c r="A131" s="86"/>
      <c r="B131" s="27" t="s">
        <v>20</v>
      </c>
      <c r="C131" s="21">
        <v>44078</v>
      </c>
      <c r="D131" s="69">
        <v>1.432277359</v>
      </c>
      <c r="E131" s="23">
        <v>1704</v>
      </c>
      <c r="F131" s="54">
        <v>14.144299999999999</v>
      </c>
      <c r="G131" s="41">
        <v>5.9077669539433719E-2</v>
      </c>
      <c r="H131" s="25">
        <v>9.5303759801401502E-2</v>
      </c>
      <c r="I131" s="25">
        <v>7.151711281815909E-2</v>
      </c>
      <c r="J131" s="25" t="s">
        <v>40</v>
      </c>
      <c r="K131" s="25" t="s">
        <v>40</v>
      </c>
      <c r="L131" s="41">
        <v>7.1137150619092315E-2</v>
      </c>
    </row>
    <row r="132" spans="1:12" ht="20" thickBot="1" x14ac:dyDescent="0.3">
      <c r="A132" s="86"/>
      <c r="B132" s="20" t="s">
        <v>21</v>
      </c>
      <c r="C132" s="21">
        <v>45303</v>
      </c>
      <c r="D132" s="69">
        <v>3.9248616E-2</v>
      </c>
      <c r="E132" s="23">
        <v>84</v>
      </c>
      <c r="F132" s="54">
        <v>11.0929</v>
      </c>
      <c r="G132" s="41">
        <v>6.519108891876324E-2</v>
      </c>
      <c r="H132" s="25" t="s">
        <v>40</v>
      </c>
      <c r="I132" s="25" t="s">
        <v>40</v>
      </c>
      <c r="J132" s="25" t="s">
        <v>40</v>
      </c>
      <c r="K132" s="25" t="s">
        <v>40</v>
      </c>
      <c r="L132" s="41">
        <v>6.3385374930619465E-2</v>
      </c>
    </row>
    <row r="133" spans="1:12" ht="19" x14ac:dyDescent="0.25">
      <c r="B133" s="43" t="s">
        <v>41</v>
      </c>
      <c r="C133" s="70"/>
      <c r="D133" s="71"/>
      <c r="E133" s="87"/>
      <c r="F133" s="88"/>
      <c r="G133" s="48">
        <v>5.5292735985875474E-2</v>
      </c>
      <c r="H133" s="48">
        <v>9.6241063298063478E-2</v>
      </c>
      <c r="I133" s="48"/>
      <c r="J133" s="48"/>
      <c r="K133" s="48"/>
      <c r="L133" s="48"/>
    </row>
    <row r="134" spans="1:12" ht="16" thickBot="1" x14ac:dyDescent="0.25"/>
    <row r="135" spans="1:12" ht="37.5" customHeight="1" thickBot="1" x14ac:dyDescent="0.25">
      <c r="A135" s="90" t="s">
        <v>37</v>
      </c>
      <c r="B135" s="51" t="s">
        <v>1</v>
      </c>
      <c r="C135" s="16" t="s">
        <v>2</v>
      </c>
      <c r="D135" s="16" t="s">
        <v>3</v>
      </c>
      <c r="E135" s="17" t="s">
        <v>4</v>
      </c>
      <c r="F135" s="15" t="s">
        <v>5</v>
      </c>
      <c r="G135" s="16" t="s">
        <v>6</v>
      </c>
      <c r="H135" s="16" t="s">
        <v>7</v>
      </c>
      <c r="I135" s="16" t="s">
        <v>8</v>
      </c>
      <c r="J135" s="52" t="s">
        <v>9</v>
      </c>
      <c r="K135" s="52" t="s">
        <v>10</v>
      </c>
      <c r="L135" s="18" t="s">
        <v>11</v>
      </c>
    </row>
    <row r="136" spans="1:12" ht="20" thickBot="1" x14ac:dyDescent="0.3">
      <c r="A136" s="91"/>
      <c r="B136" s="27" t="s">
        <v>18</v>
      </c>
      <c r="C136" s="21">
        <v>45405</v>
      </c>
      <c r="D136" s="66">
        <v>1.3683084539999999</v>
      </c>
      <c r="E136" s="23">
        <v>218462</v>
      </c>
      <c r="F136" s="54">
        <v>10.9415</v>
      </c>
      <c r="G136" s="77">
        <v>7.146704270591564E-2</v>
      </c>
      <c r="H136" s="77" t="s">
        <v>40</v>
      </c>
      <c r="I136" s="77" t="s">
        <v>40</v>
      </c>
      <c r="J136" s="77" t="s">
        <v>40</v>
      </c>
      <c r="K136" s="77" t="s">
        <v>40</v>
      </c>
      <c r="L136" s="67">
        <v>6.5980193739989978E-2</v>
      </c>
    </row>
    <row r="137" spans="1:12" ht="20" thickBot="1" x14ac:dyDescent="0.3">
      <c r="A137" s="91"/>
      <c r="B137" s="26" t="s">
        <v>17</v>
      </c>
      <c r="C137" s="21">
        <v>45405</v>
      </c>
      <c r="D137" s="66">
        <v>1.3942272410000001</v>
      </c>
      <c r="E137" s="23">
        <v>218462</v>
      </c>
      <c r="F137" s="54">
        <v>10.920400000000001</v>
      </c>
      <c r="G137" s="77">
        <v>5.9893432201333585E-2</v>
      </c>
      <c r="H137" s="77" t="s">
        <v>40</v>
      </c>
      <c r="I137" s="77" t="s">
        <v>40</v>
      </c>
      <c r="J137" s="77" t="s">
        <v>40</v>
      </c>
      <c r="K137" s="77" t="s">
        <v>40</v>
      </c>
      <c r="L137" s="67">
        <v>6.4520015254072138E-2</v>
      </c>
    </row>
    <row r="138" spans="1:12" ht="20" thickBot="1" x14ac:dyDescent="0.3">
      <c r="A138" s="92"/>
      <c r="B138" s="20" t="s">
        <v>20</v>
      </c>
      <c r="C138" s="21">
        <v>45405</v>
      </c>
      <c r="D138" s="66">
        <v>1.3788287420000001</v>
      </c>
      <c r="E138" s="23">
        <v>218462</v>
      </c>
      <c r="F138" s="54">
        <v>11.0082</v>
      </c>
      <c r="G138" s="77">
        <v>7.040966151632122E-2</v>
      </c>
      <c r="H138" s="77" t="s">
        <v>40</v>
      </c>
      <c r="I138" s="77" t="s">
        <v>40</v>
      </c>
      <c r="J138" s="77" t="s">
        <v>40</v>
      </c>
      <c r="K138" s="77" t="s">
        <v>40</v>
      </c>
      <c r="L138" s="67">
        <v>7.0590661113798969E-2</v>
      </c>
    </row>
    <row r="139" spans="1:12" ht="20" thickBot="1" x14ac:dyDescent="0.3">
      <c r="A139" s="93"/>
      <c r="C139" s="94"/>
      <c r="D139" s="95"/>
      <c r="E139" s="96"/>
      <c r="F139" s="97"/>
      <c r="G139" s="98"/>
      <c r="H139" s="98"/>
      <c r="I139" s="99"/>
      <c r="J139" s="99"/>
      <c r="K139" s="99"/>
      <c r="L139" s="98"/>
    </row>
    <row r="140" spans="1:12" ht="41" thickBot="1" x14ac:dyDescent="0.25">
      <c r="A140" s="100" t="s">
        <v>38</v>
      </c>
      <c r="B140" s="51" t="s">
        <v>1</v>
      </c>
      <c r="C140" s="16" t="s">
        <v>2</v>
      </c>
      <c r="D140" s="16" t="s">
        <v>3</v>
      </c>
      <c r="E140" s="17" t="s">
        <v>4</v>
      </c>
      <c r="F140" s="15" t="s">
        <v>5</v>
      </c>
      <c r="G140" s="16" t="s">
        <v>6</v>
      </c>
      <c r="H140" s="16" t="s">
        <v>7</v>
      </c>
      <c r="I140" s="16" t="s">
        <v>8</v>
      </c>
      <c r="J140" s="52" t="s">
        <v>9</v>
      </c>
      <c r="K140" s="52" t="s">
        <v>10</v>
      </c>
      <c r="L140" s="18" t="s">
        <v>11</v>
      </c>
    </row>
    <row r="141" spans="1:12" ht="20" thickBot="1" x14ac:dyDescent="0.3">
      <c r="A141" s="101"/>
      <c r="B141" s="27" t="s">
        <v>18</v>
      </c>
      <c r="C141" s="21">
        <v>45757</v>
      </c>
      <c r="D141" s="102">
        <v>1668.2301483030001</v>
      </c>
      <c r="E141" s="23">
        <v>29028</v>
      </c>
      <c r="F141" s="54">
        <v>10.279299999999999</v>
      </c>
      <c r="G141" s="77" t="s">
        <v>40</v>
      </c>
      <c r="H141" s="77" t="s">
        <v>40</v>
      </c>
      <c r="I141" s="77" t="s">
        <v>40</v>
      </c>
      <c r="J141" s="77" t="s">
        <v>40</v>
      </c>
      <c r="K141" s="77" t="s">
        <v>40</v>
      </c>
      <c r="L141" s="77">
        <v>2.793000000000001E-2</v>
      </c>
    </row>
    <row r="142" spans="1:12" ht="20" thickBot="1" x14ac:dyDescent="0.3">
      <c r="A142" s="101"/>
      <c r="B142" s="26" t="s">
        <v>17</v>
      </c>
      <c r="C142" s="21">
        <v>45757</v>
      </c>
      <c r="D142" s="102">
        <v>1712.8769273580001</v>
      </c>
      <c r="E142" s="23">
        <v>29028</v>
      </c>
      <c r="F142" s="54">
        <v>10.130599999999999</v>
      </c>
      <c r="G142" s="77" t="s">
        <v>40</v>
      </c>
      <c r="H142" s="77" t="s">
        <v>40</v>
      </c>
      <c r="I142" s="77" t="s">
        <v>40</v>
      </c>
      <c r="J142" s="77" t="s">
        <v>40</v>
      </c>
      <c r="K142" s="77" t="s">
        <v>40</v>
      </c>
      <c r="L142" s="77">
        <v>1.305999999999985E-2</v>
      </c>
    </row>
    <row r="143" spans="1:12" ht="20" thickBot="1" x14ac:dyDescent="0.3">
      <c r="A143" s="103"/>
      <c r="B143" s="20" t="s">
        <v>20</v>
      </c>
      <c r="C143" s="21">
        <v>45757</v>
      </c>
      <c r="D143" s="102">
        <v>1730.1240358160001</v>
      </c>
      <c r="E143" s="23">
        <v>29028</v>
      </c>
      <c r="F143" s="54">
        <v>10.284700000000001</v>
      </c>
      <c r="G143" s="77" t="s">
        <v>40</v>
      </c>
      <c r="H143" s="77" t="s">
        <v>40</v>
      </c>
      <c r="I143" s="77" t="s">
        <v>40</v>
      </c>
      <c r="J143" s="77" t="s">
        <v>40</v>
      </c>
      <c r="K143" s="77" t="s">
        <v>40</v>
      </c>
      <c r="L143" s="77">
        <v>2.8469999999999995E-2</v>
      </c>
    </row>
    <row r="144" spans="1:12" ht="19" x14ac:dyDescent="0.25">
      <c r="A144" s="93"/>
      <c r="C144" s="94"/>
      <c r="D144" s="95"/>
      <c r="E144" s="96"/>
      <c r="F144" s="97"/>
      <c r="G144" s="98"/>
      <c r="H144" s="98"/>
      <c r="I144" s="99"/>
      <c r="J144" s="99"/>
      <c r="K144" s="99"/>
      <c r="L144" s="98"/>
    </row>
    <row r="145" spans="2:2" x14ac:dyDescent="0.2">
      <c r="B145" s="9" t="s">
        <v>39</v>
      </c>
    </row>
  </sheetData>
  <sheetProtection algorithmName="SHA-512" hashValue="MdfOcXQU7QrExbOQ/Lvojmcvf51DXTo1W+xxNwIRuA/Zq0QbiEU9Xi007NQ4kQZI2RwQjy3JVRU5mVlDjEcFnw==" saltValue="sZBhZ0et1jleljA4ZMNIcw==" spinCount="100000" sheet="1" objects="1" scenarios="1"/>
  <mergeCells count="15">
    <mergeCell ref="A122:A130"/>
    <mergeCell ref="A135:A138"/>
    <mergeCell ref="A140:A143"/>
    <mergeCell ref="A79:A90"/>
    <mergeCell ref="A92:A96"/>
    <mergeCell ref="A98:A102"/>
    <mergeCell ref="A104:A106"/>
    <mergeCell ref="A109:A113"/>
    <mergeCell ref="A116:A119"/>
    <mergeCell ref="A66:A77"/>
    <mergeCell ref="A2:A13"/>
    <mergeCell ref="A15:A26"/>
    <mergeCell ref="A28:A39"/>
    <mergeCell ref="A41:A51"/>
    <mergeCell ref="A53:A64"/>
  </mergeCells>
  <pageMargins left="0.7" right="0.7" top="0.75" bottom="0.75" header="0.3" footer="0.3"/>
  <pageSetup scale="36" fitToHeight="0" orientation="landscape" r:id="rId1"/>
  <headerFooter>
    <oddHeader>&amp;C&amp;K04+000NPS SCHEMES AS ON  18-07-2025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0505-5852-3949-99F5-A1C4829A5261}">
  <dimension ref="B2:L10"/>
  <sheetViews>
    <sheetView showGridLines="0" zoomScale="65" workbookViewId="0">
      <selection activeCell="D13" sqref="D13"/>
    </sheetView>
  </sheetViews>
  <sheetFormatPr baseColWidth="10" defaultColWidth="36.1640625" defaultRowHeight="47" x14ac:dyDescent="0.55000000000000004"/>
  <cols>
    <col min="1" max="1" width="36.1640625" style="105"/>
    <col min="2" max="2" width="39" style="105" customWidth="1"/>
    <col min="3" max="3" width="27.5" style="105" customWidth="1"/>
    <col min="4" max="4" width="27.33203125" style="105" customWidth="1"/>
    <col min="5" max="5" width="25.6640625" style="105" customWidth="1"/>
    <col min="6" max="6" width="25.33203125" style="105" customWidth="1"/>
    <col min="7" max="7" width="25.6640625" style="105" customWidth="1"/>
    <col min="8" max="8" width="28.33203125" style="105" customWidth="1"/>
    <col min="9" max="9" width="10.83203125" style="105" customWidth="1"/>
    <col min="10" max="10" width="98" style="105" bestFit="1" customWidth="1"/>
    <col min="11" max="16384" width="36.1640625" style="105"/>
  </cols>
  <sheetData>
    <row r="2" spans="2:12" s="105" customFormat="1" ht="48" thickBot="1" x14ac:dyDescent="0.6">
      <c r="B2" s="104"/>
      <c r="C2" s="104"/>
      <c r="D2" s="104"/>
      <c r="E2" s="104"/>
      <c r="F2" s="104"/>
      <c r="G2" s="104"/>
      <c r="H2" s="104"/>
    </row>
    <row r="3" spans="2:12" s="105" customFormat="1" ht="146" thickTop="1" thickBot="1" x14ac:dyDescent="0.6">
      <c r="B3" s="106"/>
      <c r="C3" s="107" t="s">
        <v>6</v>
      </c>
      <c r="D3" s="107" t="s">
        <v>7</v>
      </c>
      <c r="E3" s="107" t="s">
        <v>8</v>
      </c>
      <c r="F3" s="107" t="s">
        <v>9</v>
      </c>
      <c r="G3" s="107" t="s">
        <v>10</v>
      </c>
      <c r="H3" s="108" t="s">
        <v>11</v>
      </c>
    </row>
    <row r="4" spans="2:12" s="105" customFormat="1" ht="49" thickTop="1" thickBot="1" x14ac:dyDescent="0.6">
      <c r="B4" s="109" t="s">
        <v>43</v>
      </c>
      <c r="C4" s="110">
        <f>'Funds &amp; Performance'!G14</f>
        <v>-2.6921238596928633E-4</v>
      </c>
      <c r="D4" s="110">
        <f>'Funds &amp; Performance'!H14</f>
        <v>0.16048336604435004</v>
      </c>
      <c r="E4" s="110">
        <f>'Funds &amp; Performance'!I14</f>
        <v>0.19500240245083075</v>
      </c>
      <c r="F4" s="110">
        <f>'Funds &amp; Performance'!J14</f>
        <v>0.13844497278458268</v>
      </c>
      <c r="G4" s="110">
        <f>'Funds &amp; Performance'!K14</f>
        <v>0.1362508438908652</v>
      </c>
      <c r="H4" s="110">
        <f>'Funds &amp; Performance'!L14</f>
        <v>0.14129474318168134</v>
      </c>
      <c r="J4" s="3" t="s">
        <v>67</v>
      </c>
      <c r="K4" s="4"/>
      <c r="L4" s="5"/>
    </row>
    <row r="5" spans="2:12" s="105" customFormat="1" ht="49" thickTop="1" thickBot="1" x14ac:dyDescent="0.6">
      <c r="B5" s="109" t="s">
        <v>44</v>
      </c>
      <c r="C5" s="110">
        <f>'Funds &amp; Performance'!G65</f>
        <v>2.983953850091048E-3</v>
      </c>
      <c r="D5" s="110">
        <f>'Funds &amp; Performance'!H65</f>
        <v>0.16042904509674896</v>
      </c>
      <c r="E5" s="110">
        <f>'Funds &amp; Performance'!I65</f>
        <v>0.19519931179951083</v>
      </c>
      <c r="F5" s="110">
        <f>'Funds &amp; Performance'!J65</f>
        <v>0.13861179491466355</v>
      </c>
      <c r="G5" s="110">
        <f>'Funds &amp; Performance'!K65</f>
        <v>0.13575337237942242</v>
      </c>
      <c r="H5" s="110">
        <f>'Funds &amp; Performance'!L65</f>
        <v>0.13527615960189876</v>
      </c>
      <c r="J5" s="1" t="s">
        <v>68</v>
      </c>
      <c r="K5" s="6" t="s">
        <v>69</v>
      </c>
      <c r="L5" s="7"/>
    </row>
    <row r="6" spans="2:12" s="105" customFormat="1" ht="49" thickTop="1" thickBot="1" x14ac:dyDescent="0.6">
      <c r="B6" s="109" t="s">
        <v>45</v>
      </c>
      <c r="C6" s="111">
        <v>10</v>
      </c>
      <c r="D6" s="111">
        <v>8</v>
      </c>
      <c r="E6" s="111">
        <v>7</v>
      </c>
      <c r="F6" s="111">
        <v>7</v>
      </c>
      <c r="G6" s="111">
        <v>6</v>
      </c>
      <c r="H6" s="111">
        <v>10</v>
      </c>
      <c r="J6" s="2" t="s">
        <v>70</v>
      </c>
      <c r="K6" s="6" t="s">
        <v>71</v>
      </c>
      <c r="L6" s="7"/>
    </row>
    <row r="7" spans="2:12" s="105" customFormat="1" ht="49" thickTop="1" thickBot="1" x14ac:dyDescent="0.6">
      <c r="B7" s="109" t="s">
        <v>46</v>
      </c>
      <c r="C7" s="110">
        <f>'Funds &amp; Performance'!G64</f>
        <v>-5.2048015514757351E-3</v>
      </c>
      <c r="D7" s="110">
        <f>'Funds &amp; Performance'!H64</f>
        <v>0.15503853977828741</v>
      </c>
      <c r="E7" s="110">
        <f>'Funds &amp; Performance'!I64</f>
        <v>0.19906203587639548</v>
      </c>
      <c r="F7" s="110">
        <f>'Funds &amp; Performance'!J64</f>
        <v>0.14436863335286909</v>
      </c>
      <c r="G7" s="110">
        <f>'Funds &amp; Performance'!K64</f>
        <v>0.14053006655907341</v>
      </c>
      <c r="H7" s="111"/>
      <c r="J7" s="1" t="s">
        <v>72</v>
      </c>
      <c r="K7" s="6" t="s">
        <v>73</v>
      </c>
      <c r="L7" s="7"/>
    </row>
    <row r="8" spans="2:12" s="105" customFormat="1" ht="48" thickTop="1" x14ac:dyDescent="0.55000000000000004"/>
    <row r="9" spans="2:12" s="105" customFormat="1" x14ac:dyDescent="0.55000000000000004"/>
    <row r="10" spans="2:12" s="105" customFormat="1" x14ac:dyDescent="0.55000000000000004">
      <c r="C10" s="112"/>
      <c r="D10" s="112"/>
      <c r="E10" s="112"/>
    </row>
  </sheetData>
  <sheetProtection algorithmName="SHA-512" hashValue="yZpOAlZgeY/HiVmZA7b1//DNFEiElYzJJmngHO8G8KxWpdmhdlm9/W+snSghW3V9hIX1hkBXy8m5BLjK570V4Q==" saltValue="mZWKgQAKfACp6AU2VqvEdA==" spinCount="100000" sheet="1" objects="1" scenarios="1"/>
  <mergeCells count="5">
    <mergeCell ref="B2:H2"/>
    <mergeCell ref="K6:L6"/>
    <mergeCell ref="K7:L7"/>
    <mergeCell ref="K5:L5"/>
    <mergeCell ref="J4:L4"/>
  </mergeCells>
  <hyperlinks>
    <hyperlink ref="J5" r:id="rId1" xr:uid="{6CA102ED-8328-D54A-A7AC-CF5D90E1202A}"/>
    <hyperlink ref="J6" r:id="rId2" xr:uid="{B73D700B-B6F0-1E4B-BBB8-551001637FAE}"/>
    <hyperlink ref="J7" r:id="rId3" xr:uid="{79671078-6858-FD4B-B041-320A3DAB186A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1C87-C7B4-A445-9316-E5C1AFA80C32}">
  <dimension ref="C3:R46"/>
  <sheetViews>
    <sheetView showGridLines="0" tabSelected="1" zoomScale="64" workbookViewId="0">
      <selection activeCell="AA21" sqref="AA21"/>
    </sheetView>
  </sheetViews>
  <sheetFormatPr baseColWidth="10" defaultRowHeight="47" x14ac:dyDescent="0.55000000000000004"/>
  <cols>
    <col min="1" max="2" width="10.83203125" style="105"/>
    <col min="3" max="3" width="106.6640625" style="105" customWidth="1"/>
    <col min="4" max="4" width="58" style="105" customWidth="1"/>
    <col min="5" max="5" width="35.5" style="105" customWidth="1"/>
    <col min="6" max="8" width="10.83203125" style="105"/>
    <col min="9" max="9" width="19" style="105" customWidth="1"/>
    <col min="10" max="10" width="44.83203125" style="105" customWidth="1"/>
    <col min="11" max="11" width="43.6640625" style="105" customWidth="1"/>
    <col min="12" max="12" width="46.5" style="105" customWidth="1"/>
    <col min="13" max="14" width="10.83203125" style="105"/>
    <col min="15" max="15" width="14.33203125" style="105" bestFit="1" customWidth="1"/>
    <col min="16" max="16" width="48.1640625" style="105" customWidth="1"/>
    <col min="17" max="17" width="46.1640625" style="105" customWidth="1"/>
    <col min="18" max="18" width="48.5" style="105" customWidth="1"/>
    <col min="19" max="16384" width="10.83203125" style="105"/>
  </cols>
  <sheetData>
    <row r="3" spans="3:18" ht="48" thickBot="1" x14ac:dyDescent="0.6"/>
    <row r="4" spans="3:18" ht="49" thickTop="1" thickBot="1" x14ac:dyDescent="0.6">
      <c r="I4" s="6" t="s">
        <v>65</v>
      </c>
      <c r="J4" s="8"/>
      <c r="K4" s="8"/>
      <c r="L4" s="7"/>
      <c r="O4" s="113" t="s">
        <v>66</v>
      </c>
      <c r="P4" s="114"/>
      <c r="Q4" s="114"/>
      <c r="R4" s="115"/>
    </row>
    <row r="5" spans="3:18" ht="49" thickTop="1" thickBot="1" x14ac:dyDescent="0.6">
      <c r="C5" s="106" t="s">
        <v>53</v>
      </c>
      <c r="D5" s="123" t="s">
        <v>57</v>
      </c>
      <c r="I5" s="113" t="s">
        <v>51</v>
      </c>
      <c r="J5" s="114"/>
      <c r="K5" s="115"/>
      <c r="L5" s="128">
        <f>D14</f>
        <v>7.0000000000000007E-2</v>
      </c>
      <c r="O5" s="113" t="s">
        <v>51</v>
      </c>
      <c r="P5" s="114"/>
      <c r="Q5" s="114"/>
      <c r="R5" s="128">
        <f>D14</f>
        <v>7.0000000000000007E-2</v>
      </c>
    </row>
    <row r="6" spans="3:18" ht="49" thickTop="1" thickBot="1" x14ac:dyDescent="0.6">
      <c r="C6" s="106" t="s">
        <v>54</v>
      </c>
      <c r="D6" s="123">
        <v>25</v>
      </c>
      <c r="I6" s="113" t="s">
        <v>52</v>
      </c>
      <c r="J6" s="114"/>
      <c r="K6" s="114"/>
      <c r="L6" s="128">
        <v>0.1</v>
      </c>
      <c r="O6" s="113" t="s">
        <v>52</v>
      </c>
      <c r="P6" s="114"/>
      <c r="Q6" s="114"/>
      <c r="R6" s="128">
        <f>D15</f>
        <v>0.12</v>
      </c>
    </row>
    <row r="7" spans="3:18" ht="49" thickTop="1" thickBot="1" x14ac:dyDescent="0.6">
      <c r="C7" s="106" t="s">
        <v>55</v>
      </c>
      <c r="D7" s="123">
        <v>60</v>
      </c>
      <c r="I7" s="111" t="s">
        <v>47</v>
      </c>
      <c r="J7" s="111" t="s">
        <v>48</v>
      </c>
      <c r="K7" s="111" t="s">
        <v>49</v>
      </c>
      <c r="L7" s="111" t="s">
        <v>50</v>
      </c>
      <c r="O7" s="111" t="s">
        <v>47</v>
      </c>
      <c r="P7" s="111" t="s">
        <v>48</v>
      </c>
      <c r="Q7" s="111" t="s">
        <v>49</v>
      </c>
      <c r="R7" s="111" t="s">
        <v>50</v>
      </c>
    </row>
    <row r="8" spans="3:18" ht="49" thickTop="1" thickBot="1" x14ac:dyDescent="0.6">
      <c r="C8" s="106" t="s">
        <v>56</v>
      </c>
      <c r="D8" s="124">
        <v>10000</v>
      </c>
      <c r="I8" s="111">
        <v>1</v>
      </c>
      <c r="J8" s="116">
        <v>0</v>
      </c>
      <c r="K8" s="116">
        <f>D11*12</f>
        <v>120000</v>
      </c>
      <c r="L8" s="116">
        <f>FV(NOMINAL($L$6,12)/12,12,-K8/12,-J8)</f>
        <v>125405.36612263761</v>
      </c>
      <c r="O8" s="111">
        <v>1</v>
      </c>
      <c r="P8" s="116">
        <v>0</v>
      </c>
      <c r="Q8" s="116">
        <f>K8</f>
        <v>120000</v>
      </c>
      <c r="R8" s="116">
        <f>FV(NOMINAL($R$6,12)/12,12,-Q8/12,-P8)</f>
        <v>126464.97908353235</v>
      </c>
    </row>
    <row r="9" spans="3:18" ht="49" thickTop="1" thickBot="1" x14ac:dyDescent="0.6">
      <c r="D9" s="125"/>
      <c r="I9" s="111">
        <f>IF(I8&gt;=($D$7-$D$6), "NA",I8+1)</f>
        <v>2</v>
      </c>
      <c r="J9" s="116">
        <f>IF(I9= "NA",0,L8)</f>
        <v>125405.36612263761</v>
      </c>
      <c r="K9" s="116">
        <f>IF(I9="NA",0,IF(K8*(1+$L$5)&lt;750000,K8*(1+$L$5),750000))</f>
        <v>128400.00000000001</v>
      </c>
      <c r="L9" s="116">
        <f t="shared" ref="L9:L42" si="0">FV(NOMINAL($L$6,12)/12,12,-K9/12,-J9)</f>
        <v>272129.6444861237</v>
      </c>
      <c r="O9" s="111">
        <f>IF(O8&gt;=($D$7-$D$6), "NA",O8+1)</f>
        <v>2</v>
      </c>
      <c r="P9" s="116">
        <f>IF(O9= "NA",0,R8)</f>
        <v>126464.97908353235</v>
      </c>
      <c r="Q9" s="116">
        <f t="shared" ref="Q9:Q42" si="1">K9</f>
        <v>128400.00000000001</v>
      </c>
      <c r="R9" s="116">
        <f>FV(NOMINAL($R$6,12)/12,12,-Q9/12,-P9)</f>
        <v>276958.30419293605</v>
      </c>
    </row>
    <row r="10" spans="3:18" ht="49" thickTop="1" thickBot="1" x14ac:dyDescent="0.6">
      <c r="D10" s="126"/>
      <c r="I10" s="111">
        <f t="shared" ref="I10:I42" si="2">IF(I9&gt;=($D$7-$D$6), "NA",I9+1)</f>
        <v>3</v>
      </c>
      <c r="J10" s="116">
        <f t="shared" ref="J10:J42" si="3">IF(I10= "NA",0,L9)</f>
        <v>272129.6444861237</v>
      </c>
      <c r="K10" s="116">
        <f t="shared" ref="K10:K42" si="4">IF(I10="NA",0,IF(K9*(1+$L$5)&lt;750000,K9*(1+$L$5),750000))</f>
        <v>137388.00000000003</v>
      </c>
      <c r="L10" s="116">
        <f t="shared" si="0"/>
        <v>442919.21260854398</v>
      </c>
      <c r="O10" s="111">
        <f t="shared" ref="O10:O42" si="5">IF(O9&gt;=($D$7-$D$6), "NA",O9+1)</f>
        <v>3</v>
      </c>
      <c r="P10" s="116">
        <f t="shared" ref="P10:P42" si="6">IF(O10= "NA",0,R9)</f>
        <v>276958.30419293605</v>
      </c>
      <c r="Q10" s="116">
        <f t="shared" si="1"/>
        <v>137388.00000000003</v>
      </c>
      <c r="R10" s="116">
        <f t="shared" ref="R10:R42" si="7">FV(NOMINAL($R$6,12)/12,12,-Q10/12,-P10)</f>
        <v>454983.055248825</v>
      </c>
    </row>
    <row r="11" spans="3:18" ht="49" thickTop="1" thickBot="1" x14ac:dyDescent="0.6">
      <c r="C11" s="106" t="s">
        <v>58</v>
      </c>
      <c r="D11" s="124">
        <f>D8</f>
        <v>10000</v>
      </c>
      <c r="I11" s="111">
        <f t="shared" si="2"/>
        <v>4</v>
      </c>
      <c r="J11" s="116">
        <f t="shared" si="3"/>
        <v>442919.21260854398</v>
      </c>
      <c r="K11" s="116">
        <f t="shared" si="4"/>
        <v>147005.16000000003</v>
      </c>
      <c r="L11" s="116">
        <f t="shared" si="0"/>
        <v>640838.09980037285</v>
      </c>
      <c r="O11" s="111">
        <f t="shared" si="5"/>
        <v>4</v>
      </c>
      <c r="P11" s="116">
        <f t="shared" si="6"/>
        <v>454983.055248825</v>
      </c>
      <c r="Q11" s="116">
        <f t="shared" si="1"/>
        <v>147005.16000000003</v>
      </c>
      <c r="R11" s="116">
        <f t="shared" si="7"/>
        <v>664506.05925011239</v>
      </c>
    </row>
    <row r="12" spans="3:18" ht="49" thickTop="1" thickBot="1" x14ac:dyDescent="0.6">
      <c r="C12" s="106" t="s">
        <v>59</v>
      </c>
      <c r="D12" s="124">
        <f>D8*(1-D9)</f>
        <v>10000</v>
      </c>
      <c r="I12" s="111">
        <f t="shared" si="2"/>
        <v>5</v>
      </c>
      <c r="J12" s="116">
        <f t="shared" si="3"/>
        <v>640838.09980037285</v>
      </c>
      <c r="K12" s="116">
        <f t="shared" si="4"/>
        <v>157295.52120000005</v>
      </c>
      <c r="L12" s="116">
        <f t="shared" si="0"/>
        <v>869302.76332655293</v>
      </c>
      <c r="O12" s="111">
        <f t="shared" si="5"/>
        <v>5</v>
      </c>
      <c r="P12" s="116">
        <f t="shared" si="6"/>
        <v>664506.05925011239</v>
      </c>
      <c r="Q12" s="116">
        <f t="shared" si="1"/>
        <v>157295.52120000005</v>
      </c>
      <c r="R12" s="116">
        <f t="shared" si="7"/>
        <v>910016.57634755457</v>
      </c>
    </row>
    <row r="13" spans="3:18" ht="49" thickTop="1" thickBot="1" x14ac:dyDescent="0.6">
      <c r="D13" s="126"/>
      <c r="I13" s="111">
        <f t="shared" si="2"/>
        <v>6</v>
      </c>
      <c r="J13" s="116">
        <f t="shared" si="3"/>
        <v>869302.76332655293</v>
      </c>
      <c r="K13" s="116">
        <f t="shared" si="4"/>
        <v>168306.20768400005</v>
      </c>
      <c r="L13" s="116">
        <f t="shared" si="0"/>
        <v>1132120.5529535811</v>
      </c>
      <c r="O13" s="111">
        <f t="shared" si="5"/>
        <v>6</v>
      </c>
      <c r="P13" s="116">
        <f t="shared" si="6"/>
        <v>910016.57634755457</v>
      </c>
      <c r="Q13" s="116">
        <f t="shared" si="1"/>
        <v>168306.20768400005</v>
      </c>
      <c r="R13" s="116">
        <f t="shared" si="7"/>
        <v>1196592.24079581</v>
      </c>
    </row>
    <row r="14" spans="3:18" ht="49" thickTop="1" thickBot="1" x14ac:dyDescent="0.6">
      <c r="C14" s="106" t="s">
        <v>51</v>
      </c>
      <c r="D14" s="127">
        <v>7.0000000000000007E-2</v>
      </c>
      <c r="I14" s="111">
        <f t="shared" si="2"/>
        <v>7</v>
      </c>
      <c r="J14" s="116">
        <f t="shared" si="3"/>
        <v>1132120.5529535811</v>
      </c>
      <c r="K14" s="116">
        <f t="shared" si="4"/>
        <v>180087.64222188006</v>
      </c>
      <c r="L14" s="116">
        <f t="shared" si="0"/>
        <v>1433532.2474739181</v>
      </c>
      <c r="O14" s="111">
        <f t="shared" si="5"/>
        <v>7</v>
      </c>
      <c r="P14" s="116">
        <f t="shared" si="6"/>
        <v>1196592.24079581</v>
      </c>
      <c r="Q14" s="116">
        <f t="shared" si="1"/>
        <v>180087.64222188006</v>
      </c>
      <c r="R14" s="116">
        <f t="shared" si="7"/>
        <v>1529973.142247915</v>
      </c>
    </row>
    <row r="15" spans="3:18" ht="49" thickTop="1" thickBot="1" x14ac:dyDescent="0.6">
      <c r="C15" s="106" t="s">
        <v>52</v>
      </c>
      <c r="D15" s="127">
        <v>0.12</v>
      </c>
      <c r="I15" s="111">
        <f t="shared" si="2"/>
        <v>8</v>
      </c>
      <c r="J15" s="116">
        <f t="shared" si="3"/>
        <v>1433532.2474739181</v>
      </c>
      <c r="K15" s="116">
        <f t="shared" si="4"/>
        <v>192693.77717741168</v>
      </c>
      <c r="L15" s="116">
        <f t="shared" si="0"/>
        <v>1778259.0861920377</v>
      </c>
      <c r="O15" s="111">
        <f t="shared" si="5"/>
        <v>8</v>
      </c>
      <c r="P15" s="116">
        <f t="shared" si="6"/>
        <v>1529973.142247915</v>
      </c>
      <c r="Q15" s="116">
        <f t="shared" si="1"/>
        <v>192693.77717741168</v>
      </c>
      <c r="R15" s="116">
        <f t="shared" si="7"/>
        <v>1916645.0401532357</v>
      </c>
    </row>
    <row r="16" spans="3:18" ht="49" thickTop="1" thickBot="1" x14ac:dyDescent="0.6">
      <c r="I16" s="111">
        <f t="shared" si="2"/>
        <v>9</v>
      </c>
      <c r="J16" s="116">
        <f t="shared" si="3"/>
        <v>1778259.0861920377</v>
      </c>
      <c r="K16" s="116">
        <f t="shared" si="4"/>
        <v>206182.34157983051</v>
      </c>
      <c r="L16" s="116">
        <f t="shared" si="0"/>
        <v>2171554.76175992</v>
      </c>
      <c r="O16" s="111">
        <f t="shared" si="5"/>
        <v>9</v>
      </c>
      <c r="P16" s="116">
        <f t="shared" si="6"/>
        <v>1916645.0401532357</v>
      </c>
      <c r="Q16" s="116">
        <f t="shared" si="1"/>
        <v>206182.34157983051</v>
      </c>
      <c r="R16" s="116">
        <f t="shared" si="7"/>
        <v>2363932.8242656849</v>
      </c>
    </row>
    <row r="17" spans="3:18" ht="49" thickTop="1" thickBot="1" x14ac:dyDescent="0.6">
      <c r="I17" s="111">
        <f t="shared" si="2"/>
        <v>10</v>
      </c>
      <c r="J17" s="116">
        <f t="shared" si="3"/>
        <v>2171554.76175992</v>
      </c>
      <c r="K17" s="116">
        <f t="shared" si="4"/>
        <v>220615.10549041865</v>
      </c>
      <c r="L17" s="116">
        <f t="shared" si="0"/>
        <v>2619262.8885709983</v>
      </c>
      <c r="O17" s="111">
        <f t="shared" si="5"/>
        <v>10</v>
      </c>
      <c r="P17" s="116">
        <f t="shared" si="6"/>
        <v>2363932.8242656849</v>
      </c>
      <c r="Q17" s="116">
        <f t="shared" si="1"/>
        <v>220615.10549041865</v>
      </c>
      <c r="R17" s="116">
        <f t="shared" si="7"/>
        <v>2880105.4690222126</v>
      </c>
    </row>
    <row r="18" spans="3:18" ht="49" thickTop="1" thickBot="1" x14ac:dyDescent="0.6">
      <c r="C18" s="3" t="s">
        <v>67</v>
      </c>
      <c r="D18" s="4"/>
      <c r="E18" s="5"/>
      <c r="I18" s="111">
        <f t="shared" si="2"/>
        <v>11</v>
      </c>
      <c r="J18" s="116">
        <f t="shared" si="3"/>
        <v>2619262.8885709983</v>
      </c>
      <c r="K18" s="116">
        <f t="shared" si="4"/>
        <v>236058.16287474797</v>
      </c>
      <c r="L18" s="116">
        <f t="shared" si="0"/>
        <v>3127880.5136076403</v>
      </c>
      <c r="O18" s="111">
        <f t="shared" si="5"/>
        <v>11</v>
      </c>
      <c r="P18" s="116">
        <f t="shared" si="6"/>
        <v>2880105.4690222126</v>
      </c>
      <c r="Q18" s="116">
        <f t="shared" si="1"/>
        <v>236058.16287474797</v>
      </c>
      <c r="R18" s="116">
        <f t="shared" si="7"/>
        <v>3474493.8805586495</v>
      </c>
    </row>
    <row r="19" spans="3:18" ht="49" thickTop="1" thickBot="1" x14ac:dyDescent="0.6">
      <c r="C19" s="1" t="s">
        <v>68</v>
      </c>
      <c r="D19" s="6" t="s">
        <v>69</v>
      </c>
      <c r="E19" s="7"/>
      <c r="I19" s="111">
        <f t="shared" si="2"/>
        <v>12</v>
      </c>
      <c r="J19" s="116">
        <f t="shared" si="3"/>
        <v>3127880.5136076403</v>
      </c>
      <c r="K19" s="116">
        <f t="shared" si="4"/>
        <v>252582.23427598033</v>
      </c>
      <c r="L19" s="116">
        <f t="shared" si="0"/>
        <v>3704628.2946805148</v>
      </c>
      <c r="O19" s="111">
        <f t="shared" si="5"/>
        <v>12</v>
      </c>
      <c r="P19" s="116">
        <f t="shared" si="6"/>
        <v>3474493.8805586495</v>
      </c>
      <c r="Q19" s="116">
        <f t="shared" si="1"/>
        <v>252582.23427598033</v>
      </c>
      <c r="R19" s="116">
        <f t="shared" si="7"/>
        <v>4157623.2043472235</v>
      </c>
    </row>
    <row r="20" spans="3:18" ht="49" thickTop="1" thickBot="1" x14ac:dyDescent="0.6">
      <c r="C20" s="2" t="s">
        <v>70</v>
      </c>
      <c r="D20" s="6" t="s">
        <v>71</v>
      </c>
      <c r="E20" s="7"/>
      <c r="I20" s="111">
        <f t="shared" si="2"/>
        <v>13</v>
      </c>
      <c r="J20" s="116">
        <f t="shared" si="3"/>
        <v>3704628.2946805148</v>
      </c>
      <c r="K20" s="116">
        <f t="shared" si="4"/>
        <v>270262.99067529896</v>
      </c>
      <c r="L20" s="116">
        <f t="shared" si="0"/>
        <v>4357528.034940525</v>
      </c>
      <c r="O20" s="111">
        <f t="shared" si="5"/>
        <v>13</v>
      </c>
      <c r="P20" s="116">
        <f t="shared" si="6"/>
        <v>4157623.2043472235</v>
      </c>
      <c r="Q20" s="116">
        <f t="shared" si="1"/>
        <v>270262.99067529896</v>
      </c>
      <c r="R20" s="116">
        <f t="shared" si="7"/>
        <v>4941361.3510589339</v>
      </c>
    </row>
    <row r="21" spans="3:18" ht="49" thickTop="1" thickBot="1" x14ac:dyDescent="0.6">
      <c r="C21" s="1" t="s">
        <v>72</v>
      </c>
      <c r="D21" s="6" t="s">
        <v>73</v>
      </c>
      <c r="E21" s="7"/>
      <c r="I21" s="111">
        <f t="shared" si="2"/>
        <v>14</v>
      </c>
      <c r="J21" s="116">
        <f t="shared" si="3"/>
        <v>4357528.034940525</v>
      </c>
      <c r="K21" s="116">
        <f t="shared" si="4"/>
        <v>289181.40002256993</v>
      </c>
      <c r="L21" s="116">
        <f t="shared" si="0"/>
        <v>5095488.332981973</v>
      </c>
      <c r="O21" s="111">
        <f t="shared" si="5"/>
        <v>14</v>
      </c>
      <c r="P21" s="116">
        <f t="shared" si="6"/>
        <v>4941361.3510589339</v>
      </c>
      <c r="Q21" s="116">
        <f t="shared" si="1"/>
        <v>289181.40002256993</v>
      </c>
      <c r="R21" s="116">
        <f t="shared" si="7"/>
        <v>5839085.7107293541</v>
      </c>
    </row>
    <row r="22" spans="3:18" ht="49" thickTop="1" thickBot="1" x14ac:dyDescent="0.6">
      <c r="I22" s="111">
        <f t="shared" si="2"/>
        <v>15</v>
      </c>
      <c r="J22" s="116">
        <f t="shared" si="3"/>
        <v>5095488.332981973</v>
      </c>
      <c r="K22" s="116">
        <f t="shared" si="4"/>
        <v>309424.09802414983</v>
      </c>
      <c r="L22" s="116">
        <f t="shared" si="0"/>
        <v>5928399.1854458833</v>
      </c>
      <c r="O22" s="111">
        <f t="shared" si="5"/>
        <v>15</v>
      </c>
      <c r="P22" s="116">
        <f t="shared" si="6"/>
        <v>5839085.7107293541</v>
      </c>
      <c r="Q22" s="116">
        <f t="shared" si="1"/>
        <v>309424.09802414983</v>
      </c>
      <c r="R22" s="116">
        <f t="shared" si="7"/>
        <v>6865870.2633882603</v>
      </c>
    </row>
    <row r="23" spans="3:18" ht="49" thickTop="1" thickBot="1" x14ac:dyDescent="0.6">
      <c r="D23" s="117"/>
      <c r="I23" s="111">
        <f t="shared" si="2"/>
        <v>16</v>
      </c>
      <c r="J23" s="116">
        <f t="shared" si="3"/>
        <v>5928399.1854458833</v>
      </c>
      <c r="K23" s="116">
        <f t="shared" si="4"/>
        <v>331083.78488584032</v>
      </c>
      <c r="L23" s="116">
        <f t="shared" si="0"/>
        <v>6867236.4644977851</v>
      </c>
      <c r="O23" s="111">
        <f t="shared" si="5"/>
        <v>16</v>
      </c>
      <c r="P23" s="116">
        <f t="shared" si="6"/>
        <v>6865870.2633882603</v>
      </c>
      <c r="Q23" s="116">
        <f t="shared" si="1"/>
        <v>331083.78488584032</v>
      </c>
      <c r="R23" s="116">
        <f t="shared" si="7"/>
        <v>8038695.5610822327</v>
      </c>
    </row>
    <row r="24" spans="3:18" ht="49" thickTop="1" thickBot="1" x14ac:dyDescent="0.6">
      <c r="D24" s="112"/>
      <c r="I24" s="111">
        <f t="shared" si="2"/>
        <v>17</v>
      </c>
      <c r="J24" s="116">
        <f t="shared" si="3"/>
        <v>6867236.4644977851</v>
      </c>
      <c r="K24" s="116">
        <f t="shared" si="4"/>
        <v>354259.64982784918</v>
      </c>
      <c r="L24" s="116">
        <f t="shared" si="0"/>
        <v>7924177.2866903897</v>
      </c>
      <c r="O24" s="111">
        <f t="shared" si="5"/>
        <v>17</v>
      </c>
      <c r="P24" s="116">
        <f t="shared" si="6"/>
        <v>8038695.5610822327</v>
      </c>
      <c r="Q24" s="116">
        <f t="shared" si="1"/>
        <v>354259.64982784918</v>
      </c>
      <c r="R24" s="116">
        <f t="shared" si="7"/>
        <v>9376684.3551256005</v>
      </c>
    </row>
    <row r="25" spans="3:18" ht="49" thickTop="1" thickBot="1" x14ac:dyDescent="0.6">
      <c r="C25" s="6" t="s">
        <v>60</v>
      </c>
      <c r="D25" s="7"/>
      <c r="I25" s="111">
        <f t="shared" si="2"/>
        <v>18</v>
      </c>
      <c r="J25" s="116">
        <f t="shared" si="3"/>
        <v>7924177.2866903897</v>
      </c>
      <c r="K25" s="116">
        <f t="shared" si="4"/>
        <v>379057.82531579863</v>
      </c>
      <c r="L25" s="116">
        <f t="shared" si="0"/>
        <v>9112727.3934042528</v>
      </c>
      <c r="O25" s="111">
        <f t="shared" si="5"/>
        <v>18</v>
      </c>
      <c r="P25" s="116">
        <f t="shared" si="6"/>
        <v>9376684.3551256005</v>
      </c>
      <c r="Q25" s="116">
        <f t="shared" si="1"/>
        <v>379057.82531579863</v>
      </c>
      <c r="R25" s="116">
        <f t="shared" si="7"/>
        <v>10901365.977324117</v>
      </c>
    </row>
    <row r="26" spans="3:18" ht="49" thickTop="1" thickBot="1" x14ac:dyDescent="0.6">
      <c r="C26" s="118" t="s">
        <v>61</v>
      </c>
      <c r="D26" s="119">
        <f>MAX(L8:L42)</f>
        <v>70747756.646950722</v>
      </c>
      <c r="I26" s="111">
        <f t="shared" si="2"/>
        <v>19</v>
      </c>
      <c r="J26" s="116">
        <f t="shared" si="3"/>
        <v>9112727.3934042528</v>
      </c>
      <c r="K26" s="116">
        <f t="shared" si="4"/>
        <v>405591.87308790453</v>
      </c>
      <c r="L26" s="116">
        <f t="shared" si="0"/>
        <v>10447861.777252641</v>
      </c>
      <c r="O26" s="111">
        <f t="shared" si="5"/>
        <v>19</v>
      </c>
      <c r="P26" s="116">
        <f t="shared" si="6"/>
        <v>10901365.977324117</v>
      </c>
      <c r="Q26" s="116">
        <f t="shared" si="1"/>
        <v>405591.87308790453</v>
      </c>
      <c r="R26" s="116">
        <f t="shared" si="7"/>
        <v>12636972.959157297</v>
      </c>
    </row>
    <row r="27" spans="3:18" ht="49" thickTop="1" thickBot="1" x14ac:dyDescent="0.6">
      <c r="C27" s="106" t="s">
        <v>62</v>
      </c>
      <c r="D27" s="116">
        <f>MAX(R7:R42)</f>
        <v>104343655.11492932</v>
      </c>
      <c r="I27" s="111">
        <f t="shared" si="2"/>
        <v>20</v>
      </c>
      <c r="J27" s="116">
        <f t="shared" si="3"/>
        <v>10447861.777252641</v>
      </c>
      <c r="K27" s="116">
        <f t="shared" si="4"/>
        <v>433983.3042040579</v>
      </c>
      <c r="L27" s="116">
        <f t="shared" si="0"/>
        <v>11946179.914601423</v>
      </c>
      <c r="O27" s="111">
        <f t="shared" si="5"/>
        <v>20</v>
      </c>
      <c r="P27" s="116">
        <f t="shared" si="6"/>
        <v>12636972.959157297</v>
      </c>
      <c r="Q27" s="116">
        <f t="shared" si="1"/>
        <v>433983.3042040579</v>
      </c>
      <c r="R27" s="116">
        <f t="shared" si="7"/>
        <v>14610773.793329261</v>
      </c>
    </row>
    <row r="28" spans="3:18" ht="49" thickTop="1" thickBot="1" x14ac:dyDescent="0.6">
      <c r="C28" s="106" t="s">
        <v>63</v>
      </c>
      <c r="D28" s="116">
        <f>D27-D26</f>
        <v>33595898.467978597</v>
      </c>
      <c r="I28" s="111">
        <f t="shared" si="2"/>
        <v>21</v>
      </c>
      <c r="J28" s="116">
        <f t="shared" si="3"/>
        <v>11946179.914601423</v>
      </c>
      <c r="K28" s="116">
        <f t="shared" si="4"/>
        <v>464362.13549834199</v>
      </c>
      <c r="L28" s="116">
        <f t="shared" si="0"/>
        <v>13626077.102858732</v>
      </c>
      <c r="O28" s="111">
        <f t="shared" si="5"/>
        <v>21</v>
      </c>
      <c r="P28" s="116">
        <f t="shared" si="6"/>
        <v>14610773.793329261</v>
      </c>
      <c r="Q28" s="116">
        <f t="shared" si="1"/>
        <v>464362.13549834199</v>
      </c>
      <c r="R28" s="116">
        <f t="shared" si="7"/>
        <v>16853446.213136978</v>
      </c>
    </row>
    <row r="29" spans="3:18" ht="49" thickTop="1" thickBot="1" x14ac:dyDescent="0.6">
      <c r="C29" s="106" t="s">
        <v>64</v>
      </c>
      <c r="D29" s="120">
        <f>D28/D26</f>
        <v>0.47486874581240313</v>
      </c>
      <c r="I29" s="111">
        <f t="shared" si="2"/>
        <v>22</v>
      </c>
      <c r="J29" s="116">
        <f t="shared" si="3"/>
        <v>13626077.102858732</v>
      </c>
      <c r="K29" s="116">
        <f t="shared" si="4"/>
        <v>496867.48498322594</v>
      </c>
      <c r="L29" s="116">
        <f t="shared" si="0"/>
        <v>15507933.553717572</v>
      </c>
      <c r="O29" s="111">
        <f t="shared" si="5"/>
        <v>22</v>
      </c>
      <c r="P29" s="116">
        <f t="shared" si="6"/>
        <v>16853446.213136978</v>
      </c>
      <c r="Q29" s="116">
        <f t="shared" si="1"/>
        <v>496867.48498322594</v>
      </c>
      <c r="R29" s="116">
        <f t="shared" si="7"/>
        <v>19399495.892844196</v>
      </c>
    </row>
    <row r="30" spans="3:18" ht="49" thickTop="1" thickBot="1" x14ac:dyDescent="0.6">
      <c r="D30" s="117"/>
      <c r="I30" s="111">
        <f t="shared" si="2"/>
        <v>23</v>
      </c>
      <c r="J30" s="116">
        <f t="shared" si="3"/>
        <v>15507933.553717572</v>
      </c>
      <c r="K30" s="116">
        <f t="shared" si="4"/>
        <v>531648.20893205178</v>
      </c>
      <c r="L30" s="116">
        <f t="shared" si="0"/>
        <v>17614323.061502405</v>
      </c>
      <c r="O30" s="111">
        <f t="shared" si="5"/>
        <v>23</v>
      </c>
      <c r="P30" s="116">
        <f t="shared" si="6"/>
        <v>19399495.892844196</v>
      </c>
      <c r="Q30" s="116">
        <f t="shared" si="1"/>
        <v>531648.20893205178</v>
      </c>
      <c r="R30" s="116">
        <f t="shared" si="7"/>
        <v>22287726.063505441</v>
      </c>
    </row>
    <row r="31" spans="3:18" ht="49" thickTop="1" thickBot="1" x14ac:dyDescent="0.6">
      <c r="D31" s="117"/>
      <c r="I31" s="111">
        <f t="shared" si="2"/>
        <v>24</v>
      </c>
      <c r="J31" s="116">
        <f t="shared" si="3"/>
        <v>17614323.061502405</v>
      </c>
      <c r="K31" s="116">
        <f t="shared" si="4"/>
        <v>568863.5835572955</v>
      </c>
      <c r="L31" s="116">
        <f t="shared" si="0"/>
        <v>19970243.250734638</v>
      </c>
      <c r="O31" s="111">
        <f t="shared" si="5"/>
        <v>24</v>
      </c>
      <c r="P31" s="116">
        <f t="shared" si="6"/>
        <v>22287726.063505441</v>
      </c>
      <c r="Q31" s="116">
        <f t="shared" si="1"/>
        <v>568863.5835572955</v>
      </c>
      <c r="R31" s="116">
        <f t="shared" si="7"/>
        <v>25561764.201092433</v>
      </c>
    </row>
    <row r="32" spans="3:18" ht="49" thickTop="1" thickBot="1" x14ac:dyDescent="0.6">
      <c r="D32" s="117"/>
      <c r="I32" s="111">
        <f t="shared" si="2"/>
        <v>25</v>
      </c>
      <c r="J32" s="116">
        <f t="shared" si="3"/>
        <v>19970243.250734638</v>
      </c>
      <c r="K32" s="116">
        <f t="shared" si="4"/>
        <v>608684.03440630622</v>
      </c>
      <c r="L32" s="116">
        <f t="shared" si="0"/>
        <v>22603369.610705834</v>
      </c>
      <c r="O32" s="111">
        <f t="shared" si="5"/>
        <v>25</v>
      </c>
      <c r="P32" s="116">
        <f t="shared" si="6"/>
        <v>25561764.201092433</v>
      </c>
      <c r="Q32" s="116">
        <f t="shared" si="1"/>
        <v>608684.03440630622</v>
      </c>
      <c r="R32" s="116">
        <f t="shared" si="7"/>
        <v>29270652.685887508</v>
      </c>
    </row>
    <row r="33" spans="4:18" ht="49" thickTop="1" thickBot="1" x14ac:dyDescent="0.6">
      <c r="I33" s="111">
        <f t="shared" si="2"/>
        <v>26</v>
      </c>
      <c r="J33" s="116">
        <f t="shared" si="3"/>
        <v>22603369.610705834</v>
      </c>
      <c r="K33" s="116">
        <f t="shared" si="4"/>
        <v>651291.91681474773</v>
      </c>
      <c r="L33" s="116">
        <f t="shared" si="0"/>
        <v>25544335.749116991</v>
      </c>
      <c r="O33" s="111">
        <f t="shared" si="5"/>
        <v>26</v>
      </c>
      <c r="P33" s="116">
        <f t="shared" si="6"/>
        <v>29270652.685887508</v>
      </c>
      <c r="Q33" s="116">
        <f t="shared" si="1"/>
        <v>651291.91681474773</v>
      </c>
      <c r="R33" s="116">
        <f t="shared" si="7"/>
        <v>33469511.163504474</v>
      </c>
    </row>
    <row r="34" spans="4:18" ht="49" thickTop="1" thickBot="1" x14ac:dyDescent="0.6">
      <c r="D34" s="121"/>
      <c r="I34" s="111">
        <f t="shared" si="2"/>
        <v>27</v>
      </c>
      <c r="J34" s="116">
        <f t="shared" si="3"/>
        <v>25544335.749116991</v>
      </c>
      <c r="K34" s="116">
        <f t="shared" si="4"/>
        <v>696882.35099178017</v>
      </c>
      <c r="L34" s="116">
        <f t="shared" si="0"/>
        <v>28827042.543783102</v>
      </c>
      <c r="O34" s="111">
        <f t="shared" si="5"/>
        <v>27</v>
      </c>
      <c r="P34" s="116">
        <f t="shared" si="6"/>
        <v>33469511.163504474</v>
      </c>
      <c r="Q34" s="116">
        <f t="shared" si="1"/>
        <v>696882.35099178017</v>
      </c>
      <c r="R34" s="116">
        <f t="shared" si="7"/>
        <v>38220279.269307211</v>
      </c>
    </row>
    <row r="35" spans="4:18" ht="49" thickTop="1" thickBot="1" x14ac:dyDescent="0.6">
      <c r="D35" s="117"/>
      <c r="I35" s="111">
        <f t="shared" si="2"/>
        <v>28</v>
      </c>
      <c r="J35" s="116">
        <f t="shared" si="3"/>
        <v>28827042.543783102</v>
      </c>
      <c r="K35" s="116">
        <f t="shared" si="4"/>
        <v>745664.11556120485</v>
      </c>
      <c r="L35" s="116">
        <f t="shared" si="0"/>
        <v>32488999.143298633</v>
      </c>
      <c r="O35" s="111">
        <f t="shared" si="5"/>
        <v>28</v>
      </c>
      <c r="P35" s="116">
        <f t="shared" si="6"/>
        <v>38220279.269307211</v>
      </c>
      <c r="Q35" s="116">
        <f t="shared" si="1"/>
        <v>745664.11556120485</v>
      </c>
      <c r="R35" s="116">
        <f t="shared" si="7"/>
        <v>43592549.421439037</v>
      </c>
    </row>
    <row r="36" spans="4:18" ht="49" thickTop="1" thickBot="1" x14ac:dyDescent="0.6">
      <c r="D36" s="117"/>
      <c r="I36" s="111">
        <f t="shared" si="2"/>
        <v>29</v>
      </c>
      <c r="J36" s="116">
        <f t="shared" si="3"/>
        <v>32488999.143298633</v>
      </c>
      <c r="K36" s="116">
        <f t="shared" si="4"/>
        <v>750000</v>
      </c>
      <c r="L36" s="116">
        <f t="shared" si="0"/>
        <v>36521682.595894992</v>
      </c>
      <c r="O36" s="111">
        <f t="shared" si="5"/>
        <v>29</v>
      </c>
      <c r="P36" s="116">
        <f t="shared" si="6"/>
        <v>43592549.421439037</v>
      </c>
      <c r="Q36" s="116">
        <f t="shared" si="1"/>
        <v>750000</v>
      </c>
      <c r="R36" s="116">
        <f t="shared" si="7"/>
        <v>49614061.471283861</v>
      </c>
    </row>
    <row r="37" spans="4:18" ht="49" thickTop="1" thickBot="1" x14ac:dyDescent="0.6">
      <c r="I37" s="111">
        <f t="shared" si="2"/>
        <v>30</v>
      </c>
      <c r="J37" s="116">
        <f t="shared" si="3"/>
        <v>36521682.595894992</v>
      </c>
      <c r="K37" s="116">
        <f t="shared" si="4"/>
        <v>750000</v>
      </c>
      <c r="L37" s="116">
        <f t="shared" si="0"/>
        <v>40957634.393750988</v>
      </c>
      <c r="O37" s="111">
        <f t="shared" si="5"/>
        <v>30</v>
      </c>
      <c r="P37" s="116">
        <f t="shared" si="6"/>
        <v>49614061.471283861</v>
      </c>
      <c r="Q37" s="116">
        <f t="shared" si="1"/>
        <v>750000</v>
      </c>
      <c r="R37" s="116">
        <f t="shared" si="7"/>
        <v>56358154.967110068</v>
      </c>
    </row>
    <row r="38" spans="4:18" ht="49" thickTop="1" thickBot="1" x14ac:dyDescent="0.6">
      <c r="I38" s="111">
        <f t="shared" si="2"/>
        <v>31</v>
      </c>
      <c r="J38" s="116">
        <f t="shared" si="3"/>
        <v>40957634.393750988</v>
      </c>
      <c r="K38" s="116">
        <f t="shared" si="4"/>
        <v>750000</v>
      </c>
      <c r="L38" s="116">
        <f t="shared" si="0"/>
        <v>45837181.371392585</v>
      </c>
      <c r="O38" s="111">
        <f t="shared" si="5"/>
        <v>31</v>
      </c>
      <c r="P38" s="116">
        <f t="shared" si="6"/>
        <v>56358154.967110068</v>
      </c>
      <c r="Q38" s="116">
        <f t="shared" si="1"/>
        <v>750000</v>
      </c>
      <c r="R38" s="116">
        <f t="shared" si="7"/>
        <v>63911539.682435431</v>
      </c>
    </row>
    <row r="39" spans="4:18" ht="49" thickTop="1" thickBot="1" x14ac:dyDescent="0.6">
      <c r="D39" s="117"/>
      <c r="I39" s="111">
        <f t="shared" si="2"/>
        <v>32</v>
      </c>
      <c r="J39" s="116">
        <f t="shared" si="3"/>
        <v>45837181.371392585</v>
      </c>
      <c r="K39" s="116">
        <f t="shared" si="4"/>
        <v>750000</v>
      </c>
      <c r="L39" s="116">
        <f t="shared" si="0"/>
        <v>51204683.046798348</v>
      </c>
      <c r="O39" s="111">
        <f t="shared" si="5"/>
        <v>32</v>
      </c>
      <c r="P39" s="116">
        <f t="shared" si="6"/>
        <v>63911539.682435431</v>
      </c>
      <c r="Q39" s="116">
        <f t="shared" si="1"/>
        <v>750000</v>
      </c>
      <c r="R39" s="116">
        <f t="shared" si="7"/>
        <v>72371330.563599855</v>
      </c>
    </row>
    <row r="40" spans="4:18" ht="49" thickTop="1" thickBot="1" x14ac:dyDescent="0.6">
      <c r="I40" s="111">
        <f t="shared" si="2"/>
        <v>33</v>
      </c>
      <c r="J40" s="116">
        <f t="shared" si="3"/>
        <v>51204683.046798348</v>
      </c>
      <c r="K40" s="116">
        <f t="shared" si="4"/>
        <v>750000</v>
      </c>
      <c r="L40" s="116">
        <f t="shared" si="0"/>
        <v>57108934.889744684</v>
      </c>
      <c r="O40" s="111">
        <f t="shared" si="5"/>
        <v>33</v>
      </c>
      <c r="P40" s="116">
        <f t="shared" si="6"/>
        <v>72371330.563599855</v>
      </c>
      <c r="Q40" s="116">
        <f t="shared" si="1"/>
        <v>750000</v>
      </c>
      <c r="R40" s="116">
        <f t="shared" si="7"/>
        <v>81846296.350504026</v>
      </c>
    </row>
    <row r="41" spans="4:18" ht="49" thickTop="1" thickBot="1" x14ac:dyDescent="0.6">
      <c r="I41" s="111">
        <f t="shared" si="2"/>
        <v>34</v>
      </c>
      <c r="J41" s="116">
        <f t="shared" si="3"/>
        <v>57108934.889744684</v>
      </c>
      <c r="K41" s="116">
        <f t="shared" si="4"/>
        <v>750000</v>
      </c>
      <c r="L41" s="116">
        <f t="shared" si="0"/>
        <v>63603611.916985661</v>
      </c>
      <c r="O41" s="111">
        <f t="shared" si="5"/>
        <v>34</v>
      </c>
      <c r="P41" s="116">
        <f t="shared" si="6"/>
        <v>81846296.350504026</v>
      </c>
      <c r="Q41" s="116">
        <f t="shared" si="1"/>
        <v>750000</v>
      </c>
      <c r="R41" s="116">
        <f t="shared" si="7"/>
        <v>92458258.031836703</v>
      </c>
    </row>
    <row r="42" spans="4:18" ht="49" thickTop="1" thickBot="1" x14ac:dyDescent="0.6">
      <c r="I42" s="111">
        <f t="shared" si="2"/>
        <v>35</v>
      </c>
      <c r="J42" s="116">
        <f t="shared" si="3"/>
        <v>63603611.916985661</v>
      </c>
      <c r="K42" s="116">
        <f t="shared" si="4"/>
        <v>750000</v>
      </c>
      <c r="L42" s="116">
        <f t="shared" si="0"/>
        <v>70747756.646950722</v>
      </c>
      <c r="O42" s="111">
        <f t="shared" si="5"/>
        <v>35</v>
      </c>
      <c r="P42" s="116">
        <f t="shared" si="6"/>
        <v>92458258.031836703</v>
      </c>
      <c r="Q42" s="116">
        <f t="shared" si="1"/>
        <v>750000</v>
      </c>
      <c r="R42" s="116">
        <f t="shared" si="7"/>
        <v>104343655.11492932</v>
      </c>
    </row>
    <row r="43" spans="4:18" ht="48" thickTop="1" x14ac:dyDescent="0.55000000000000004"/>
    <row r="46" spans="4:18" x14ac:dyDescent="0.55000000000000004">
      <c r="D46" s="122"/>
    </row>
  </sheetData>
  <sheetProtection algorithmName="SHA-512" hashValue="cyQq7wMP4xB1ne72YWJkNgc04Le6NqHdoN1i8fG/38vSbevup67ODEu4sbb5KEPwuGxbhoNa7CthtpxSOQtGUg==" saltValue="Yt5iDRhfhb26pBf1DsrbyQ==" spinCount="100000" sheet="1" objects="1" scenarios="1"/>
  <mergeCells count="11">
    <mergeCell ref="I4:L4"/>
    <mergeCell ref="O4:R4"/>
    <mergeCell ref="I5:K5"/>
    <mergeCell ref="I6:K6"/>
    <mergeCell ref="O5:Q5"/>
    <mergeCell ref="O6:Q6"/>
    <mergeCell ref="C25:D25"/>
    <mergeCell ref="C18:E18"/>
    <mergeCell ref="D19:E19"/>
    <mergeCell ref="D20:E20"/>
    <mergeCell ref="D21:E21"/>
  </mergeCells>
  <hyperlinks>
    <hyperlink ref="C19" r:id="rId1" xr:uid="{AB13FCFC-535B-3740-A7C7-A0D6BBE36522}"/>
    <hyperlink ref="C20" r:id="rId2" xr:uid="{F4275836-CCD1-4341-964C-3DC15BACC403}"/>
    <hyperlink ref="C21" r:id="rId3" xr:uid="{2A68CC4C-5DB2-3F4A-81E4-FA54DA2D7266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Funds &amp; Performance</vt:lpstr>
      <vt:lpstr>NPS Funds Returns</vt:lpstr>
      <vt:lpstr>New NPS Vs Old 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Raise Basha Naik</cp:lastModifiedBy>
  <dcterms:created xsi:type="dcterms:W3CDTF">2025-09-22T11:24:39Z</dcterms:created>
  <dcterms:modified xsi:type="dcterms:W3CDTF">2025-09-27T10:11:42Z</dcterms:modified>
</cp:coreProperties>
</file>